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41b517cc5a0cc3/Desktop/balli assessment/"/>
    </mc:Choice>
  </mc:AlternateContent>
  <xr:revisionPtr revIDLastSave="4617" documentId="13_ncr:1_{49AD3BDD-8D7A-4699-8E5B-1C22B869A6B6}" xr6:coauthVersionLast="47" xr6:coauthVersionMax="47" xr10:uidLastSave="{96ABD001-2310-4418-BBE3-A389E90E5C5A}"/>
  <bookViews>
    <workbookView xWindow="-110" yWindow="-110" windowWidth="19420" windowHeight="10300" activeTab="1" xr2:uid="{76312DD6-62D5-4C8A-A2F5-01029344E558}"/>
  </bookViews>
  <sheets>
    <sheet name="Dataset" sheetId="17" r:id="rId1"/>
    <sheet name="Dummy variable" sheetId="27" r:id="rId2"/>
    <sheet name="_PalUtilTempWorksheet" sheetId="2" state="hidden" r:id="rId3"/>
    <sheet name="_STDS_DG2755809F" sheetId="29" state="hidden" r:id="rId4"/>
    <sheet name="_STDS_DGAE5F441" sheetId="30" state="hidden" r:id="rId5"/>
    <sheet name="Regression(a.)" sheetId="31" r:id="rId6"/>
    <sheet name="Regression(b..)" sheetId="32" r:id="rId7"/>
  </sheets>
  <definedNames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1</definedName>
    <definedName name="_AtRisk_SimSetting_StdRecalcWithoutRiskStaticPercentile" hidden="1">0.5</definedName>
    <definedName name="_xlnm._FilterDatabase" localSheetId="0" hidden="1">Dataset!$A$1:$G$255</definedName>
    <definedName name="Pal_Workbook_GUID" hidden="1">"V4HXQT66RZ3SL1ATGU4RP79G"</definedName>
    <definedName name="PalisadeReportWorksheetCreatedBy" localSheetId="5" hidden="1">"StatTools"</definedName>
    <definedName name="PalisadeReportWorksheetCreatedBy" localSheetId="6" hidden="1">"StatTools"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ST_Afterorbeforeholiday">#REF!</definedName>
    <definedName name="ST_Afterorbeforeholiday_6">'Dummy variable'!$F$2:$F$255</definedName>
    <definedName name="ST_AfterorbeforeholidayDummyVariable">#REF!</definedName>
    <definedName name="ST_AfterorbeforeholidayNo">'Dummy variable'!$AC$2:$AC$255</definedName>
    <definedName name="ST_AfterorbeforeholidayYes">'Dummy variable'!$AD$2:$AD$255</definedName>
    <definedName name="ST_Arrivals">#REF!</definedName>
    <definedName name="ST_Arrivals_7">'Dummy variable'!$G$2:$G$255</definedName>
    <definedName name="ST_Dayofmonth">#REF!</definedName>
    <definedName name="ST_Dayofmonth_2">'Dummy variable'!$B$2:$B$255</definedName>
    <definedName name="ST_Dayofweek">#REF!</definedName>
    <definedName name="ST_Dayofweek_3">'Dummy variable'!$C$2:$C$255</definedName>
    <definedName name="ST_DayofweekFri">'Dummy variable'!$T$2:$T$255</definedName>
    <definedName name="ST_DayofweekMon">'Dummy variable'!$U$2:$U$255</definedName>
    <definedName name="ST_DayofweekThu">'Dummy variable'!$V$2:$V$255</definedName>
    <definedName name="ST_DayofweekTue">'Dummy variable'!$W$2:$W$255</definedName>
    <definedName name="ST_DayofweekWed">'Dummy variable'!$X$2:$X$255</definedName>
    <definedName name="ST_Facultypayday">#REF!</definedName>
    <definedName name="ST_Facultypayday_5">'Dummy variable'!$E$2:$E$255</definedName>
    <definedName name="ST_FacultypaydayDummyVariable">#REF!</definedName>
    <definedName name="ST_FacultypaydayNo">'Dummy variable'!$AA$2:$AA$255</definedName>
    <definedName name="ST_FacultypaydayYes">'Dummy variable'!$AB$2:$AB$255</definedName>
    <definedName name="ST_FirstDayofMonth">#REF!</definedName>
    <definedName name="ST_fri">#REF!</definedName>
    <definedName name="ST_mon">#REF!</definedName>
    <definedName name="ST_Month">#REF!</definedName>
    <definedName name="ST_Month_1">'Dummy variable'!$A$2:$A$255</definedName>
    <definedName name="ST_MonthApr">'Dummy variable'!$H$2:$H$255</definedName>
    <definedName name="ST_MonthAug">'Dummy variable'!$I$2:$I$255</definedName>
    <definedName name="ST_MonthDec">'Dummy variable'!$J$2:$J$255</definedName>
    <definedName name="ST_MonthFeb">'Dummy variable'!$K$2:$K$255</definedName>
    <definedName name="ST_MonthJan">'Dummy variable'!$L$2:$L$255</definedName>
    <definedName name="ST_MonthJul">'Dummy variable'!$M$2:$M$255</definedName>
    <definedName name="ST_MonthJun">'Dummy variable'!$N$2:$N$255</definedName>
    <definedName name="ST_MonthMar">'Dummy variable'!$O$2:$O$255</definedName>
    <definedName name="ST_MonthMay">'Dummy variable'!$P$2:$P$255</definedName>
    <definedName name="ST_MonthNov">'Dummy variable'!$Q$2:$Q$255</definedName>
    <definedName name="ST_MonthOct">'Dummy variable'!$R$2:$R$255</definedName>
    <definedName name="ST_MonthSep">'Dummy variable'!$S$2:$S$255</definedName>
    <definedName name="ST_OutlierRegression">#REF!</definedName>
    <definedName name="ST_OutlierRegression2">#REF!</definedName>
    <definedName name="ST_OutlierRegression3">#REF!</definedName>
    <definedName name="ST_OutlierRegression4">#REF!</definedName>
    <definedName name="ST_Staffpayday">#REF!</definedName>
    <definedName name="ST_Staffpayday_4">'Dummy variable'!$D$2:$D$255</definedName>
    <definedName name="ST_StaffpaydayDummyVariable">#REF!</definedName>
    <definedName name="ST_StaffpaydayNo">'Dummy variable'!$Y$2:$Y$255</definedName>
    <definedName name="ST_StaffpaydayYes">'Dummy variable'!$Z$2:$Z$255</definedName>
    <definedName name="ST_thu">#REF!</definedName>
    <definedName name="ST_tue">#REF!</definedName>
    <definedName name="ST_wed">#REF!</definedName>
    <definedName name="StatToolsHeader" localSheetId="5">'Regression(a.)'!$1:$6</definedName>
    <definedName name="StatToolsHeader" localSheetId="6">'Regression(b..)'!$1:$6</definedName>
    <definedName name="STWBD_StatToolsDataViewer8_CorrelationCalculationMethod" hidden="1">1</definedName>
    <definedName name="STWBD_StatToolsDataViewer8_CorrelationCalculationMethod_1" hidden="1">" 0"</definedName>
    <definedName name="STWBD_StatToolsDataViewer8_DataSet">"DS:DG72E9BAD"</definedName>
    <definedName name="STWBD_StatToolsDataViewer8_ExclusionMode" hidden="1">1</definedName>
    <definedName name="STWBD_StatToolsDataViewer8_ExclusionMode_1" hidden="1">" 0"</definedName>
    <definedName name="STWBD_StatToolsDataViewer8_VariableList" hidden="1">2</definedName>
    <definedName name="STWBD_StatToolsDataViewer8_VariableList_1" hidden="1">"U_x0001_VGE9530EBE7BD1A4_x0001_"</definedName>
    <definedName name="STWBD_StatToolsDataViewer8_VariableList_2" hidden="1">"U_x0001_VG1397E91B27C75F04_x0001_"</definedName>
    <definedName name="STWBD_StatToolsDummy_ConditionOperator" hidden="1">" 0"</definedName>
    <definedName name="STWBD_StatToolsDummy_ConditionValue" hidden="1">" 0"</definedName>
    <definedName name="STWBD_StatToolsDummy_DummyType" hidden="1">" 0"</definedName>
    <definedName name="STWBD_StatToolsDummy_HasDefaultInfo" hidden="1">"TRUE"</definedName>
    <definedName name="STWBD_StatToolsDummy_Variable" hidden="1">"U_x0001_VGC67982D2F75761A_x0001_"</definedName>
    <definedName name="STWBD_StatToolsDummy_VarSelectorDefaultDataSet" hidden="1">"DGAE5F441"</definedName>
    <definedName name="STWBD_StatToolsRegression_blockList" hidden="1">"-1"</definedName>
    <definedName name="STWBD_StatToolsRegression_CheckMulticollinearity" hidden="1">"TRUE"</definedName>
    <definedName name="STWBD_StatToolsRegression_ConfidenceLevel" hidden="1">" .95"</definedName>
    <definedName name="STWBD_StatToolsRegression_DisplayCorrelationMatrix" hidden="1">"TRUE"</definedName>
    <definedName name="STWBD_StatToolsRegression_DisplayRegressionEquation" hidden="1">"TRUE"</definedName>
    <definedName name="STWBD_StatToolsRegression_FixVariables" hidden="1">"FALSE"</definedName>
    <definedName name="STWBD_StatToolsRegression_fixVarList" hidden="1">"-1"</definedName>
    <definedName name="STWBD_StatToolsRegression_FValueToEnter" hidden="1">" 2.2"</definedName>
    <definedName name="STWBD_StatToolsRegression_FValueToLeave" hidden="1">" 1.1"</definedName>
    <definedName name="STWBD_StatToolsRegression_GraphFittedValueVsActualYValue" hidden="1">"FALSE"</definedName>
    <definedName name="STWBD_StatToolsRegression_GraphFittedValueVsXValue" hidden="1">"FALSE"</definedName>
    <definedName name="STWBD_StatToolsRegression_GraphHistogramOfResiduals" hidden="1">"TRUE"</definedName>
    <definedName name="STWBD_StatToolsRegression_GraphResidualVsFittedValue" hidden="1">"TRUE"</definedName>
    <definedName name="STWBD_StatToolsRegression_GraphResidualVsOrderIndex" hidden="1">"FALSE"</definedName>
    <definedName name="STWBD_StatToolsRegression_GraphResidualVsXValue" hidden="1">"FALSE"</definedName>
    <definedName name="STWBD_StatToolsRegression_HasDefaultInfo" hidden="1">"TRUE"</definedName>
    <definedName name="STWBD_StatToolsRegression_IdentifyOutliersInDataSet" hidden="1">"FALSE"</definedName>
    <definedName name="STWBD_StatToolsRegression_IdentifyOutliersInGraphs" hidden="1">"FALSE"</definedName>
    <definedName name="STWBD_StatToolsRegression_IncludeDerivedVariables" hidden="1">"TRUE"</definedName>
    <definedName name="STWBD_StatToolsRegression_IncludePrediction" hidden="1">"FALSE"</definedName>
    <definedName name="STWBD_StatToolsRegression_IncludeSteps" hidden="1">"FALSE"</definedName>
    <definedName name="STWBD_StatToolsRegression_ListedDerivedVariables" hidden="1">1</definedName>
    <definedName name="STWBD_StatToolsRegression_ListedDerivedVariables_1" hidden="1">"N_x0001_VG32C17536165CAF31_x0001_ 1_x0001_VG3963B8CB204F64E4_x0001_"</definedName>
    <definedName name="STWBD_StatToolsRegression_NumberOfBlocks" hidden="1">" 2"</definedName>
    <definedName name="STWBD_StatToolsRegression_pValueToEnter" hidden="1">" .05"</definedName>
    <definedName name="STWBD_StatToolsRegression_pValueToLeave" hidden="1">" .1"</definedName>
    <definedName name="STWBD_StatToolsRegression_RegressionType" hidden="1">" 0"</definedName>
    <definedName name="STWBD_StatToolsRegression_StandardizeNumericVariables" hidden="1">"FALSE"</definedName>
    <definedName name="STWBD_StatToolsRegression_throughOrigin" hidden="1">"FALSE"</definedName>
    <definedName name="STWBD_StatToolsRegression_useFValue" hidden="1">"FALSE"</definedName>
    <definedName name="STWBD_StatToolsRegression_usePValue" hidden="1">"TRUE"</definedName>
    <definedName name="STWBD_StatToolsRegression_VariableDependent" hidden="1">"U_x0001_VG1F3A8CA42F64C0C5_x0001_"</definedName>
    <definedName name="STWBD_StatToolsRegression_VariableListIndependent" hidden="1">25</definedName>
    <definedName name="STWBD_StatToolsRegression_VariableListIndependent_1" hidden="1">"U_x0001_VG3963B8CB204F64E4_x0001_"</definedName>
    <definedName name="STWBD_StatToolsRegression_VariableListIndependent_10" hidden="1">"U_x0001_VG17108366298C8FF7_x0001_"</definedName>
    <definedName name="STWBD_StatToolsRegression_VariableListIndependent_11" hidden="1">"U_x0001_VG2583B85D118E8253_x0001_"</definedName>
    <definedName name="STWBD_StatToolsRegression_VariableListIndependent_12" hidden="1">"U_x0001_VG2F1633A7DCCDE56_x0001_"</definedName>
    <definedName name="STWBD_StatToolsRegression_VariableListIndependent_13" hidden="1">"U_x0001_VG1AB4044F34F3B736_x0001_"</definedName>
    <definedName name="STWBD_StatToolsRegression_VariableListIndependent_14" hidden="1">"U_x0001_VG92A9FE41940F257_x0001_"</definedName>
    <definedName name="STWBD_StatToolsRegression_VariableListIndependent_15" hidden="1">"U_x0001_VG360A95833A797F76_x0001_"</definedName>
    <definedName name="STWBD_StatToolsRegression_VariableListIndependent_16" hidden="1">"U_x0001_VG20A96AB4CB4D032_x0001_"</definedName>
    <definedName name="STWBD_StatToolsRegression_VariableListIndependent_17" hidden="1">"U_x0001_VG7FB17B0AACE653_x0001_"</definedName>
    <definedName name="STWBD_StatToolsRegression_VariableListIndependent_18" hidden="1">"U_x0001_VG115BC8E532F45816_x0001_"</definedName>
    <definedName name="STWBD_StatToolsRegression_VariableListIndependent_19" hidden="1">"U_x0001_VGD23E1791EB26178_x0001_"</definedName>
    <definedName name="STWBD_StatToolsRegression_VariableListIndependent_2" hidden="1">"U_x0001_VG3AC34C45208136E4_x0001_"</definedName>
    <definedName name="STWBD_StatToolsRegression_VariableListIndependent_20" hidden="1">"U_x0001_VG986A35E2F4A8790_x0001_"</definedName>
    <definedName name="STWBD_StatToolsRegression_VariableListIndependent_21" hidden="1">"U_x0001_VG55C06FF13FAE629_x0001_"</definedName>
    <definedName name="STWBD_StatToolsRegression_VariableListIndependent_22" hidden="1">"U_x0001_VG16B95D91ADC9920_x0001_"</definedName>
    <definedName name="STWBD_StatToolsRegression_VariableListIndependent_23" hidden="1">"U_x0001_VGA230E472ED9F924_x0001_"</definedName>
    <definedName name="STWBD_StatToolsRegression_VariableListIndependent_24" hidden="1">"U_x0001_VG67D682FD9083A_x0001_"</definedName>
    <definedName name="STWBD_StatToolsRegression_VariableListIndependent_25" hidden="1">"N_x0001_VG32C17536165CAF31_x0001_ 1_x0001_VG3963B8CB204F64E4_x0001_"</definedName>
    <definedName name="STWBD_StatToolsRegression_VariableListIndependent_3" hidden="1">"U_x0001_VG164C35778A33457_x0001_"</definedName>
    <definedName name="STWBD_StatToolsRegression_VariableListIndependent_4" hidden="1">"U_x0001_VG1BA42C681999799C_x0001_"</definedName>
    <definedName name="STWBD_StatToolsRegression_VariableListIndependent_5" hidden="1">"U_x0001_VG2849BA662ECD5277_x0001_"</definedName>
    <definedName name="STWBD_StatToolsRegression_VariableListIndependent_6" hidden="1">"U_x0001_VGA73E99FAF252FC_x0001_"</definedName>
    <definedName name="STWBD_StatToolsRegression_VariableListIndependent_7" hidden="1">"U_x0001_VG56DE17627612AE8_x0001_"</definedName>
    <definedName name="STWBD_StatToolsRegression_VariableListIndependent_8" hidden="1">"U_x0001_VG1548F2103B705412_x0001_"</definedName>
    <definedName name="STWBD_StatToolsRegression_VariableListIndependent_9" hidden="1">"U_x0001_VG1D8F44CE34B88D1D_x0001_"</definedName>
    <definedName name="STWBD_StatToolsRegression_VarSelectorDefaultDataSet" hidden="1">"DGAE5F441"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0" l="1"/>
  <c r="B9" i="29"/>
  <c r="B100" i="30"/>
  <c r="B97" i="30"/>
  <c r="B94" i="30"/>
  <c r="B91" i="30"/>
  <c r="B88" i="30"/>
  <c r="B85" i="30"/>
  <c r="B82" i="30"/>
  <c r="B79" i="30"/>
  <c r="B76" i="30"/>
  <c r="B73" i="30"/>
  <c r="B70" i="30"/>
  <c r="B67" i="30"/>
  <c r="B64" i="30"/>
  <c r="B61" i="30"/>
  <c r="B58" i="30"/>
  <c r="B55" i="30"/>
  <c r="B52" i="30"/>
  <c r="B49" i="30"/>
  <c r="B46" i="30"/>
  <c r="B43" i="30"/>
  <c r="B40" i="30"/>
  <c r="B37" i="30"/>
  <c r="B34" i="30"/>
  <c r="B31" i="30"/>
  <c r="B28" i="30"/>
  <c r="B25" i="30"/>
  <c r="B22" i="30"/>
  <c r="B19" i="30"/>
  <c r="B16" i="30"/>
  <c r="B13" i="30"/>
  <c r="B7" i="30"/>
  <c r="B3" i="30"/>
  <c r="B70" i="29"/>
  <c r="B67" i="29"/>
  <c r="B64" i="29"/>
  <c r="B61" i="29"/>
  <c r="B58" i="29"/>
  <c r="B55" i="29"/>
  <c r="B52" i="29"/>
  <c r="B49" i="29"/>
  <c r="B46" i="29"/>
  <c r="B43" i="29"/>
  <c r="B40" i="29"/>
  <c r="B37" i="29"/>
  <c r="B34" i="29"/>
  <c r="B31" i="29"/>
  <c r="B28" i="29"/>
  <c r="B25" i="29"/>
  <c r="B22" i="29"/>
  <c r="B19" i="29"/>
  <c r="B16" i="29"/>
  <c r="B13" i="29"/>
  <c r="B7" i="29"/>
  <c r="B3" i="29"/>
  <c r="B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dilpreet</author>
  </authors>
  <commentList>
    <comment ref="B10" authorId="0" shapeId="0" xr:uid="{2A984254-BE10-4CF6-B3A4-D52411A21265}">
      <text>
        <r>
          <rPr>
            <b/>
            <u/>
            <sz val="9"/>
            <color indexed="81"/>
            <rFont val="Tahoma"/>
            <family val="2"/>
          </rPr>
          <t>StatTools Note:</t>
        </r>
        <r>
          <rPr>
            <sz val="9"/>
            <color indexed="81"/>
            <rFont val="Tahoma"/>
            <family val="2"/>
          </rPr>
          <t xml:space="preserve">
This is the correlation between the actual Y values and the fitted Y values.</t>
        </r>
      </text>
    </comment>
    <comment ref="F10" authorId="0" shapeId="0" xr:uid="{7432CA32-76A1-49C0-A9E0-3258FE1DA75F}">
      <text>
        <r>
          <rPr>
            <b/>
            <u/>
            <sz val="9"/>
            <color indexed="81"/>
            <rFont val="Tahoma"/>
            <family val="2"/>
          </rPr>
          <t>StatTools Note:</t>
        </r>
        <r>
          <rPr>
            <sz val="9"/>
            <color indexed="81"/>
            <rFont val="Tahoma"/>
            <family val="2"/>
          </rPr>
          <t xml:space="preserve">
Number of records which had missing or invalid data and were ignored in this report.</t>
        </r>
      </text>
    </comment>
    <comment ref="G10" authorId="0" shapeId="0" xr:uid="{3A9C6A88-5628-4948-9F4B-D61EC6EC2916}">
      <text>
        <r>
          <rPr>
            <b/>
            <u/>
            <sz val="9"/>
            <color indexed="81"/>
            <rFont val="Tahoma"/>
            <family val="2"/>
          </rPr>
          <t>StatTools Note:</t>
        </r>
        <r>
          <rPr>
            <sz val="9"/>
            <color indexed="81"/>
            <rFont val="Tahoma"/>
            <family val="2"/>
          </rPr>
          <t xml:space="preserve">
An observation with a standardized residual greater than 3 (in absolute value) is deemed an outlier.</t>
        </r>
      </text>
    </comment>
    <comment ref="C121" authorId="0" shapeId="0" xr:uid="{34EBCFEA-C886-4AF2-BE4A-0620C82ACFF7}">
      <text>
        <r>
          <rPr>
            <b/>
            <u/>
            <sz val="9"/>
            <color indexed="81"/>
            <rFont val="Tahoma"/>
            <family val="2"/>
          </rPr>
          <t>StatTools Note:</t>
        </r>
        <r>
          <rPr>
            <sz val="9"/>
            <color indexed="81"/>
            <rFont val="Tahoma"/>
            <family val="2"/>
          </rPr>
          <t xml:space="preserve">
Predicted Y values found by substituting into the regression equation.</t>
        </r>
      </text>
    </comment>
    <comment ref="D121" authorId="0" shapeId="0" xr:uid="{F5F448EC-79A8-4A09-9C5A-F2778C305AAF}">
      <text>
        <r>
          <rPr>
            <b/>
            <u/>
            <sz val="9"/>
            <color indexed="81"/>
            <rFont val="Tahoma"/>
            <family val="2"/>
          </rPr>
          <t>StatTools Note:</t>
        </r>
        <r>
          <rPr>
            <sz val="9"/>
            <color indexed="81"/>
            <rFont val="Tahoma"/>
            <family val="2"/>
          </rPr>
          <t xml:space="preserve">
Actual Y value minus fitted Y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dilpreet</author>
  </authors>
  <commentList>
    <comment ref="B10" authorId="0" shapeId="0" xr:uid="{D250428F-95A6-47AE-9F97-D1C22541C8C1}">
      <text>
        <r>
          <rPr>
            <b/>
            <u/>
            <sz val="9"/>
            <color indexed="81"/>
            <rFont val="Tahoma"/>
            <family val="2"/>
          </rPr>
          <t>StatTools Note:</t>
        </r>
        <r>
          <rPr>
            <sz val="9"/>
            <color indexed="81"/>
            <rFont val="Tahoma"/>
            <family val="2"/>
          </rPr>
          <t xml:space="preserve">
This is the correlation between the actual Y values and the fitted Y values.</t>
        </r>
      </text>
    </comment>
    <comment ref="F10" authorId="0" shapeId="0" xr:uid="{A7649788-6DAD-4273-A886-2C6EA79EF8E5}">
      <text>
        <r>
          <rPr>
            <b/>
            <u/>
            <sz val="9"/>
            <color indexed="81"/>
            <rFont val="Tahoma"/>
            <family val="2"/>
          </rPr>
          <t>StatTools Note:</t>
        </r>
        <r>
          <rPr>
            <sz val="9"/>
            <color indexed="81"/>
            <rFont val="Tahoma"/>
            <family val="2"/>
          </rPr>
          <t xml:space="preserve">
Number of records which had missing or invalid data and were ignored in this report.</t>
        </r>
      </text>
    </comment>
    <comment ref="G10" authorId="0" shapeId="0" xr:uid="{3623CCBE-85E8-41FD-B659-C70E41B1B5E6}">
      <text>
        <r>
          <rPr>
            <b/>
            <u/>
            <sz val="9"/>
            <color indexed="81"/>
            <rFont val="Tahoma"/>
            <family val="2"/>
          </rPr>
          <t>StatTools Note:</t>
        </r>
        <r>
          <rPr>
            <sz val="9"/>
            <color indexed="81"/>
            <rFont val="Tahoma"/>
            <family val="2"/>
          </rPr>
          <t xml:space="preserve">
An observation with a standardized residual greater than 3 (in absolute value) is deemed an outlier.</t>
        </r>
      </text>
    </comment>
    <comment ref="C154" authorId="0" shapeId="0" xr:uid="{607A9B62-303F-4C41-9261-772E2545327A}">
      <text>
        <r>
          <rPr>
            <b/>
            <u/>
            <sz val="9"/>
            <color indexed="81"/>
            <rFont val="Tahoma"/>
            <family val="2"/>
          </rPr>
          <t>StatTools Note:</t>
        </r>
        <r>
          <rPr>
            <sz val="9"/>
            <color indexed="81"/>
            <rFont val="Tahoma"/>
            <family val="2"/>
          </rPr>
          <t xml:space="preserve">
Predicted Y values found by substituting into the regression equation.</t>
        </r>
      </text>
    </comment>
    <comment ref="D154" authorId="0" shapeId="0" xr:uid="{D7C841E6-007B-4215-85D9-5996C999C284}">
      <text>
        <r>
          <rPr>
            <b/>
            <u/>
            <sz val="9"/>
            <color indexed="81"/>
            <rFont val="Tahoma"/>
            <family val="2"/>
          </rPr>
          <t>StatTools Note:</t>
        </r>
        <r>
          <rPr>
            <sz val="9"/>
            <color indexed="81"/>
            <rFont val="Tahoma"/>
            <family val="2"/>
          </rPr>
          <t xml:space="preserve">
Actual Y value minus fitted Y value.</t>
        </r>
      </text>
    </comment>
  </commentList>
</comments>
</file>

<file path=xl/sharedStrings.xml><?xml version="1.0" encoding="utf-8"?>
<sst xmlns="http://schemas.openxmlformats.org/spreadsheetml/2006/main" count="3218" uniqueCount="363">
  <si>
    <t>Month</t>
  </si>
  <si>
    <t>Day of month</t>
  </si>
  <si>
    <t>Day of week</t>
  </si>
  <si>
    <t>Staff payday</t>
  </si>
  <si>
    <t>Faculty payday</t>
  </si>
  <si>
    <t>After or before holiday</t>
  </si>
  <si>
    <t>Arrivals</t>
  </si>
  <si>
    <t>Jan</t>
  </si>
  <si>
    <t>Tue</t>
  </si>
  <si>
    <t>Yes</t>
  </si>
  <si>
    <t>Wed</t>
  </si>
  <si>
    <t>No</t>
  </si>
  <si>
    <t>Thu</t>
  </si>
  <si>
    <t>Fri</t>
  </si>
  <si>
    <t>Mon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</si>
  <si>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</si>
  <si>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</si>
  <si>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</si>
  <si>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</si>
  <si>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</si>
  <si>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</si>
  <si>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</si>
  <si>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</si>
  <si>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</si>
  <si>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</si>
  <si>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</si>
  <si>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StatTools Version that generated sheet, Major</t>
  </si>
  <si>
    <t>StatTools Version that generated sheet, Minor</t>
  </si>
  <si>
    <t>StatTools Version that generated sheet, Revision</t>
  </si>
  <si>
    <t>Min. StatTools Version to Read Sheet, Major (note ST versions before 1.1.1 don't perform forward compatibility check)</t>
  </si>
  <si>
    <t>Min. StatTools Version to Read Sheet, Minor</t>
  </si>
  <si>
    <t>Min. StatTools Version to Read Sheet, Revision</t>
  </si>
  <si>
    <t>Min. StatTools version to not put up warning about extra info, Major</t>
  </si>
  <si>
    <t>Min. StatTools version to not put up warning about extra info, Minor</t>
  </si>
  <si>
    <t>Min. StatTools version to not put up warning about extra info, Revision</t>
  </si>
  <si>
    <t>Name</t>
  </si>
  <si>
    <t>GUID</t>
  </si>
  <si>
    <t>Format Range</t>
  </si>
  <si>
    <t>Variable Layout</t>
  </si>
  <si>
    <t>Columns</t>
  </si>
  <si>
    <t>Variable Names In Cells</t>
  </si>
  <si>
    <t>Variable Names In 2nd Cells</t>
  </si>
  <si>
    <t>Data Set Ranges</t>
  </si>
  <si>
    <t>Data Sheet Format</t>
  </si>
  <si>
    <t>Formula Eval Cell</t>
  </si>
  <si>
    <t>Num Stored Vars</t>
  </si>
  <si>
    <t>1 : Info</t>
  </si>
  <si>
    <t>var1</t>
  </si>
  <si>
    <t>1 : Ranges</t>
  </si>
  <si>
    <t>1 : MultiRefs</t>
  </si>
  <si>
    <t>2 : Info</t>
  </si>
  <si>
    <t>var2</t>
  </si>
  <si>
    <t>2 : Ranges</t>
  </si>
  <si>
    <t>2 : MultiRefs</t>
  </si>
  <si>
    <t>3 : Info</t>
  </si>
  <si>
    <t>var3</t>
  </si>
  <si>
    <t>3 : Ranges</t>
  </si>
  <si>
    <t>3 : MultiRefs</t>
  </si>
  <si>
    <t>ST_Afterorbeforeholiday</t>
  </si>
  <si>
    <t>ST_AfterorbeforeholidayDummyVariable</t>
  </si>
  <si>
    <t>ST_Arrivals</t>
  </si>
  <si>
    <t>StatTools Report</t>
  </si>
  <si>
    <t>Analysis:</t>
  </si>
  <si>
    <t>Regression</t>
  </si>
  <si>
    <t>Performed By:</t>
  </si>
  <si>
    <t>Date:</t>
  </si>
  <si>
    <t>Updating:</t>
  </si>
  <si>
    <t>Static</t>
  </si>
  <si>
    <t>Variable:</t>
  </si>
  <si>
    <t>Summary</t>
  </si>
  <si>
    <t>Multiple Regression for Arrivals</t>
  </si>
  <si>
    <t>Multiple_x000D_
R</t>
  </si>
  <si>
    <t>R-Square</t>
  </si>
  <si>
    <t>Adjusted_x000D_
R-square</t>
  </si>
  <si>
    <t>Std. Err. of_x000D_
Estimate</t>
  </si>
  <si>
    <t>Rows_x000D_
Ignored</t>
  </si>
  <si>
    <t>Outliers</t>
  </si>
  <si>
    <t>ANOVA Table</t>
  </si>
  <si>
    <t>Sum of_x000D_
Squares</t>
  </si>
  <si>
    <t>Mean of_x000D_
Squares</t>
  </si>
  <si>
    <t>F</t>
  </si>
  <si>
    <t>p-Value</t>
  </si>
  <si>
    <t>Explained</t>
  </si>
  <si>
    <t>Unexplained</t>
  </si>
  <si>
    <t>Regression Table</t>
  </si>
  <si>
    <t>Coefficient</t>
  </si>
  <si>
    <t>Standard_x000D_
Error</t>
  </si>
  <si>
    <t>t-Value</t>
  </si>
  <si>
    <t>Confidence Interval 95%</t>
  </si>
  <si>
    <t>Lower</t>
  </si>
  <si>
    <t>Upper</t>
  </si>
  <si>
    <t>Constant</t>
  </si>
  <si>
    <t>Regression Equation</t>
  </si>
  <si>
    <t>Frequency Table</t>
  </si>
  <si>
    <t>Graph Data</t>
  </si>
  <si>
    <t>Fit</t>
  </si>
  <si>
    <t>Residuals</t>
  </si>
  <si>
    <t>Bin Min</t>
  </si>
  <si>
    <t>Bin Max</t>
  </si>
  <si>
    <t>Bin Midpoint</t>
  </si>
  <si>
    <t>Frequency</t>
  </si>
  <si>
    <t>Bin # 1</t>
  </si>
  <si>
    <t>Bin # 2</t>
  </si>
  <si>
    <t>Bin # 3</t>
  </si>
  <si>
    <t>Bin # 4</t>
  </si>
  <si>
    <t>Bin # 5</t>
  </si>
  <si>
    <t>Bin # 6</t>
  </si>
  <si>
    <t>Bin # 7</t>
  </si>
  <si>
    <t>Bin # 8</t>
  </si>
  <si>
    <t>Bin # 9</t>
  </si>
  <si>
    <t>Baljit Singh</t>
  </si>
  <si>
    <t>Data Set #1</t>
  </si>
  <si>
    <t>ST_Month</t>
  </si>
  <si>
    <t>ST_Dayofmonth</t>
  </si>
  <si>
    <t>ST_Dayofweek</t>
  </si>
  <si>
    <t>4 : Info</t>
  </si>
  <si>
    <t>var4</t>
  </si>
  <si>
    <t>ST_mon</t>
  </si>
  <si>
    <t>4 : Ranges</t>
  </si>
  <si>
    <t>4 : MultiRefs</t>
  </si>
  <si>
    <t>5 : Info</t>
  </si>
  <si>
    <t>var5</t>
  </si>
  <si>
    <t>ST_tue</t>
  </si>
  <si>
    <t>5 : Ranges</t>
  </si>
  <si>
    <t>5 : MultiRefs</t>
  </si>
  <si>
    <t>6 : Info</t>
  </si>
  <si>
    <t>var6</t>
  </si>
  <si>
    <t>ST_wed</t>
  </si>
  <si>
    <t>6 : Ranges</t>
  </si>
  <si>
    <t>6 : MultiRefs</t>
  </si>
  <si>
    <t>7 : Info</t>
  </si>
  <si>
    <t>var7</t>
  </si>
  <si>
    <t>ST_thu</t>
  </si>
  <si>
    <t>7 : Ranges</t>
  </si>
  <si>
    <t>7 : MultiRefs</t>
  </si>
  <si>
    <t>8 : Info</t>
  </si>
  <si>
    <t>var8</t>
  </si>
  <si>
    <t>ST_fri</t>
  </si>
  <si>
    <t>8 : Ranges</t>
  </si>
  <si>
    <t>8 : MultiRefs</t>
  </si>
  <si>
    <t>9 : Info</t>
  </si>
  <si>
    <t>var9</t>
  </si>
  <si>
    <t>ST_Staffpayday</t>
  </si>
  <si>
    <t>9 : Ranges</t>
  </si>
  <si>
    <t>9 : MultiRefs</t>
  </si>
  <si>
    <t>10 : Info</t>
  </si>
  <si>
    <t>var10</t>
  </si>
  <si>
    <t>ST_StaffpaydayDummyVariable</t>
  </si>
  <si>
    <t>10 : Ranges</t>
  </si>
  <si>
    <t>10 : MultiRefs</t>
  </si>
  <si>
    <t>11 : Info</t>
  </si>
  <si>
    <t>var11</t>
  </si>
  <si>
    <t>ST_Facultypayday</t>
  </si>
  <si>
    <t>11 : Ranges</t>
  </si>
  <si>
    <t>11 : MultiRefs</t>
  </si>
  <si>
    <t>12 : Info</t>
  </si>
  <si>
    <t>var12</t>
  </si>
  <si>
    <t>ST_FacultypaydayDummyVariable</t>
  </si>
  <si>
    <t>12 : Ranges</t>
  </si>
  <si>
    <t>12 : MultiRefs</t>
  </si>
  <si>
    <t>13 : Info</t>
  </si>
  <si>
    <t>var13</t>
  </si>
  <si>
    <t>13 : Ranges</t>
  </si>
  <si>
    <t>13 : MultiRefs</t>
  </si>
  <si>
    <t>14 : Info</t>
  </si>
  <si>
    <t>var14</t>
  </si>
  <si>
    <t>14 : Ranges</t>
  </si>
  <si>
    <t>14 : MultiRefs</t>
  </si>
  <si>
    <t>15 : Info</t>
  </si>
  <si>
    <t>var15</t>
  </si>
  <si>
    <t>15 : Ranges</t>
  </si>
  <si>
    <t>15 : MultiRefs</t>
  </si>
  <si>
    <t>Degrees of_x000D_
Freedom</t>
  </si>
  <si>
    <t>Multicollinearity Checking</t>
  </si>
  <si>
    <t>VIF</t>
  </si>
  <si>
    <t>Correlation Matrix</t>
  </si>
  <si>
    <t>16 : Info</t>
  </si>
  <si>
    <t>ST_OutlierRegression</t>
  </si>
  <si>
    <t>16 : Ranges</t>
  </si>
  <si>
    <t>16 : MultiRefs</t>
  </si>
  <si>
    <t>ST_FirstDayofMonth</t>
  </si>
  <si>
    <t>DG2755809F</t>
  </si>
  <si>
    <t>VG1EE1DA12C7E1AE8</t>
  </si>
  <si>
    <t>VG30581D3B7C0557</t>
  </si>
  <si>
    <t>VG35E4E0D1302409B5</t>
  </si>
  <si>
    <t>VG332B2D362EF6B65B</t>
  </si>
  <si>
    <t>VG29A19E7360BC12A</t>
  </si>
  <si>
    <t>VGB48D8661AC3CDC9</t>
  </si>
  <si>
    <t>VG16F3EEB215554385</t>
  </si>
  <si>
    <t>VG379F76084AAB65</t>
  </si>
  <si>
    <t>VGB2A6A953089C968</t>
  </si>
  <si>
    <t>VG29E57C0DEC13DA</t>
  </si>
  <si>
    <t>VG2777EA3C349F4DBC</t>
  </si>
  <si>
    <t>VG13089F561C8DD5A0</t>
  </si>
  <si>
    <t>VG56D0FEA105309C2</t>
  </si>
  <si>
    <t>VG991D5FA10FAAF32</t>
  </si>
  <si>
    <t>VG359153224C7BD20</t>
  </si>
  <si>
    <t>VG28004BE3B09FE2C</t>
  </si>
  <si>
    <t>var16</t>
  </si>
  <si>
    <t>17 : Info</t>
  </si>
  <si>
    <t>VG1803C0CA1B25C6C</t>
  </si>
  <si>
    <t>var17</t>
  </si>
  <si>
    <t>17 : Ranges</t>
  </si>
  <si>
    <t>17 : MultiRefs</t>
  </si>
  <si>
    <t>Outlier (Regression) (2)</t>
  </si>
  <si>
    <t>18 : Info</t>
  </si>
  <si>
    <t>VG1FFA8AB93ADBDC90</t>
  </si>
  <si>
    <t>ST_OutlierRegression2</t>
  </si>
  <si>
    <t>18 : Ranges</t>
  </si>
  <si>
    <t>18 : MultiRefs</t>
  </si>
  <si>
    <t>Outlier (Regression) (3)</t>
  </si>
  <si>
    <t>19 : Info</t>
  </si>
  <si>
    <t>VGF8DB8EB19A75FF5</t>
  </si>
  <si>
    <t>ST_OutlierRegression3</t>
  </si>
  <si>
    <t>19 : Ranges</t>
  </si>
  <si>
    <t>19 : MultiRefs</t>
  </si>
  <si>
    <t>Outlier (Regression) (4)</t>
  </si>
  <si>
    <t>20 : Info</t>
  </si>
  <si>
    <t>VG2EFE1A56F2F5B1B</t>
  </si>
  <si>
    <t>ST_OutlierRegression4</t>
  </si>
  <si>
    <t>20 : Ranges</t>
  </si>
  <si>
    <t>20 : MultiRefs</t>
  </si>
  <si>
    <t>Data Set #2</t>
  </si>
  <si>
    <t>DGAE5F441</t>
  </si>
  <si>
    <t>VG32C17536165CAF31</t>
  </si>
  <si>
    <t>ST_Month_1</t>
  </si>
  <si>
    <t>VG3963B8CB204F64E4</t>
  </si>
  <si>
    <t>ST_Dayofmonth_2</t>
  </si>
  <si>
    <t>VG9F016EA14A6BFFA</t>
  </si>
  <si>
    <t>ST_Dayofweek_3</t>
  </si>
  <si>
    <t>VG13DC253A11E960AB</t>
  </si>
  <si>
    <t>ST_Staffpayday_4</t>
  </si>
  <si>
    <t>VG1004D28E290D0F34</t>
  </si>
  <si>
    <t>ST_Facultypayday_5</t>
  </si>
  <si>
    <t>VGC67982D2F75761A</t>
  </si>
  <si>
    <t>ST_Afterorbeforeholiday_6</t>
  </si>
  <si>
    <t>VG1F3A8CA42F64C0C5</t>
  </si>
  <si>
    <t>ST_Arrivals_7</t>
  </si>
  <si>
    <t>Month = Apr</t>
  </si>
  <si>
    <t>Month = Aug</t>
  </si>
  <si>
    <t>Month = Dec</t>
  </si>
  <si>
    <t>Month = Feb</t>
  </si>
  <si>
    <t>Month = Jan</t>
  </si>
  <si>
    <t>Month = Jul</t>
  </si>
  <si>
    <t>Month = Jun</t>
  </si>
  <si>
    <t>Month = Mar</t>
  </si>
  <si>
    <t>Month = May</t>
  </si>
  <si>
    <t>Month = Nov</t>
  </si>
  <si>
    <t>Month = Oct</t>
  </si>
  <si>
    <t>Month = Sep</t>
  </si>
  <si>
    <t>VG3AC34C45208136E4</t>
  </si>
  <si>
    <t>ST_MonthApr</t>
  </si>
  <si>
    <t>VG164C35778A33457</t>
  </si>
  <si>
    <t>ST_MonthAug</t>
  </si>
  <si>
    <t>VG1BA42C681999799C</t>
  </si>
  <si>
    <t>ST_MonthDec</t>
  </si>
  <si>
    <t>VG2849BA662ECD5277</t>
  </si>
  <si>
    <t>ST_MonthFeb</t>
  </si>
  <si>
    <t>VGA73E99FAF252FC</t>
  </si>
  <si>
    <t>ST_MonthJan</t>
  </si>
  <si>
    <t>VG56DE17627612AE8</t>
  </si>
  <si>
    <t>ST_MonthJul</t>
  </si>
  <si>
    <t>VG1548F2103B705412</t>
  </si>
  <si>
    <t>ST_MonthJun</t>
  </si>
  <si>
    <t>VG1D8F44CE34B88D1D</t>
  </si>
  <si>
    <t>ST_MonthMar</t>
  </si>
  <si>
    <t>VG17108366298C8FF7</t>
  </si>
  <si>
    <t>ST_MonthMay</t>
  </si>
  <si>
    <t>VG2583B85D118E8253</t>
  </si>
  <si>
    <t>ST_MonthNov</t>
  </si>
  <si>
    <t>VG2F1633A7DCCDE56</t>
  </si>
  <si>
    <t>ST_MonthOct</t>
  </si>
  <si>
    <t>VG1AB4044F34F3B736</t>
  </si>
  <si>
    <t>ST_MonthSep</t>
  </si>
  <si>
    <t>Day of week = Fri</t>
  </si>
  <si>
    <t>Day of week = Mon</t>
  </si>
  <si>
    <t>Day of week = Thu</t>
  </si>
  <si>
    <t>Day of week = Tue</t>
  </si>
  <si>
    <t>Day of week = Wed</t>
  </si>
  <si>
    <t>VG92A9FE41940F257</t>
  </si>
  <si>
    <t>ST_DayofweekFri</t>
  </si>
  <si>
    <t>21 : Info</t>
  </si>
  <si>
    <t>VG360A95833A797F76</t>
  </si>
  <si>
    <t>ST_DayofweekMon</t>
  </si>
  <si>
    <t>21 : Ranges</t>
  </si>
  <si>
    <t>21 : MultiRefs</t>
  </si>
  <si>
    <t>22 : Info</t>
  </si>
  <si>
    <t>VG20A96AB4CB4D032</t>
  </si>
  <si>
    <t>ST_DayofweekThu</t>
  </si>
  <si>
    <t>22 : Ranges</t>
  </si>
  <si>
    <t>22 : MultiRefs</t>
  </si>
  <si>
    <t>23 : Info</t>
  </si>
  <si>
    <t>VG7FB17B0AACE653</t>
  </si>
  <si>
    <t>ST_DayofweekTue</t>
  </si>
  <si>
    <t>23 : Ranges</t>
  </si>
  <si>
    <t>23 : MultiRefs</t>
  </si>
  <si>
    <t>24 : Info</t>
  </si>
  <si>
    <t>VG115BC8E532F45816</t>
  </si>
  <si>
    <t>ST_DayofweekWed</t>
  </si>
  <si>
    <t>24 : Ranges</t>
  </si>
  <si>
    <t>24 : MultiRefs</t>
  </si>
  <si>
    <t>Staff payday = No</t>
  </si>
  <si>
    <t>Staff payday = Yes</t>
  </si>
  <si>
    <t>25 : Info</t>
  </si>
  <si>
    <t>VGD23E1791EB26178</t>
  </si>
  <si>
    <t>ST_StaffpaydayNo</t>
  </si>
  <si>
    <t>25 : Ranges</t>
  </si>
  <si>
    <t>25 : MultiRefs</t>
  </si>
  <si>
    <t>26 : Info</t>
  </si>
  <si>
    <t>VG986A35E2F4A8790</t>
  </si>
  <si>
    <t>ST_StaffpaydayYes</t>
  </si>
  <si>
    <t>26 : Ranges</t>
  </si>
  <si>
    <t>26 : MultiRefs</t>
  </si>
  <si>
    <t>Faculty payday = No</t>
  </si>
  <si>
    <t>Faculty payday = Yes</t>
  </si>
  <si>
    <t>27 : Info</t>
  </si>
  <si>
    <t>VG55C06FF13FAE629</t>
  </si>
  <si>
    <t>ST_FacultypaydayNo</t>
  </si>
  <si>
    <t>27 : Ranges</t>
  </si>
  <si>
    <t>27 : MultiRefs</t>
  </si>
  <si>
    <t>28 : Info</t>
  </si>
  <si>
    <t>VG16B95D91ADC9920</t>
  </si>
  <si>
    <t>ST_FacultypaydayYes</t>
  </si>
  <si>
    <t>28 : Ranges</t>
  </si>
  <si>
    <t>28 : MultiRefs</t>
  </si>
  <si>
    <t>After or before holiday = No</t>
  </si>
  <si>
    <t>After or before holiday = Yes</t>
  </si>
  <si>
    <t>29 : Info</t>
  </si>
  <si>
    <t>VGA230E472ED9F924</t>
  </si>
  <si>
    <t>ST_AfterorbeforeholidayNo</t>
  </si>
  <si>
    <t>29 : Ranges</t>
  </si>
  <si>
    <t>29 : MultiRefs</t>
  </si>
  <si>
    <t>30 : Info</t>
  </si>
  <si>
    <t>VG67D682FD9083A</t>
  </si>
  <si>
    <t>ST_AfterorbeforeholidayYes</t>
  </si>
  <si>
    <t>30 : Ranges</t>
  </si>
  <si>
    <t>30 : MultiRefs</t>
  </si>
  <si>
    <t>Linearly dependent variables ignored: Month = Sep, Day of week = Wed, Staff payday = Yes, Faculty payday = Yes, After or before holiday = Yes</t>
  </si>
  <si>
    <t>Arrivals = 1867.9900337 - 8.80323944 Day of month + 80.13064815 Month = Apr + 118.55062865 Month = Aug + 137.35446123 Month = Dec + 2.16259968 Month = Feb - 18.34736696 Month = Jan + 203.17453469 Month = Jul + 218.60594493 Month = Jun + 52.16200169 Month = Mar + 169.36256903 Month = May + 39.75349681 Month = Nov + 32.75407341 Month = Oct + 468.538374 Day of week = Fri + 255.36030115 Day of week = Mon + 22.73261546 Day of week = Thu + 5.08228994 Day of week = Tue - 366.36088338 Staff payday = No - 349.12753242 Faculty payday = No - 275.34177886 After or before holiday = No</t>
  </si>
  <si>
    <t>Baljit singh</t>
  </si>
  <si>
    <t>Month (Apr) * Day of month</t>
  </si>
  <si>
    <t>Month (Aug) * Day of month</t>
  </si>
  <si>
    <t>Month (Dec) * Day of month</t>
  </si>
  <si>
    <t>Month (Feb) * Day of month</t>
  </si>
  <si>
    <t>Month (Jan) * Day of month</t>
  </si>
  <si>
    <t>Month (Jul) * Day of month</t>
  </si>
  <si>
    <t>Month (Jun) * Day of month</t>
  </si>
  <si>
    <t>Month (Mar) * Day of month</t>
  </si>
  <si>
    <t>Month (May) * Day of month</t>
  </si>
  <si>
    <t>Month (Nov) * Day of month</t>
  </si>
  <si>
    <t>Month (Oct) * Day of month</t>
  </si>
  <si>
    <t>Arrivals = 1858.71512214 - 6.49238614 Day of month + 73.23502876 Month = Apr + 312.68845565 Month = Aug + 180.81346189 Month = Dec + 13.9922563 Month = Feb + 45.05767975 Month = Jan + 221.66854922 Month = Jul + 248.67457919 Month = Jun + 122.17355007 Month = Mar + 114.40052215 Month = May - 8.04915186 Month = Nov + 7.5535966 Month = Oct + 472.39290375 Day of week = Fri + 257.73800909 Day of week = Mon + 22.91747173 Day of week = Thu + 7.35807784 Day of week = Tue - 358.91374095 Staff payday = No - 381.93296487 Faculty payday = No - 270.08572015 After or before holiday = No</t>
  </si>
  <si>
    <t>Arrivals = 1858.71512214 - 18.99875698 Day of month + 73.23502876 Month = Apr + 312.68845565 Month = Aug + 180.81346189 Month = Dec + 13.9922563 Month = Feb + 45.05767975 Month = Jan + 221.66854922 Month = Jul + 248.67457919 Month = Jun + 122.17355007 Month = Mar + 114.40052215 Month = May - 8.04915186 Month = Nov + 7.5535966 Month = Oct + 472.39290375 Day of week = Fri + 257.73800909 Day of week = Mon + 22.91747173 Day of week = Thu + 7.35807784 Day of week = Tue - 358.91374095 Staff payday = No - 381.93296487 Faculty payday = No - 270.08572015 After or before holiday = No</t>
  </si>
  <si>
    <t>Arrivals = 1858.71512214 - 9.72445527 Day of month + 73.23502876 Month = Apr + 312.68845565 Month = Aug + 180.81346189 Month = Dec + 13.9922563 Month = Feb + 45.05767975 Month = Jan + 221.66854922 Month = Jul + 248.67457919 Month = Jun + 122.17355007 Month = Mar + 114.40052215 Month = May - 8.04915186 Month = Nov + 7.5535966 Month = Oct + 472.39290375 Day of week = Fri + 257.73800909 Day of week = Mon + 22.91747173 Day of week = Thu + 7.35807784 Day of week = Tue - 358.91374095 Staff payday = No - 381.93296487 Faculty payday = No - 270.08572015 After or before holiday = No</t>
  </si>
  <si>
    <t>Arrivals = 1858.71512214 - 7.78872567 Day of month + 73.23502876 Month = Apr + 312.68845565 Month = Aug + 180.81346189 Month = Dec + 13.9922563 Month = Feb + 45.05767975 Month = Jan + 221.66854922 Month = Jul + 248.67457919 Month = Jun + 122.17355007 Month = Mar + 114.40052215 Month = May - 8.04915186 Month = Nov + 7.5535966 Month = Oct + 472.39290375 Day of week = Fri + 257.73800909 Day of week = Mon + 22.91747173 Day of week = Thu + 7.35807784 Day of week = Tue - 358.91374095 Staff payday = No - 381.93296487 Faculty payday = No - 270.08572015 After or before holiday = No</t>
  </si>
  <si>
    <t>Arrivals = 1858.71512214 - 11.00621756 Day of month + 73.23502876 Month = Apr + 312.68845565 Month = Aug + 180.81346189 Month = Dec + 13.9922563 Month = Feb + 45.05767975 Month = Jan + 221.66854922 Month = Jul + 248.67457919 Month = Jun + 122.17355007 Month = Mar + 114.40052215 Month = May - 8.04915186 Month = Nov + 7.5535966 Month = Oct + 472.39290375 Day of week = Fri + 257.73800909 Day of week = Mon + 22.91747173 Day of week = Thu + 7.35807784 Day of week = Tue - 358.91374095 Staff payday = No - 381.93296487 Faculty payday = No - 270.08572015 After or before holiday = No</t>
  </si>
  <si>
    <t>Arrivals = 1858.71512214 - 8.1850058 Day of month + 73.23502876 Month = Apr + 312.68845565 Month = Aug + 180.81346189 Month = Dec + 13.9922563 Month = Feb + 45.05767975 Month = Jan + 221.66854922 Month = Jul + 248.67457919 Month = Jun + 122.17355007 Month = Mar + 114.40052215 Month = May - 8.04915186 Month = Nov + 7.5535966 Month = Oct + 472.39290375 Day of week = Fri + 257.73800909 Day of week = Mon + 22.91747173 Day of week = Thu + 7.35807784 Day of week = Tue - 358.91374095 Staff payday = No - 381.93296487 Faculty payday = No - 270.08572015 After or before holiday = No</t>
  </si>
  <si>
    <t>Arrivals = 1858.71512214 - 8.92135768 Day of month + 73.23502876 Month = Apr + 312.68845565 Month = Aug + 180.81346189 Month = Dec + 13.9922563 Month = Feb + 45.05767975 Month = Jan + 221.66854922 Month = Jul + 248.67457919 Month = Jun + 122.17355007 Month = Mar + 114.40052215 Month = May - 8.04915186 Month = Nov + 7.5535966 Month = Oct + 472.39290375 Day of week = Fri + 257.73800909 Day of week = Mon + 22.91747173 Day of week = Thu + 7.35807784 Day of week = Tue - 358.91374095 Staff payday = No - 381.93296487 Faculty payday = No - 270.08572015 After or before holiday = No</t>
  </si>
  <si>
    <t>Arrivals = 1858.71512214 - 11.56821755 Day of month + 73.23502876 Month = Apr + 312.68845565 Month = Aug + 180.81346189 Month = Dec + 13.9922563 Month = Feb + 45.05767975 Month = Jan + 221.66854922 Month = Jul + 248.67457919 Month = Jun + 122.17355007 Month = Mar + 114.40052215 Month = May - 8.04915186 Month = Nov + 7.5535966 Month = Oct + 472.39290375 Day of week = Fri + 257.73800909 Day of week = Mon + 22.91747173 Day of week = Thu + 7.35807784 Day of week = Tue - 358.91374095 Staff payday = No - 381.93296487 Faculty payday = No - 270.08572015 After or before holiday = No</t>
  </si>
  <si>
    <t>Arrivals = 1858.71512214 - 3.58866266 Day of month + 73.23502876 Month = Apr + 312.68845565 Month = Aug + 180.81346189 Month = Dec + 13.9922563 Month = Feb + 45.05767975 Month = Jan + 221.66854922 Month = Jul + 248.67457919 Month = Jun + 122.17355007 Month = Mar + 114.40052215 Month = May - 8.04915186 Month = Nov + 7.5535966 Month = Oct + 472.39290375 Day of week = Fri + 257.73800909 Day of week = Mon + 22.91747173 Day of week = Thu + 7.35807784 Day of week = Tue - 358.91374095 Staff payday = No - 381.93296487 Faculty payday = No - 270.08572015 After or before holiday = No</t>
  </si>
  <si>
    <t>Arrivals = 1858.71512214 - 4.16729394 Day of month + 73.23502876 Month = Apr + 312.68845565 Month = Aug + 180.81346189 Month = Dec + 13.9922563 Month = Feb + 45.05767975 Month = Jan + 221.66854922 Month = Jul + 248.67457919 Month = Jun + 122.17355007 Month = Mar + 114.40052215 Month = May - 8.04915186 Month = Nov + 7.5535966 Month = Oct + 472.39290375 Day of week = Fri + 257.73800909 Day of week = Mon + 22.91747173 Day of week = Thu + 7.35807784 Day of week = Tue - 358.91374095 Staff payday = No - 381.93296487 Faculty payday = No - 270.08572015 After or before holiday = No</t>
  </si>
  <si>
    <t>Arrivals = 1858.71512214 - 5.4756031 Day of month + 73.23502876 Month = Apr + 312.68845565 Month = Aug + 180.81346189 Month = Dec + 13.9922563 Month = Feb + 45.05767975 Month = Jan + 221.66854922 Month = Jul + 248.67457919 Month = Jun + 122.17355007 Month = Mar + 114.40052215 Month = May - 8.04915186 Month = Nov + 7.5535966 Month = Oct + 472.39290375 Day of week = Fri + 257.73800909 Day of week = Mon + 22.91747173 Day of week = Thu + 7.35807784 Day of week = Tue - 358.91374095 Staff payday = No - 381.93296487 Faculty payday = No - 270.08572015 After or before holiday = No</t>
  </si>
  <si>
    <t>Arrivals = 1858.71512214 - 7.02499111 Day of month + 73.23502876 Month = Apr + 312.68845565 Month = Aug + 180.81346189 Month = Dec + 13.9922563 Month = Feb + 45.05767975 Month = Jan + 221.66854922 Month = Jul + 248.67457919 Month = Jun + 122.17355007 Month = Mar + 114.40052215 Month = May - 8.04915186 Month = Nov + 7.5535966 Month = Oct + 472.39290375 Day of week = Fri + 257.73800909 Day of week = Mon + 22.91747173 Day of week = Thu + 7.35807784 Day of week = Tue - 358.91374095 Staff payday = No - 381.93296487 Faculty payday = No - 270.08572015 After or before holiday =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</si>
</sst>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[&lt;0.0001]&quot;&lt; 0.0001&quot;;0.0000"/>
    <numFmt numFmtId="166" formatCode="0.000"/>
  </numFmts>
  <fonts count="9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8"/>
      <color theme="1"/>
      <name val="Aptos Narrow"/>
      <family val="2"/>
      <scheme val="minor"/>
    </font>
    <font>
      <sz val="9"/>
      <color indexed="81"/>
      <name val="Tahoma"/>
      <family val="2"/>
    </font>
    <font>
      <b/>
      <u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CC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ashed">
        <color indexed="64"/>
      </right>
      <top style="dashed">
        <color rgb="FF000000"/>
      </top>
      <bottom/>
      <diagonal/>
    </border>
    <border>
      <left style="dashed">
        <color indexed="64"/>
      </left>
      <right style="dashed">
        <color indexed="64"/>
      </right>
      <top style="dashed">
        <color rgb="FF000000"/>
      </top>
      <bottom/>
      <diagonal/>
    </border>
    <border>
      <left style="dashed">
        <color indexed="64"/>
      </left>
      <right style="double">
        <color indexed="64"/>
      </right>
      <top style="dashed">
        <color rgb="FF000000"/>
      </top>
      <bottom/>
      <diagonal/>
    </border>
    <border>
      <left style="double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ashed">
        <color indexed="64"/>
      </right>
      <top/>
      <bottom style="double">
        <color indexed="64"/>
      </bottom>
      <diagonal/>
    </border>
    <border>
      <left style="dashed">
        <color indexed="64"/>
      </left>
      <right style="dashed">
        <color indexed="64"/>
      </right>
      <top/>
      <bottom style="double">
        <color indexed="64"/>
      </bottom>
      <diagonal/>
    </border>
    <border>
      <left style="dashed">
        <color indexed="64"/>
      </left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/>
    <xf numFmtId="0" fontId="3" fillId="2" borderId="1" xfId="0" applyFont="1" applyFill="1" applyBorder="1"/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15" fontId="3" fillId="2" borderId="0" xfId="0" applyNumberFormat="1" applyFont="1" applyFill="1" applyAlignment="1">
      <alignment horizontal="left"/>
    </xf>
    <xf numFmtId="0" fontId="0" fillId="0" borderId="0" xfId="0" applyAlignment="1">
      <alignment horizontal="center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left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left"/>
    </xf>
    <xf numFmtId="166" fontId="0" fillId="0" borderId="0" xfId="0" applyNumberFormat="1" applyAlignment="1">
      <alignment horizontal="center"/>
    </xf>
    <xf numFmtId="0" fontId="1" fillId="4" borderId="4" xfId="0" applyFont="1" applyFill="1" applyBorder="1" applyAlignment="1">
      <alignment horizontal="right"/>
    </xf>
    <xf numFmtId="0" fontId="0" fillId="4" borderId="5" xfId="0" applyFill="1" applyBorder="1"/>
    <xf numFmtId="0" fontId="1" fillId="3" borderId="7" xfId="0" applyFont="1" applyFill="1" applyBorder="1"/>
    <xf numFmtId="0" fontId="0" fillId="3" borderId="8" xfId="0" applyFill="1" applyBorder="1"/>
    <xf numFmtId="0" fontId="1" fillId="3" borderId="10" xfId="0" applyFont="1" applyFill="1" applyBorder="1"/>
    <xf numFmtId="0" fontId="0" fillId="3" borderId="11" xfId="0" applyFill="1" applyBorder="1"/>
    <xf numFmtId="0" fontId="1" fillId="3" borderId="13" xfId="0" applyFont="1" applyFill="1" applyBorder="1"/>
    <xf numFmtId="0" fontId="0" fillId="3" borderId="14" xfId="0" applyFill="1" applyBorder="1"/>
    <xf numFmtId="0" fontId="0" fillId="4" borderId="4" xfId="0" applyFill="1" applyBorder="1"/>
    <xf numFmtId="0" fontId="0" fillId="3" borderId="7" xfId="0" applyFill="1" applyBorder="1"/>
    <xf numFmtId="0" fontId="0" fillId="3" borderId="10" xfId="0" applyFill="1" applyBorder="1"/>
    <xf numFmtId="0" fontId="0" fillId="3" borderId="13" xfId="0" applyFill="1" applyBorder="1"/>
    <xf numFmtId="49" fontId="4" fillId="0" borderId="2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left"/>
    </xf>
    <xf numFmtId="49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4" fillId="0" borderId="0" xfId="0" applyNumberFormat="1" applyFont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/>
            </a:pPr>
            <a:r>
              <a:rPr lang="en-US"/>
              <a:t>Scatterplot of Residuals vs Fit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plus"/>
            <c:size val="5"/>
            <c:spPr>
              <a:noFill/>
              <a:ln>
                <a:solidFill>
                  <a:srgbClr val="333399"/>
                </a:solidFill>
                <a:prstDash val="solid"/>
              </a:ln>
            </c:spPr>
          </c:marker>
          <c:xVal>
            <c:numRef>
              <c:f>'Regression(a.)'!$C$122:$C$375</c:f>
              <c:numCache>
                <c:formatCode>General</c:formatCode>
                <c:ptCount val="254"/>
                <c:pt idx="0">
                  <c:v>1837.1184777977098</c:v>
                </c:pt>
                <c:pt idx="1">
                  <c:v>832.40275375787792</c:v>
                </c:pt>
                <c:pt idx="2">
                  <c:v>846.33212977510561</c:v>
                </c:pt>
                <c:pt idx="3">
                  <c:v>1649.6955322558124</c:v>
                </c:pt>
                <c:pt idx="4">
                  <c:v>1043.746857704615</c:v>
                </c:pt>
                <c:pt idx="5">
                  <c:v>784.66560704888479</c:v>
                </c:pt>
                <c:pt idx="6">
                  <c:v>770.78007767051031</c:v>
                </c:pt>
                <c:pt idx="7">
                  <c:v>784.70945368773801</c:v>
                </c:pt>
                <c:pt idx="8">
                  <c:v>1221.7119727912163</c:v>
                </c:pt>
                <c:pt idx="9">
                  <c:v>982.12418161724736</c:v>
                </c:pt>
                <c:pt idx="10">
                  <c:v>723.04293096151741</c:v>
                </c:pt>
                <c:pt idx="11">
                  <c:v>709.15740158314293</c:v>
                </c:pt>
                <c:pt idx="12">
                  <c:v>723.08677760037062</c:v>
                </c:pt>
                <c:pt idx="13">
                  <c:v>1526.4501800810776</c:v>
                </c:pt>
                <c:pt idx="14">
                  <c:v>920.50150552987998</c:v>
                </c:pt>
                <c:pt idx="15">
                  <c:v>661.4202548741498</c:v>
                </c:pt>
                <c:pt idx="16">
                  <c:v>647.53472549577532</c:v>
                </c:pt>
                <c:pt idx="17">
                  <c:v>661.46410151300302</c:v>
                </c:pt>
                <c:pt idx="18">
                  <c:v>1098.4666206164811</c:v>
                </c:pt>
                <c:pt idx="19">
                  <c:v>858.87882944251237</c:v>
                </c:pt>
                <c:pt idx="20">
                  <c:v>599.79757878678242</c:v>
                </c:pt>
                <c:pt idx="21">
                  <c:v>585.91204940840794</c:v>
                </c:pt>
                <c:pt idx="22">
                  <c:v>1242.3793471511954</c:v>
                </c:pt>
                <c:pt idx="23">
                  <c:v>1696.615217212634</c:v>
                </c:pt>
                <c:pt idx="24">
                  <c:v>1090.6665426614363</c:v>
                </c:pt>
                <c:pt idx="25">
                  <c:v>831.58529200570638</c:v>
                </c:pt>
                <c:pt idx="26">
                  <c:v>817.69976262733189</c:v>
                </c:pt>
                <c:pt idx="27">
                  <c:v>831.62913864455959</c:v>
                </c:pt>
                <c:pt idx="28">
                  <c:v>1268.6316577480375</c:v>
                </c:pt>
                <c:pt idx="29">
                  <c:v>1029.0438665740685</c:v>
                </c:pt>
                <c:pt idx="30">
                  <c:v>769.96261591833854</c:v>
                </c:pt>
                <c:pt idx="31">
                  <c:v>756.07708653996406</c:v>
                </c:pt>
                <c:pt idx="32">
                  <c:v>770.00646255719175</c:v>
                </c:pt>
                <c:pt idx="33">
                  <c:v>1573.3698650378988</c:v>
                </c:pt>
                <c:pt idx="34">
                  <c:v>967.42119048670111</c:v>
                </c:pt>
                <c:pt idx="35">
                  <c:v>708.33993983097116</c:v>
                </c:pt>
                <c:pt idx="36">
                  <c:v>694.45441045259668</c:v>
                </c:pt>
                <c:pt idx="37">
                  <c:v>708.38378646982437</c:v>
                </c:pt>
                <c:pt idx="38">
                  <c:v>1145.3863055733027</c:v>
                </c:pt>
                <c:pt idx="39">
                  <c:v>905.79851439933373</c:v>
                </c:pt>
                <c:pt idx="40">
                  <c:v>646.71726374360378</c:v>
                </c:pt>
                <c:pt idx="41">
                  <c:v>632.83173436522929</c:v>
                </c:pt>
                <c:pt idx="42">
                  <c:v>1292.3787491664286</c:v>
                </c:pt>
                <c:pt idx="43">
                  <c:v>1746.6146192278675</c:v>
                </c:pt>
                <c:pt idx="44">
                  <c:v>1140.6659446766698</c:v>
                </c:pt>
                <c:pt idx="45">
                  <c:v>881.58469402093965</c:v>
                </c:pt>
                <c:pt idx="46">
                  <c:v>867.69916464256517</c:v>
                </c:pt>
                <c:pt idx="47">
                  <c:v>881.62854065979286</c:v>
                </c:pt>
                <c:pt idx="48">
                  <c:v>1318.631059763271</c:v>
                </c:pt>
                <c:pt idx="49">
                  <c:v>1079.043268589302</c:v>
                </c:pt>
                <c:pt idx="50">
                  <c:v>819.96201793357204</c:v>
                </c:pt>
                <c:pt idx="51">
                  <c:v>806.07648855519756</c:v>
                </c:pt>
                <c:pt idx="52">
                  <c:v>820.00586457242525</c:v>
                </c:pt>
                <c:pt idx="53">
                  <c:v>1623.3692670531323</c:v>
                </c:pt>
                <c:pt idx="54">
                  <c:v>1017.4205925019346</c:v>
                </c:pt>
                <c:pt idx="55">
                  <c:v>758.33934184620466</c:v>
                </c:pt>
                <c:pt idx="56">
                  <c:v>744.45381246783018</c:v>
                </c:pt>
                <c:pt idx="57">
                  <c:v>758.38318848505787</c:v>
                </c:pt>
                <c:pt idx="58">
                  <c:v>1195.3857075885362</c:v>
                </c:pt>
                <c:pt idx="59">
                  <c:v>955.797916414567</c:v>
                </c:pt>
                <c:pt idx="60">
                  <c:v>696.71666575883705</c:v>
                </c:pt>
                <c:pt idx="61">
                  <c:v>682.83113638046257</c:v>
                </c:pt>
                <c:pt idx="62">
                  <c:v>696.76051239769026</c:v>
                </c:pt>
                <c:pt idx="63">
                  <c:v>1849.2514472976654</c:v>
                </c:pt>
                <c:pt idx="64">
                  <c:v>1195.0443094617322</c:v>
                </c:pt>
                <c:pt idx="65">
                  <c:v>935.96305880600244</c:v>
                </c:pt>
                <c:pt idx="66">
                  <c:v>922.07752942762795</c:v>
                </c:pt>
                <c:pt idx="67">
                  <c:v>936.00690544485565</c:v>
                </c:pt>
                <c:pt idx="68">
                  <c:v>1373.0094245483342</c:v>
                </c:pt>
                <c:pt idx="69">
                  <c:v>1133.4216333743648</c:v>
                </c:pt>
                <c:pt idx="70">
                  <c:v>874.34038271863483</c:v>
                </c:pt>
                <c:pt idx="71">
                  <c:v>860.45485334026034</c:v>
                </c:pt>
                <c:pt idx="72">
                  <c:v>1240.7451127347167</c:v>
                </c:pt>
                <c:pt idx="73">
                  <c:v>1311.3867484609664</c:v>
                </c:pt>
                <c:pt idx="74">
                  <c:v>1071.7989572869974</c:v>
                </c:pt>
                <c:pt idx="75">
                  <c:v>812.71770663126745</c:v>
                </c:pt>
                <c:pt idx="76">
                  <c:v>798.83217725289296</c:v>
                </c:pt>
                <c:pt idx="77">
                  <c:v>812.76155327012066</c:v>
                </c:pt>
                <c:pt idx="78">
                  <c:v>1249.764072373599</c:v>
                </c:pt>
                <c:pt idx="79">
                  <c:v>1010.1762811996298</c:v>
                </c:pt>
                <c:pt idx="80">
                  <c:v>751.09503054389984</c:v>
                </c:pt>
                <c:pt idx="81">
                  <c:v>737.20950116552535</c:v>
                </c:pt>
                <c:pt idx="82">
                  <c:v>751.13887718275305</c:v>
                </c:pt>
                <c:pt idx="83">
                  <c:v>1554.5022796634603</c:v>
                </c:pt>
                <c:pt idx="84">
                  <c:v>948.5536051122624</c:v>
                </c:pt>
                <c:pt idx="85">
                  <c:v>1391.9289909867584</c:v>
                </c:pt>
                <c:pt idx="86">
                  <c:v>1028.9159291891156</c:v>
                </c:pt>
                <c:pt idx="87">
                  <c:v>1042.8453052063433</c:v>
                </c:pt>
                <c:pt idx="88">
                  <c:v>1479.8478243098216</c:v>
                </c:pt>
                <c:pt idx="89">
                  <c:v>1240.2600331358526</c:v>
                </c:pt>
                <c:pt idx="90">
                  <c:v>981.17878248012266</c:v>
                </c:pt>
                <c:pt idx="91">
                  <c:v>967.29325310174795</c:v>
                </c:pt>
                <c:pt idx="92">
                  <c:v>981.22262911897565</c:v>
                </c:pt>
                <c:pt idx="93">
                  <c:v>2133.7135640189508</c:v>
                </c:pt>
                <c:pt idx="94">
                  <c:v>1178.6373570484848</c:v>
                </c:pt>
                <c:pt idx="95">
                  <c:v>919.55610639275505</c:v>
                </c:pt>
                <c:pt idx="96">
                  <c:v>905.67057701438057</c:v>
                </c:pt>
                <c:pt idx="97">
                  <c:v>919.59995303160827</c:v>
                </c:pt>
                <c:pt idx="98">
                  <c:v>1356.6024721350868</c:v>
                </c:pt>
                <c:pt idx="99">
                  <c:v>1117.0146809611178</c:v>
                </c:pt>
                <c:pt idx="100">
                  <c:v>857.93343030538767</c:v>
                </c:pt>
                <c:pt idx="101">
                  <c:v>844.04790092701296</c:v>
                </c:pt>
                <c:pt idx="102">
                  <c:v>857.97727694424066</c:v>
                </c:pt>
                <c:pt idx="103">
                  <c:v>1570.3215749126794</c:v>
                </c:pt>
                <c:pt idx="104">
                  <c:v>1071.6525330829804</c:v>
                </c:pt>
                <c:pt idx="105">
                  <c:v>782.42522483964558</c:v>
                </c:pt>
                <c:pt idx="106">
                  <c:v>796.35460085687328</c:v>
                </c:pt>
                <c:pt idx="107">
                  <c:v>1555.5009185265399</c:v>
                </c:pt>
                <c:pt idx="108">
                  <c:v>1315.9131273525713</c:v>
                </c:pt>
                <c:pt idx="109">
                  <c:v>1056.8318766968412</c:v>
                </c:pt>
                <c:pt idx="110">
                  <c:v>1042.9463473184667</c:v>
                </c:pt>
                <c:pt idx="111">
                  <c:v>1056.8757233356944</c:v>
                </c:pt>
                <c:pt idx="112">
                  <c:v>1860.2391258164016</c:v>
                </c:pt>
                <c:pt idx="113">
                  <c:v>1254.2904512652035</c:v>
                </c:pt>
                <c:pt idx="114">
                  <c:v>995.20920060947356</c:v>
                </c:pt>
                <c:pt idx="115">
                  <c:v>995.25304724832677</c:v>
                </c:pt>
                <c:pt idx="116">
                  <c:v>1432.2555663518051</c:v>
                </c:pt>
                <c:pt idx="117">
                  <c:v>1192.6677751778361</c:v>
                </c:pt>
                <c:pt idx="118">
                  <c:v>933.58652452210617</c:v>
                </c:pt>
                <c:pt idx="119">
                  <c:v>919.70099514373169</c:v>
                </c:pt>
                <c:pt idx="120">
                  <c:v>933.63037116095938</c:v>
                </c:pt>
                <c:pt idx="121">
                  <c:v>1736.9937736416664</c:v>
                </c:pt>
                <c:pt idx="122">
                  <c:v>1131.0450990904683</c:v>
                </c:pt>
                <c:pt idx="123">
                  <c:v>871.96384843473857</c:v>
                </c:pt>
                <c:pt idx="124">
                  <c:v>858.07831905636408</c:v>
                </c:pt>
                <c:pt idx="125">
                  <c:v>872.00769507359178</c:v>
                </c:pt>
                <c:pt idx="126">
                  <c:v>1309.0102141770703</c:v>
                </c:pt>
                <c:pt idx="127">
                  <c:v>1318.0881959970275</c:v>
                </c:pt>
                <c:pt idx="128">
                  <c:v>1334.3487242062579</c:v>
                </c:pt>
                <c:pt idx="129">
                  <c:v>1334.3925708451111</c:v>
                </c:pt>
                <c:pt idx="130">
                  <c:v>1862.4141944608577</c:v>
                </c:pt>
                <c:pt idx="131">
                  <c:v>1256.4655199096596</c:v>
                </c:pt>
                <c:pt idx="132">
                  <c:v>997.38426925392969</c:v>
                </c:pt>
                <c:pt idx="133">
                  <c:v>983.4987398755552</c:v>
                </c:pt>
                <c:pt idx="134">
                  <c:v>997.4281158927829</c:v>
                </c:pt>
                <c:pt idx="135">
                  <c:v>1434.4306349962612</c:v>
                </c:pt>
                <c:pt idx="136">
                  <c:v>1194.8428438222923</c:v>
                </c:pt>
                <c:pt idx="137">
                  <c:v>935.76159316656231</c:v>
                </c:pt>
                <c:pt idx="138">
                  <c:v>921.87606378818782</c:v>
                </c:pt>
                <c:pt idx="139">
                  <c:v>935.80543980541552</c:v>
                </c:pt>
                <c:pt idx="140">
                  <c:v>1739.1688422861225</c:v>
                </c:pt>
                <c:pt idx="141">
                  <c:v>1133.2201677349249</c:v>
                </c:pt>
                <c:pt idx="142">
                  <c:v>874.13891707919493</c:v>
                </c:pt>
                <c:pt idx="143">
                  <c:v>860.25338770082044</c:v>
                </c:pt>
                <c:pt idx="144">
                  <c:v>874.18276371804814</c:v>
                </c:pt>
                <c:pt idx="145">
                  <c:v>1311.1852828215265</c:v>
                </c:pt>
                <c:pt idx="146">
                  <c:v>1071.5974916475575</c:v>
                </c:pt>
                <c:pt idx="147">
                  <c:v>812.51624099182754</c:v>
                </c:pt>
                <c:pt idx="148">
                  <c:v>986.90722824402906</c:v>
                </c:pt>
                <c:pt idx="149">
                  <c:v>1000.8366042612568</c:v>
                </c:pt>
                <c:pt idx="150">
                  <c:v>1804.200006741964</c:v>
                </c:pt>
                <c:pt idx="151">
                  <c:v>1198.2513321907663</c:v>
                </c:pt>
                <c:pt idx="152">
                  <c:v>939.17008153503616</c:v>
                </c:pt>
                <c:pt idx="153">
                  <c:v>925.28455215666168</c:v>
                </c:pt>
                <c:pt idx="154">
                  <c:v>939.21392817388914</c:v>
                </c:pt>
                <c:pt idx="155">
                  <c:v>1376.2164472773675</c:v>
                </c:pt>
                <c:pt idx="156">
                  <c:v>1136.6286561033985</c:v>
                </c:pt>
                <c:pt idx="157">
                  <c:v>877.54740544766855</c:v>
                </c:pt>
                <c:pt idx="158">
                  <c:v>863.66187606929407</c:v>
                </c:pt>
                <c:pt idx="159">
                  <c:v>877.59125208652176</c:v>
                </c:pt>
                <c:pt idx="160">
                  <c:v>1680.9546545672288</c:v>
                </c:pt>
                <c:pt idx="161">
                  <c:v>1075.0059800160311</c:v>
                </c:pt>
                <c:pt idx="162">
                  <c:v>815.92472936030117</c:v>
                </c:pt>
                <c:pt idx="163">
                  <c:v>802.03919998192669</c:v>
                </c:pt>
                <c:pt idx="164">
                  <c:v>815.96857599915415</c:v>
                </c:pt>
                <c:pt idx="165">
                  <c:v>1252.9710951026327</c:v>
                </c:pt>
                <c:pt idx="166">
                  <c:v>1013.3833039286635</c:v>
                </c:pt>
                <c:pt idx="167">
                  <c:v>754.30205327293356</c:v>
                </c:pt>
                <c:pt idx="168">
                  <c:v>740.41652389455908</c:v>
                </c:pt>
                <c:pt idx="169">
                  <c:v>754.34589991178677</c:v>
                </c:pt>
                <c:pt idx="170">
                  <c:v>2182.1786136767223</c:v>
                </c:pt>
                <c:pt idx="171">
                  <c:v>1122.3709500767022</c:v>
                </c:pt>
                <c:pt idx="172">
                  <c:v>833.14364183336738</c:v>
                </c:pt>
                <c:pt idx="173">
                  <c:v>847.07301785059508</c:v>
                </c:pt>
                <c:pt idx="174">
                  <c:v>1284.0755369540734</c:v>
                </c:pt>
                <c:pt idx="175">
                  <c:v>1044.4877457801042</c:v>
                </c:pt>
                <c:pt idx="176">
                  <c:v>785.40649512437426</c:v>
                </c:pt>
                <c:pt idx="177">
                  <c:v>771.52096574599977</c:v>
                </c:pt>
                <c:pt idx="178">
                  <c:v>785.45034176322747</c:v>
                </c:pt>
                <c:pt idx="179">
                  <c:v>1588.8137442439347</c:v>
                </c:pt>
                <c:pt idx="180">
                  <c:v>982.86506969273682</c:v>
                </c:pt>
                <c:pt idx="181">
                  <c:v>723.78381903700688</c:v>
                </c:pt>
                <c:pt idx="182">
                  <c:v>709.89828965863239</c:v>
                </c:pt>
                <c:pt idx="183">
                  <c:v>723.82766567586009</c:v>
                </c:pt>
                <c:pt idx="184">
                  <c:v>1160.8301847793382</c:v>
                </c:pt>
                <c:pt idx="185">
                  <c:v>921.24239360536922</c:v>
                </c:pt>
                <c:pt idx="186">
                  <c:v>662.16114294963927</c:v>
                </c:pt>
                <c:pt idx="187">
                  <c:v>648.27561357126478</c:v>
                </c:pt>
                <c:pt idx="188">
                  <c:v>662.20498958849248</c:v>
                </c:pt>
                <c:pt idx="189">
                  <c:v>1465.5683920691995</c:v>
                </c:pt>
                <c:pt idx="190">
                  <c:v>1505.598506578654</c:v>
                </c:pt>
                <c:pt idx="191">
                  <c:v>897.38972350365566</c:v>
                </c:pt>
                <c:pt idx="192">
                  <c:v>883.50419412528117</c:v>
                </c:pt>
                <c:pt idx="193">
                  <c:v>897.43357014250887</c:v>
                </c:pt>
                <c:pt idx="194">
                  <c:v>1334.4360892459872</c:v>
                </c:pt>
                <c:pt idx="195">
                  <c:v>1094.8482980720182</c:v>
                </c:pt>
                <c:pt idx="196">
                  <c:v>835.76704741628805</c:v>
                </c:pt>
                <c:pt idx="197">
                  <c:v>821.88151803791357</c:v>
                </c:pt>
                <c:pt idx="198">
                  <c:v>835.81089405514126</c:v>
                </c:pt>
                <c:pt idx="199">
                  <c:v>1639.174296535848</c:v>
                </c:pt>
                <c:pt idx="200">
                  <c:v>1033.2256219846506</c:v>
                </c:pt>
                <c:pt idx="201">
                  <c:v>774.14437132892067</c:v>
                </c:pt>
                <c:pt idx="202">
                  <c:v>760.25884195054618</c:v>
                </c:pt>
                <c:pt idx="203">
                  <c:v>774.18821796777388</c:v>
                </c:pt>
                <c:pt idx="204">
                  <c:v>1211.190737071252</c:v>
                </c:pt>
                <c:pt idx="205">
                  <c:v>971.60294589728323</c:v>
                </c:pt>
                <c:pt idx="206">
                  <c:v>712.52169524155306</c:v>
                </c:pt>
                <c:pt idx="207">
                  <c:v>698.63616586317858</c:v>
                </c:pt>
                <c:pt idx="208">
                  <c:v>712.56554188040627</c:v>
                </c:pt>
                <c:pt idx="209">
                  <c:v>1515.9289443611133</c:v>
                </c:pt>
                <c:pt idx="210">
                  <c:v>909.98026980991563</c:v>
                </c:pt>
                <c:pt idx="211">
                  <c:v>650.89901915418568</c:v>
                </c:pt>
                <c:pt idx="212">
                  <c:v>637.01348977581119</c:v>
                </c:pt>
                <c:pt idx="213">
                  <c:v>1279.9702442859293</c:v>
                </c:pt>
                <c:pt idx="214">
                  <c:v>1367.8452309701393</c:v>
                </c:pt>
                <c:pt idx="215">
                  <c:v>1128.2574397961703</c:v>
                </c:pt>
                <c:pt idx="216">
                  <c:v>869.17618914044033</c:v>
                </c:pt>
                <c:pt idx="217">
                  <c:v>855.29065976206584</c:v>
                </c:pt>
                <c:pt idx="218">
                  <c:v>869.22003577929354</c:v>
                </c:pt>
                <c:pt idx="219">
                  <c:v>1672.5834382600005</c:v>
                </c:pt>
                <c:pt idx="220">
                  <c:v>1066.6347637088029</c:v>
                </c:pt>
                <c:pt idx="221">
                  <c:v>807.55351305307272</c:v>
                </c:pt>
                <c:pt idx="222">
                  <c:v>793.66798367469823</c:v>
                </c:pt>
                <c:pt idx="223">
                  <c:v>807.59735969192593</c:v>
                </c:pt>
                <c:pt idx="224">
                  <c:v>1244.599878795404</c:v>
                </c:pt>
                <c:pt idx="225">
                  <c:v>1005.0120876214353</c:v>
                </c:pt>
                <c:pt idx="226">
                  <c:v>745.93083696570534</c:v>
                </c:pt>
                <c:pt idx="227">
                  <c:v>1007.3870864522912</c:v>
                </c:pt>
                <c:pt idx="228">
                  <c:v>1458.318981572997</c:v>
                </c:pt>
                <c:pt idx="229">
                  <c:v>943.38941153406768</c:v>
                </c:pt>
                <c:pt idx="230">
                  <c:v>684.30816087833773</c:v>
                </c:pt>
                <c:pt idx="231">
                  <c:v>670.42263149996325</c:v>
                </c:pt>
                <c:pt idx="232">
                  <c:v>684.35200751719094</c:v>
                </c:pt>
                <c:pt idx="233">
                  <c:v>1470.4820590399377</c:v>
                </c:pt>
                <c:pt idx="234">
                  <c:v>1243.4648831024288</c:v>
                </c:pt>
                <c:pt idx="235">
                  <c:v>984.38363244669881</c:v>
                </c:pt>
                <c:pt idx="236">
                  <c:v>970.49810306832433</c:v>
                </c:pt>
                <c:pt idx="237">
                  <c:v>984.42747908555202</c:v>
                </c:pt>
                <c:pt idx="238">
                  <c:v>1787.790881566259</c:v>
                </c:pt>
                <c:pt idx="239">
                  <c:v>1181.8422070150609</c:v>
                </c:pt>
                <c:pt idx="240">
                  <c:v>922.7609563593312</c:v>
                </c:pt>
                <c:pt idx="241">
                  <c:v>908.87542698095672</c:v>
                </c:pt>
                <c:pt idx="242">
                  <c:v>922.80480299818441</c:v>
                </c:pt>
                <c:pt idx="243">
                  <c:v>1359.807322101663</c:v>
                </c:pt>
                <c:pt idx="244">
                  <c:v>1120.219530927694</c:v>
                </c:pt>
                <c:pt idx="245">
                  <c:v>861.13828027196382</c:v>
                </c:pt>
                <c:pt idx="246">
                  <c:v>847.25275089358934</c:v>
                </c:pt>
                <c:pt idx="247">
                  <c:v>861.18212691081703</c:v>
                </c:pt>
                <c:pt idx="248">
                  <c:v>1664.5455293915238</c:v>
                </c:pt>
                <c:pt idx="249">
                  <c:v>1333.9386337052865</c:v>
                </c:pt>
                <c:pt idx="250">
                  <c:v>1060.9718536711821</c:v>
                </c:pt>
                <c:pt idx="251">
                  <c:v>799.55945082344942</c:v>
                </c:pt>
                <c:pt idx="252">
                  <c:v>1236.5619699269278</c:v>
                </c:pt>
                <c:pt idx="253">
                  <c:v>996.97417875295878</c:v>
                </c:pt>
              </c:numCache>
            </c:numRef>
          </c:xVal>
          <c:yVal>
            <c:numRef>
              <c:f>'Regression(a.)'!$D$122:$D$375</c:f>
              <c:numCache>
                <c:formatCode>General</c:formatCode>
                <c:ptCount val="254"/>
                <c:pt idx="0">
                  <c:v>-12.118477797709829</c:v>
                </c:pt>
                <c:pt idx="1">
                  <c:v>424.59724624212208</c:v>
                </c:pt>
                <c:pt idx="2">
                  <c:v>122.66787022489439</c:v>
                </c:pt>
                <c:pt idx="3">
                  <c:v>22.304467744187605</c:v>
                </c:pt>
                <c:pt idx="4">
                  <c:v>54.253142295385032</c:v>
                </c:pt>
                <c:pt idx="5">
                  <c:v>-93.665607048884794</c:v>
                </c:pt>
                <c:pt idx="6">
                  <c:v>-98.780077670510309</c:v>
                </c:pt>
                <c:pt idx="7">
                  <c:v>-30.709453687738005</c:v>
                </c:pt>
                <c:pt idx="8">
                  <c:v>-249.71197279121634</c:v>
                </c:pt>
                <c:pt idx="9">
                  <c:v>-166.12418161724736</c:v>
                </c:pt>
                <c:pt idx="10">
                  <c:v>-6.0429309615174134</c:v>
                </c:pt>
                <c:pt idx="11">
                  <c:v>18.842598416857072</c:v>
                </c:pt>
                <c:pt idx="12">
                  <c:v>-12.086777600370624</c:v>
                </c:pt>
                <c:pt idx="13">
                  <c:v>18.549819918922367</c:v>
                </c:pt>
                <c:pt idx="14">
                  <c:v>-47.501505529879978</c:v>
                </c:pt>
                <c:pt idx="15">
                  <c:v>51.579745125850195</c:v>
                </c:pt>
                <c:pt idx="16">
                  <c:v>-21.534725495775319</c:v>
                </c:pt>
                <c:pt idx="17">
                  <c:v>-8.4641015130030155</c:v>
                </c:pt>
                <c:pt idx="18">
                  <c:v>-18.466620616481123</c:v>
                </c:pt>
                <c:pt idx="19">
                  <c:v>-208.87882944251237</c:v>
                </c:pt>
                <c:pt idx="20">
                  <c:v>44.202421213217576</c:v>
                </c:pt>
                <c:pt idx="21">
                  <c:v>217.08795059159206</c:v>
                </c:pt>
                <c:pt idx="22">
                  <c:v>39.620652848804639</c:v>
                </c:pt>
                <c:pt idx="23">
                  <c:v>346.38478278736602</c:v>
                </c:pt>
                <c:pt idx="24">
                  <c:v>55.333457338563676</c:v>
                </c:pt>
                <c:pt idx="25">
                  <c:v>-91.585292005706378</c:v>
                </c:pt>
                <c:pt idx="26">
                  <c:v>-119.69976262733189</c:v>
                </c:pt>
                <c:pt idx="27">
                  <c:v>-136.62913864455959</c:v>
                </c:pt>
                <c:pt idx="28">
                  <c:v>-109.63165774803747</c:v>
                </c:pt>
                <c:pt idx="29">
                  <c:v>-148.04386657406849</c:v>
                </c:pt>
                <c:pt idx="30">
                  <c:v>-1.9626159183385425</c:v>
                </c:pt>
                <c:pt idx="31">
                  <c:v>-102.07708653996406</c:v>
                </c:pt>
                <c:pt idx="32">
                  <c:v>87.993537442808247</c:v>
                </c:pt>
                <c:pt idx="33">
                  <c:v>73.630134962101238</c:v>
                </c:pt>
                <c:pt idx="34">
                  <c:v>-194.42119048670111</c:v>
                </c:pt>
                <c:pt idx="35">
                  <c:v>46.660060169028839</c:v>
                </c:pt>
                <c:pt idx="36">
                  <c:v>93.545589547403324</c:v>
                </c:pt>
                <c:pt idx="37">
                  <c:v>-6.383786469824372</c:v>
                </c:pt>
                <c:pt idx="38">
                  <c:v>-108.38630557330271</c:v>
                </c:pt>
                <c:pt idx="39">
                  <c:v>25.201485600666274</c:v>
                </c:pt>
                <c:pt idx="40">
                  <c:v>72.28273625639622</c:v>
                </c:pt>
                <c:pt idx="41">
                  <c:v>178.16826563477071</c:v>
                </c:pt>
                <c:pt idx="42">
                  <c:v>90.621250833571366</c:v>
                </c:pt>
                <c:pt idx="43">
                  <c:v>275.38538077213252</c:v>
                </c:pt>
                <c:pt idx="44">
                  <c:v>-10.665944676669824</c:v>
                </c:pt>
                <c:pt idx="45">
                  <c:v>-83.584694020939651</c:v>
                </c:pt>
                <c:pt idx="46">
                  <c:v>17.300835357434835</c:v>
                </c:pt>
                <c:pt idx="47">
                  <c:v>101.37145934020714</c:v>
                </c:pt>
                <c:pt idx="48">
                  <c:v>120.36894023672903</c:v>
                </c:pt>
                <c:pt idx="49">
                  <c:v>-106.04326858930199</c:v>
                </c:pt>
                <c:pt idx="50">
                  <c:v>-94.962017933572042</c:v>
                </c:pt>
                <c:pt idx="51">
                  <c:v>-125.07648855519756</c:v>
                </c:pt>
                <c:pt idx="52">
                  <c:v>19.994135427574747</c:v>
                </c:pt>
                <c:pt idx="53">
                  <c:v>-132.36926705313226</c:v>
                </c:pt>
                <c:pt idx="54">
                  <c:v>32.579407498065393</c:v>
                </c:pt>
                <c:pt idx="55">
                  <c:v>20.660658153795339</c:v>
                </c:pt>
                <c:pt idx="56">
                  <c:v>-58.453812467830176</c:v>
                </c:pt>
                <c:pt idx="57">
                  <c:v>-95.383188485057872</c:v>
                </c:pt>
                <c:pt idx="58">
                  <c:v>-136.38570758853621</c:v>
                </c:pt>
                <c:pt idx="59">
                  <c:v>49.202083585433002</c:v>
                </c:pt>
                <c:pt idx="60">
                  <c:v>7.2833342411629474</c:v>
                </c:pt>
                <c:pt idx="61">
                  <c:v>49.168863619537433</c:v>
                </c:pt>
                <c:pt idx="62">
                  <c:v>41.239487602309737</c:v>
                </c:pt>
                <c:pt idx="63">
                  <c:v>17.748552702334564</c:v>
                </c:pt>
                <c:pt idx="64">
                  <c:v>290.95569053826785</c:v>
                </c:pt>
                <c:pt idx="65">
                  <c:v>219.03694119399756</c:v>
                </c:pt>
                <c:pt idx="66">
                  <c:v>-51.077529427627951</c:v>
                </c:pt>
                <c:pt idx="67">
                  <c:v>-104.00690544485565</c:v>
                </c:pt>
                <c:pt idx="68">
                  <c:v>-272.00942454833421</c:v>
                </c:pt>
                <c:pt idx="69">
                  <c:v>-204.42163337436477</c:v>
                </c:pt>
                <c:pt idx="70">
                  <c:v>-202.34038271863483</c:v>
                </c:pt>
                <c:pt idx="71">
                  <c:v>-109.45485334026034</c:v>
                </c:pt>
                <c:pt idx="72">
                  <c:v>-126.74511273471671</c:v>
                </c:pt>
                <c:pt idx="73">
                  <c:v>300.61325153903363</c:v>
                </c:pt>
                <c:pt idx="74">
                  <c:v>195.20104271300261</c:v>
                </c:pt>
                <c:pt idx="75">
                  <c:v>12.282293368732553</c:v>
                </c:pt>
                <c:pt idx="76">
                  <c:v>-69.832177252892961</c:v>
                </c:pt>
                <c:pt idx="77">
                  <c:v>23.238446729879342</c:v>
                </c:pt>
                <c:pt idx="78">
                  <c:v>-126.76407237359899</c:v>
                </c:pt>
                <c:pt idx="79">
                  <c:v>-110.17628119962978</c:v>
                </c:pt>
                <c:pt idx="80">
                  <c:v>-49.095030543899838</c:v>
                </c:pt>
                <c:pt idx="81">
                  <c:v>-13.209501165525353</c:v>
                </c:pt>
                <c:pt idx="82">
                  <c:v>72.861122817246951</c:v>
                </c:pt>
                <c:pt idx="83">
                  <c:v>127.49772033653971</c:v>
                </c:pt>
                <c:pt idx="84">
                  <c:v>197.4463948877376</c:v>
                </c:pt>
                <c:pt idx="85">
                  <c:v>96.071009013241564</c:v>
                </c:pt>
                <c:pt idx="86">
                  <c:v>92.084070810884441</c:v>
                </c:pt>
                <c:pt idx="87">
                  <c:v>104.15469479365674</c:v>
                </c:pt>
                <c:pt idx="88">
                  <c:v>-24.84782430982159</c:v>
                </c:pt>
                <c:pt idx="89">
                  <c:v>89.739966864147391</c:v>
                </c:pt>
                <c:pt idx="90">
                  <c:v>-162.17878248012266</c:v>
                </c:pt>
                <c:pt idx="91">
                  <c:v>-224.29325310174795</c:v>
                </c:pt>
                <c:pt idx="92">
                  <c:v>-60.222629118975647</c:v>
                </c:pt>
                <c:pt idx="93">
                  <c:v>-402.71356401895082</c:v>
                </c:pt>
                <c:pt idx="94">
                  <c:v>-60.637357048484773</c:v>
                </c:pt>
                <c:pt idx="95">
                  <c:v>144.44389360724495</c:v>
                </c:pt>
                <c:pt idx="96">
                  <c:v>-36.670577014380569</c:v>
                </c:pt>
                <c:pt idx="97">
                  <c:v>-75.599953031608266</c:v>
                </c:pt>
                <c:pt idx="98">
                  <c:v>-105.60247213508683</c:v>
                </c:pt>
                <c:pt idx="99">
                  <c:v>69.985319038882153</c:v>
                </c:pt>
                <c:pt idx="100">
                  <c:v>-72.933430305387674</c:v>
                </c:pt>
                <c:pt idx="101">
                  <c:v>-139.04790092701296</c:v>
                </c:pt>
                <c:pt idx="102">
                  <c:v>32.022723055759343</c:v>
                </c:pt>
                <c:pt idx="103">
                  <c:v>183.67842508732065</c:v>
                </c:pt>
                <c:pt idx="104">
                  <c:v>238.34746691701957</c:v>
                </c:pt>
                <c:pt idx="105">
                  <c:v>154.57477516035442</c:v>
                </c:pt>
                <c:pt idx="106">
                  <c:v>159.64539914312672</c:v>
                </c:pt>
                <c:pt idx="107">
                  <c:v>512.49908147346014</c:v>
                </c:pt>
                <c:pt idx="108">
                  <c:v>67.086872647428663</c:v>
                </c:pt>
                <c:pt idx="109">
                  <c:v>-214.83187669684116</c:v>
                </c:pt>
                <c:pt idx="110">
                  <c:v>-119.94634731846668</c:v>
                </c:pt>
                <c:pt idx="111">
                  <c:v>-97.875723335694374</c:v>
                </c:pt>
                <c:pt idx="112">
                  <c:v>-40.239125816401611</c:v>
                </c:pt>
                <c:pt idx="113">
                  <c:v>-90.290451265203501</c:v>
                </c:pt>
                <c:pt idx="114">
                  <c:v>-67.209200609473555</c:v>
                </c:pt>
                <c:pt idx="115">
                  <c:v>-76.253047248326766</c:v>
                </c:pt>
                <c:pt idx="116">
                  <c:v>27.744433648194899</c:v>
                </c:pt>
                <c:pt idx="117">
                  <c:v>-111.66777517783612</c:v>
                </c:pt>
                <c:pt idx="118">
                  <c:v>59.413475477893826</c:v>
                </c:pt>
                <c:pt idx="119">
                  <c:v>-57.700995143731689</c:v>
                </c:pt>
                <c:pt idx="120">
                  <c:v>-33.630371160959385</c:v>
                </c:pt>
                <c:pt idx="121">
                  <c:v>32.006226358333606</c:v>
                </c:pt>
                <c:pt idx="122">
                  <c:v>-72.045099090468284</c:v>
                </c:pt>
                <c:pt idx="123">
                  <c:v>52.036151565261434</c:v>
                </c:pt>
                <c:pt idx="124">
                  <c:v>0.9216809436359199</c:v>
                </c:pt>
                <c:pt idx="125">
                  <c:v>-67.007695073591776</c:v>
                </c:pt>
                <c:pt idx="126">
                  <c:v>296.98978582292966</c:v>
                </c:pt>
                <c:pt idx="127">
                  <c:v>329.91180400297253</c:v>
                </c:pt>
                <c:pt idx="128">
                  <c:v>37.651275793742116</c:v>
                </c:pt>
                <c:pt idx="129">
                  <c:v>-51.392570845111095</c:v>
                </c:pt>
                <c:pt idx="130">
                  <c:v>-122.41419446085774</c:v>
                </c:pt>
                <c:pt idx="131">
                  <c:v>-61.465519909659633</c:v>
                </c:pt>
                <c:pt idx="132">
                  <c:v>-117.38426925392969</c:v>
                </c:pt>
                <c:pt idx="133">
                  <c:v>-128.4987398755552</c:v>
                </c:pt>
                <c:pt idx="134">
                  <c:v>-42.428115892782898</c:v>
                </c:pt>
                <c:pt idx="135">
                  <c:v>31.569365003738767</c:v>
                </c:pt>
                <c:pt idx="136">
                  <c:v>95.157156177707748</c:v>
                </c:pt>
                <c:pt idx="137">
                  <c:v>32.238406833437693</c:v>
                </c:pt>
                <c:pt idx="138">
                  <c:v>-90.876063788187821</c:v>
                </c:pt>
                <c:pt idx="139">
                  <c:v>-97.805439805415517</c:v>
                </c:pt>
                <c:pt idx="140">
                  <c:v>7.8311577138774737</c:v>
                </c:pt>
                <c:pt idx="141">
                  <c:v>48.779832265075129</c:v>
                </c:pt>
                <c:pt idx="142">
                  <c:v>-32.138917079194925</c:v>
                </c:pt>
                <c:pt idx="143">
                  <c:v>-42.25338770082044</c:v>
                </c:pt>
                <c:pt idx="144">
                  <c:v>-52.182763718048136</c:v>
                </c:pt>
                <c:pt idx="145">
                  <c:v>-33.185282821526471</c:v>
                </c:pt>
                <c:pt idx="146">
                  <c:v>112.40250835244251</c:v>
                </c:pt>
                <c:pt idx="147">
                  <c:v>176.48375900817246</c:v>
                </c:pt>
                <c:pt idx="148">
                  <c:v>519.09277175597094</c:v>
                </c:pt>
                <c:pt idx="149">
                  <c:v>154.16339573874325</c:v>
                </c:pt>
                <c:pt idx="150">
                  <c:v>84.799993258036011</c:v>
                </c:pt>
                <c:pt idx="151">
                  <c:v>36.748667809233666</c:v>
                </c:pt>
                <c:pt idx="152">
                  <c:v>17.829918464963839</c:v>
                </c:pt>
                <c:pt idx="153">
                  <c:v>-34.284552156661675</c:v>
                </c:pt>
                <c:pt idx="154">
                  <c:v>127.78607182611086</c:v>
                </c:pt>
                <c:pt idx="155">
                  <c:v>98.783552722632521</c:v>
                </c:pt>
                <c:pt idx="156">
                  <c:v>-85.628656103398498</c:v>
                </c:pt>
                <c:pt idx="157">
                  <c:v>-135.54740544766855</c:v>
                </c:pt>
                <c:pt idx="158">
                  <c:v>39.338123930705933</c:v>
                </c:pt>
                <c:pt idx="159">
                  <c:v>-84.591252086521763</c:v>
                </c:pt>
                <c:pt idx="160">
                  <c:v>-165.95465456722877</c:v>
                </c:pt>
                <c:pt idx="161">
                  <c:v>51.994019983968883</c:v>
                </c:pt>
                <c:pt idx="162">
                  <c:v>44.075270639698829</c:v>
                </c:pt>
                <c:pt idx="163">
                  <c:v>-24.039199981926686</c:v>
                </c:pt>
                <c:pt idx="164">
                  <c:v>-31.968575999154154</c:v>
                </c:pt>
                <c:pt idx="165">
                  <c:v>-192.97109510263272</c:v>
                </c:pt>
                <c:pt idx="166">
                  <c:v>-83.383303928663508</c:v>
                </c:pt>
                <c:pt idx="167">
                  <c:v>-16.302053272933563</c:v>
                </c:pt>
                <c:pt idx="168">
                  <c:v>-80.416523894559077</c:v>
                </c:pt>
                <c:pt idx="169">
                  <c:v>45.654100088213227</c:v>
                </c:pt>
                <c:pt idx="170">
                  <c:v>-285.17861367672231</c:v>
                </c:pt>
                <c:pt idx="171">
                  <c:v>368.62904992329777</c:v>
                </c:pt>
                <c:pt idx="172">
                  <c:v>25.856358166632617</c:v>
                </c:pt>
                <c:pt idx="173">
                  <c:v>-37.073017850595079</c:v>
                </c:pt>
                <c:pt idx="174">
                  <c:v>-111.07553695407341</c:v>
                </c:pt>
                <c:pt idx="175">
                  <c:v>-115.48774578010421</c:v>
                </c:pt>
                <c:pt idx="176">
                  <c:v>-84.40649512437426</c:v>
                </c:pt>
                <c:pt idx="177">
                  <c:v>-124.52096574599977</c:v>
                </c:pt>
                <c:pt idx="178">
                  <c:v>65.54965823677253</c:v>
                </c:pt>
                <c:pt idx="179">
                  <c:v>-29.813744243934707</c:v>
                </c:pt>
                <c:pt idx="180">
                  <c:v>107.13493030726318</c:v>
                </c:pt>
                <c:pt idx="181">
                  <c:v>-319.78381903700688</c:v>
                </c:pt>
                <c:pt idx="182">
                  <c:v>-123.89828965863239</c:v>
                </c:pt>
                <c:pt idx="183">
                  <c:v>-40.827665675860089</c:v>
                </c:pt>
                <c:pt idx="184">
                  <c:v>-36.830184779338197</c:v>
                </c:pt>
                <c:pt idx="185">
                  <c:v>31.757606394630784</c:v>
                </c:pt>
                <c:pt idx="186">
                  <c:v>34.83885705036073</c:v>
                </c:pt>
                <c:pt idx="187">
                  <c:v>78.724386428735215</c:v>
                </c:pt>
                <c:pt idx="188">
                  <c:v>15.795010411507519</c:v>
                </c:pt>
                <c:pt idx="189">
                  <c:v>295.43160793080051</c:v>
                </c:pt>
                <c:pt idx="190">
                  <c:v>109.401493421346</c:v>
                </c:pt>
                <c:pt idx="191">
                  <c:v>121.61027649634434</c:v>
                </c:pt>
                <c:pt idx="192">
                  <c:v>-29.504194125281174</c:v>
                </c:pt>
                <c:pt idx="193">
                  <c:v>-0.43357014250887005</c:v>
                </c:pt>
                <c:pt idx="194">
                  <c:v>-27.436089245987205</c:v>
                </c:pt>
                <c:pt idx="195">
                  <c:v>-298.84829807201822</c:v>
                </c:pt>
                <c:pt idx="196">
                  <c:v>-187.76704741628805</c:v>
                </c:pt>
                <c:pt idx="197">
                  <c:v>-86.881518037913565</c:v>
                </c:pt>
                <c:pt idx="198">
                  <c:v>7.1891059448587384</c:v>
                </c:pt>
                <c:pt idx="199">
                  <c:v>119.82570346415196</c:v>
                </c:pt>
                <c:pt idx="200">
                  <c:v>117.77437801534938</c:v>
                </c:pt>
                <c:pt idx="201">
                  <c:v>-22.14437132892067</c:v>
                </c:pt>
                <c:pt idx="202">
                  <c:v>-67.258841950546184</c:v>
                </c:pt>
                <c:pt idx="203">
                  <c:v>-125.18821796777388</c:v>
                </c:pt>
                <c:pt idx="204">
                  <c:v>-53.190737071251988</c:v>
                </c:pt>
                <c:pt idx="205">
                  <c:v>-40.602945897283234</c:v>
                </c:pt>
                <c:pt idx="206">
                  <c:v>48.478304758446939</c:v>
                </c:pt>
                <c:pt idx="207">
                  <c:v>-28.636165863178576</c:v>
                </c:pt>
                <c:pt idx="208">
                  <c:v>107.43445811959373</c:v>
                </c:pt>
                <c:pt idx="209">
                  <c:v>27.071055638886719</c:v>
                </c:pt>
                <c:pt idx="210">
                  <c:v>64.019730190084374</c:v>
                </c:pt>
                <c:pt idx="211">
                  <c:v>34.10098084581432</c:v>
                </c:pt>
                <c:pt idx="212">
                  <c:v>210.98651022418881</c:v>
                </c:pt>
                <c:pt idx="213">
                  <c:v>126.02975571407069</c:v>
                </c:pt>
                <c:pt idx="214">
                  <c:v>210.15476902986074</c:v>
                </c:pt>
                <c:pt idx="215">
                  <c:v>-124.25743979617027</c:v>
                </c:pt>
                <c:pt idx="216">
                  <c:v>-127.17618914044033</c:v>
                </c:pt>
                <c:pt idx="217">
                  <c:v>-170.29065976206584</c:v>
                </c:pt>
                <c:pt idx="218">
                  <c:v>-69.220035779293539</c:v>
                </c:pt>
                <c:pt idx="219">
                  <c:v>-218.58343826000055</c:v>
                </c:pt>
                <c:pt idx="220">
                  <c:v>-176.63476370880289</c:v>
                </c:pt>
                <c:pt idx="221">
                  <c:v>-114.55351305307272</c:v>
                </c:pt>
                <c:pt idx="222">
                  <c:v>-100.66798367469823</c:v>
                </c:pt>
                <c:pt idx="223">
                  <c:v>106.40264030807407</c:v>
                </c:pt>
                <c:pt idx="224">
                  <c:v>26.400121204595962</c:v>
                </c:pt>
                <c:pt idx="225">
                  <c:v>25.987912378564715</c:v>
                </c:pt>
                <c:pt idx="226">
                  <c:v>203.06916303429466</c:v>
                </c:pt>
                <c:pt idx="227">
                  <c:v>348.61291354770879</c:v>
                </c:pt>
                <c:pt idx="228">
                  <c:v>-373.31898157299702</c:v>
                </c:pt>
                <c:pt idx="229">
                  <c:v>119.61058846593232</c:v>
                </c:pt>
                <c:pt idx="230">
                  <c:v>112.69183912166227</c:v>
                </c:pt>
                <c:pt idx="231">
                  <c:v>-38.422631499963245</c:v>
                </c:pt>
                <c:pt idx="232">
                  <c:v>13.647992482809059</c:v>
                </c:pt>
                <c:pt idx="233">
                  <c:v>220.51794096006233</c:v>
                </c:pt>
                <c:pt idx="234">
                  <c:v>260.53511689757124</c:v>
                </c:pt>
                <c:pt idx="235">
                  <c:v>-156.38363244669881</c:v>
                </c:pt>
                <c:pt idx="236">
                  <c:v>-107.49810306832433</c:v>
                </c:pt>
                <c:pt idx="237">
                  <c:v>-27.427479085552022</c:v>
                </c:pt>
                <c:pt idx="238">
                  <c:v>-202.79088156625903</c:v>
                </c:pt>
                <c:pt idx="239">
                  <c:v>-55.842207015060922</c:v>
                </c:pt>
                <c:pt idx="240">
                  <c:v>-26.760956359331203</c:v>
                </c:pt>
                <c:pt idx="241">
                  <c:v>-38.875426980956718</c:v>
                </c:pt>
                <c:pt idx="242">
                  <c:v>-49.804802998184414</c:v>
                </c:pt>
                <c:pt idx="243">
                  <c:v>111.19267789833702</c:v>
                </c:pt>
                <c:pt idx="244">
                  <c:v>178.780469072306</c:v>
                </c:pt>
                <c:pt idx="245">
                  <c:v>196.86171972803618</c:v>
                </c:pt>
                <c:pt idx="246">
                  <c:v>256.74724910641066</c:v>
                </c:pt>
                <c:pt idx="247">
                  <c:v>156.81787308918297</c:v>
                </c:pt>
                <c:pt idx="248">
                  <c:v>290.45447060847619</c:v>
                </c:pt>
                <c:pt idx="249">
                  <c:v>-392.93863370528652</c:v>
                </c:pt>
                <c:pt idx="250">
                  <c:v>-61.971853671182089</c:v>
                </c:pt>
                <c:pt idx="251">
                  <c:v>-180.55945082344942</c:v>
                </c:pt>
                <c:pt idx="252">
                  <c:v>-299.56196992692776</c:v>
                </c:pt>
                <c:pt idx="253">
                  <c:v>149.02582124704122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49-46AD-9B2C-CB559AF21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296639"/>
        <c:axId val="905299039"/>
      </c:scatterChart>
      <c:valAx>
        <c:axId val="905296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/>
                </a:pPr>
                <a:r>
                  <a:rPr lang="en-IN"/>
                  <a:t>Fit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sz="800" b="0"/>
            </a:pPr>
            <a:endParaRPr lang="en-US"/>
          </a:p>
        </c:txPr>
        <c:crossAx val="905299039"/>
        <c:crosses val="autoZero"/>
        <c:crossBetween val="midCat"/>
      </c:valAx>
      <c:valAx>
        <c:axId val="9052990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sz="800" b="0"/>
            </a:pPr>
            <a:endParaRPr lang="en-US"/>
          </a:p>
        </c:txPr>
        <c:crossAx val="90529663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12700"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/>
            </a:pPr>
            <a:r>
              <a:rPr lang="en-US"/>
              <a:t>Histogram of Residuals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solidFill>
                <a:srgbClr val="333399"/>
              </a:solidFill>
              <a:prstDash val="solid"/>
            </a:ln>
          </c:spPr>
          <c:invertIfNegative val="0"/>
          <c:cat>
            <c:numRef>
              <c:f>'Regression(a.)'!$D$110:$D$118</c:f>
              <c:numCache>
                <c:formatCode>General</c:formatCode>
                <c:ptCount val="9"/>
                <c:pt idx="0">
                  <c:v>-351.50210091947542</c:v>
                </c:pt>
                <c:pt idx="1">
                  <c:v>-249.07917471999997</c:v>
                </c:pt>
                <c:pt idx="2">
                  <c:v>-146.656248525</c:v>
                </c:pt>
                <c:pt idx="3">
                  <c:v>-44.23332233</c:v>
                </c:pt>
                <c:pt idx="4">
                  <c:v>58.189603869999999</c:v>
                </c:pt>
                <c:pt idx="5">
                  <c:v>160.61253006499999</c:v>
                </c:pt>
                <c:pt idx="6">
                  <c:v>263.03545625999999</c:v>
                </c:pt>
                <c:pt idx="7">
                  <c:v>365.45838246</c:v>
                </c:pt>
                <c:pt idx="8">
                  <c:v>467.88130865798547</c:v>
                </c:pt>
              </c:numCache>
            </c:numRef>
          </c:cat>
          <c:val>
            <c:numRef>
              <c:f>'Regression(a.)'!$E$110:$E$118</c:f>
              <c:numCache>
                <c:formatCode>General</c:formatCode>
                <c:ptCount val="9"/>
                <c:pt idx="0">
                  <c:v>4</c:v>
                </c:pt>
                <c:pt idx="1">
                  <c:v>12</c:v>
                </c:pt>
                <c:pt idx="2">
                  <c:v>46</c:v>
                </c:pt>
                <c:pt idx="3">
                  <c:v>74</c:v>
                </c:pt>
                <c:pt idx="4">
                  <c:v>70</c:v>
                </c:pt>
                <c:pt idx="5">
                  <c:v>29</c:v>
                </c:pt>
                <c:pt idx="6">
                  <c:v>12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76-4127-98F0-AE4C643FD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537303967"/>
        <c:axId val="1537293407"/>
      </c:barChart>
      <c:catAx>
        <c:axId val="153730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-5400000" vert="horz"/>
          <a:lstStyle/>
          <a:p>
            <a:pPr>
              <a:defRPr sz="800"/>
            </a:pPr>
            <a:endParaRPr lang="en-US"/>
          </a:p>
        </c:txPr>
        <c:crossAx val="1537293407"/>
        <c:crosses val="autoZero"/>
        <c:auto val="1"/>
        <c:lblAlgn val="ctr"/>
        <c:lblOffset val="100"/>
        <c:noMultiLvlLbl val="0"/>
      </c:catAx>
      <c:valAx>
        <c:axId val="15372934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 b="0"/>
            </a:pPr>
            <a:endParaRPr lang="en-US"/>
          </a:p>
        </c:txPr>
        <c:crossAx val="1537303967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12700"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/>
            </a:pPr>
            <a:r>
              <a:rPr lang="en-US"/>
              <a:t>Scatterplot of Residuals vs Fit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plus"/>
            <c:size val="5"/>
            <c:spPr>
              <a:noFill/>
              <a:ln>
                <a:solidFill>
                  <a:srgbClr val="333399"/>
                </a:solidFill>
                <a:prstDash val="solid"/>
              </a:ln>
            </c:spPr>
          </c:marker>
          <c:xVal>
            <c:numRef>
              <c:f>'Regression(b..)'!$C$155:$C$408</c:f>
              <c:numCache>
                <c:formatCode>General</c:formatCode>
                <c:ptCount val="254"/>
                <c:pt idx="0">
                  <c:v>1889.1184445975109</c:v>
                </c:pt>
                <c:pt idx="1">
                  <c:v>859.82172323437658</c:v>
                </c:pt>
                <c:pt idx="2">
                  <c:v>871.7329773990482</c:v>
                </c:pt>
                <c:pt idx="3">
                  <c:v>1669.1159328050021</c:v>
                </c:pt>
                <c:pt idx="4">
                  <c:v>1062.5286444994699</c:v>
                </c:pt>
                <c:pt idx="5">
                  <c:v>801.14249568344962</c:v>
                </c:pt>
                <c:pt idx="6">
                  <c:v>782.77820028078236</c:v>
                </c:pt>
                <c:pt idx="7">
                  <c:v>794.6894544454542</c:v>
                </c:pt>
                <c:pt idx="8">
                  <c:v>1233.1586689035439</c:v>
                </c:pt>
                <c:pt idx="9">
                  <c:v>985.48512154587593</c:v>
                </c:pt>
                <c:pt idx="10">
                  <c:v>724.09897272985563</c:v>
                </c:pt>
                <c:pt idx="11">
                  <c:v>705.73467732718814</c:v>
                </c:pt>
                <c:pt idx="12">
                  <c:v>717.64593149185998</c:v>
                </c:pt>
                <c:pt idx="13">
                  <c:v>1515.0288868978141</c:v>
                </c:pt>
                <c:pt idx="14">
                  <c:v>908.44159859228148</c:v>
                </c:pt>
                <c:pt idx="15">
                  <c:v>647.05544977626164</c:v>
                </c:pt>
                <c:pt idx="16">
                  <c:v>628.69115437359414</c:v>
                </c:pt>
                <c:pt idx="17">
                  <c:v>640.60240853826576</c:v>
                </c:pt>
                <c:pt idx="18">
                  <c:v>1079.0716229963555</c:v>
                </c:pt>
                <c:pt idx="19">
                  <c:v>831.39807563868749</c:v>
                </c:pt>
                <c:pt idx="20">
                  <c:v>570.01192682266742</c:v>
                </c:pt>
                <c:pt idx="21">
                  <c:v>551.64763142000015</c:v>
                </c:pt>
                <c:pt idx="22">
                  <c:v>1258.8366634075105</c:v>
                </c:pt>
                <c:pt idx="23">
                  <c:v>1677.5041458444607</c:v>
                </c:pt>
                <c:pt idx="24">
                  <c:v>1080.5693332339149</c:v>
                </c:pt>
                <c:pt idx="25">
                  <c:v>822.40067631622367</c:v>
                </c:pt>
                <c:pt idx="26">
                  <c:v>807.25387281188523</c:v>
                </c:pt>
                <c:pt idx="27">
                  <c:v>822.38261887488579</c:v>
                </c:pt>
                <c:pt idx="28">
                  <c:v>1264.0693252313044</c:v>
                </c:pt>
                <c:pt idx="29">
                  <c:v>1026.0482535686231</c:v>
                </c:pt>
                <c:pt idx="30">
                  <c:v>767.87959665093172</c:v>
                </c:pt>
                <c:pt idx="31">
                  <c:v>752.73279314659328</c:v>
                </c:pt>
                <c:pt idx="32">
                  <c:v>767.86153920959396</c:v>
                </c:pt>
                <c:pt idx="33">
                  <c:v>1568.4619865138768</c:v>
                </c:pt>
                <c:pt idx="34">
                  <c:v>971.52717390333123</c:v>
                </c:pt>
                <c:pt idx="35">
                  <c:v>713.35851698563988</c:v>
                </c:pt>
                <c:pt idx="36">
                  <c:v>698.21171348130133</c:v>
                </c:pt>
                <c:pt idx="37">
                  <c:v>713.34045954430201</c:v>
                </c:pt>
                <c:pt idx="38">
                  <c:v>1155.0271659007208</c:v>
                </c:pt>
                <c:pt idx="39">
                  <c:v>917.00609423803905</c:v>
                </c:pt>
                <c:pt idx="40">
                  <c:v>658.83743732034804</c:v>
                </c:pt>
                <c:pt idx="41">
                  <c:v>643.69063381600949</c:v>
                </c:pt>
                <c:pt idx="42">
                  <c:v>1363.238465298032</c:v>
                </c:pt>
                <c:pt idx="43">
                  <c:v>1778.1264558512341</c:v>
                </c:pt>
                <c:pt idx="44">
                  <c:v>1169.8531675894435</c:v>
                </c:pt>
                <c:pt idx="45">
                  <c:v>907.9050187880041</c:v>
                </c:pt>
                <c:pt idx="46">
                  <c:v>888.9787233999175</c:v>
                </c:pt>
                <c:pt idx="47">
                  <c:v>900.32797757916978</c:v>
                </c:pt>
                <c:pt idx="48">
                  <c:v>1338.2351920518402</c:v>
                </c:pt>
                <c:pt idx="49">
                  <c:v>1088.8756447379142</c:v>
                </c:pt>
                <c:pt idx="50">
                  <c:v>826.92749593647454</c:v>
                </c:pt>
                <c:pt idx="51">
                  <c:v>808.00120054838794</c:v>
                </c:pt>
                <c:pt idx="52">
                  <c:v>819.35045472764045</c:v>
                </c:pt>
                <c:pt idx="53">
                  <c:v>1616.171410148175</c:v>
                </c:pt>
                <c:pt idx="54">
                  <c:v>1007.8981218863848</c:v>
                </c:pt>
                <c:pt idx="55">
                  <c:v>745.94997308494521</c:v>
                </c:pt>
                <c:pt idx="56">
                  <c:v>727.02367769685839</c:v>
                </c:pt>
                <c:pt idx="57">
                  <c:v>738.3729318761109</c:v>
                </c:pt>
                <c:pt idx="58">
                  <c:v>1176.2801463487815</c:v>
                </c:pt>
                <c:pt idx="59">
                  <c:v>926.92059903485506</c:v>
                </c:pt>
                <c:pt idx="60">
                  <c:v>664.97245023341588</c:v>
                </c:pt>
                <c:pt idx="61">
                  <c:v>646.04615484532906</c:v>
                </c:pt>
                <c:pt idx="62">
                  <c:v>657.39540902458134</c:v>
                </c:pt>
                <c:pt idx="63">
                  <c:v>1836.1493293124493</c:v>
                </c:pt>
                <c:pt idx="64">
                  <c:v>1165.7709617516773</c:v>
                </c:pt>
                <c:pt idx="65">
                  <c:v>908.89864436184564</c:v>
                </c:pt>
                <c:pt idx="66">
                  <c:v>895.04818038536632</c:v>
                </c:pt>
                <c:pt idx="67">
                  <c:v>911.47326597622612</c:v>
                </c:pt>
                <c:pt idx="68">
                  <c:v>1354.456311860504</c:v>
                </c:pt>
                <c:pt idx="69">
                  <c:v>1120.3242587814007</c:v>
                </c:pt>
                <c:pt idx="70">
                  <c:v>863.45194139156865</c:v>
                </c:pt>
                <c:pt idx="71">
                  <c:v>849.60147741508956</c:v>
                </c:pt>
                <c:pt idx="72">
                  <c:v>1224.940303953814</c:v>
                </c:pt>
                <c:pt idx="73">
                  <c:v>1309.0096088902269</c:v>
                </c:pt>
                <c:pt idx="74">
                  <c:v>1074.8775558111238</c:v>
                </c:pt>
                <c:pt idx="75">
                  <c:v>818.00523842129166</c:v>
                </c:pt>
                <c:pt idx="76">
                  <c:v>804.15477444481257</c:v>
                </c:pt>
                <c:pt idx="77">
                  <c:v>820.5798600356726</c:v>
                </c:pt>
                <c:pt idx="78">
                  <c:v>1263.5629059199505</c:v>
                </c:pt>
                <c:pt idx="79">
                  <c:v>1029.4308528408469</c:v>
                </c:pt>
                <c:pt idx="80">
                  <c:v>772.5585354510149</c:v>
                </c:pt>
                <c:pt idx="81">
                  <c:v>758.70807147453559</c:v>
                </c:pt>
                <c:pt idx="82">
                  <c:v>775.13315706539561</c:v>
                </c:pt>
                <c:pt idx="83">
                  <c:v>1577.029943897538</c:v>
                </c:pt>
                <c:pt idx="84">
                  <c:v>983.98414987056981</c:v>
                </c:pt>
                <c:pt idx="85">
                  <c:v>1347.8855983714229</c:v>
                </c:pt>
                <c:pt idx="86">
                  <c:v>955.00589300665297</c:v>
                </c:pt>
                <c:pt idx="87">
                  <c:v>974.33470207655489</c:v>
                </c:pt>
                <c:pt idx="88">
                  <c:v>1420.2214714398747</c:v>
                </c:pt>
                <c:pt idx="89">
                  <c:v>1194.800588797897</c:v>
                </c:pt>
                <c:pt idx="90">
                  <c:v>940.8319948871067</c:v>
                </c:pt>
                <c:pt idx="91">
                  <c:v>929.88525438966929</c:v>
                </c:pt>
                <c:pt idx="92">
                  <c:v>949.21406345957121</c:v>
                </c:pt>
                <c:pt idx="93">
                  <c:v>2135.9475386380886</c:v>
                </c:pt>
                <c:pt idx="94">
                  <c:v>1169.679950180913</c:v>
                </c:pt>
                <c:pt idx="95">
                  <c:v>915.71135627012325</c:v>
                </c:pt>
                <c:pt idx="96">
                  <c:v>904.76461577268583</c:v>
                </c:pt>
                <c:pt idx="97">
                  <c:v>924.09342484258752</c:v>
                </c:pt>
                <c:pt idx="98">
                  <c:v>1369.9801942059073</c:v>
                </c:pt>
                <c:pt idx="99">
                  <c:v>1144.5593115639294</c:v>
                </c:pt>
                <c:pt idx="100">
                  <c:v>890.59071765313956</c:v>
                </c:pt>
                <c:pt idx="101">
                  <c:v>879.64397715570237</c:v>
                </c:pt>
                <c:pt idx="102">
                  <c:v>898.97278622560407</c:v>
                </c:pt>
                <c:pt idx="103">
                  <c:v>1614.9452757341937</c:v>
                </c:pt>
                <c:pt idx="104">
                  <c:v>1135.5557991814253</c:v>
                </c:pt>
                <c:pt idx="105">
                  <c:v>854.52333853871869</c:v>
                </c:pt>
                <c:pt idx="106">
                  <c:v>873.85214760862061</c:v>
                </c:pt>
                <c:pt idx="107">
                  <c:v>1559.9288214411636</c:v>
                </c:pt>
                <c:pt idx="108">
                  <c:v>1318.5098537336705</c:v>
                </c:pt>
                <c:pt idx="109">
                  <c:v>1059.2085648010418</c:v>
                </c:pt>
                <c:pt idx="110">
                  <c:v>1042.9291292817666</c:v>
                </c:pt>
                <c:pt idx="111">
                  <c:v>1056.9252433298298</c:v>
                </c:pt>
                <c:pt idx="112">
                  <c:v>1856.3930586191752</c:v>
                </c:pt>
                <c:pt idx="113">
                  <c:v>1256.060349963818</c:v>
                </c:pt>
                <c:pt idx="114">
                  <c:v>996.75906103118928</c:v>
                </c:pt>
                <c:pt idx="115">
                  <c:v>994.47573955997689</c:v>
                </c:pt>
                <c:pt idx="116">
                  <c:v>1435.0298139014585</c:v>
                </c:pt>
                <c:pt idx="117">
                  <c:v>1193.6108461939648</c:v>
                </c:pt>
                <c:pt idx="118">
                  <c:v>934.30955726133675</c:v>
                </c:pt>
                <c:pt idx="119">
                  <c:v>918.03012174206083</c:v>
                </c:pt>
                <c:pt idx="120">
                  <c:v>932.02623579012402</c:v>
                </c:pt>
                <c:pt idx="121">
                  <c:v>1731.49405107947</c:v>
                </c:pt>
                <c:pt idx="122">
                  <c:v>1131.1613424241123</c:v>
                </c:pt>
                <c:pt idx="123">
                  <c:v>871.86005349148388</c:v>
                </c:pt>
                <c:pt idx="124">
                  <c:v>855.5806179722083</c:v>
                </c:pt>
                <c:pt idx="125">
                  <c:v>869.57673202027149</c:v>
                </c:pt>
                <c:pt idx="126">
                  <c:v>1310.1308063617523</c:v>
                </c:pt>
                <c:pt idx="127">
                  <c:v>1310.8192428949458</c:v>
                </c:pt>
                <c:pt idx="128">
                  <c:v>1322.3400259900709</c:v>
                </c:pt>
                <c:pt idx="129">
                  <c:v>1321.5294082838263</c:v>
                </c:pt>
                <c:pt idx="130">
                  <c:v>1851.6478553103866</c:v>
                </c:pt>
                <c:pt idx="131">
                  <c:v>1253.5242023024807</c:v>
                </c:pt>
                <c:pt idx="132">
                  <c:v>994.95926525233608</c:v>
                </c:pt>
                <c:pt idx="133">
                  <c:v>979.41618161554436</c:v>
                </c:pt>
                <c:pt idx="134">
                  <c:v>994.14864754609152</c:v>
                </c:pt>
                <c:pt idx="135">
                  <c:v>1435.4390737700564</c:v>
                </c:pt>
                <c:pt idx="136">
                  <c:v>1196.2291617100154</c:v>
                </c:pt>
                <c:pt idx="137">
                  <c:v>937.66422465987068</c:v>
                </c:pt>
                <c:pt idx="138">
                  <c:v>922.12114102307896</c:v>
                </c:pt>
                <c:pt idx="139">
                  <c:v>936.85360695362635</c:v>
                </c:pt>
                <c:pt idx="140">
                  <c:v>1737.0577741254563</c:v>
                </c:pt>
                <c:pt idx="141">
                  <c:v>1138.9341211175501</c:v>
                </c:pt>
                <c:pt idx="142">
                  <c:v>880.36918406740551</c:v>
                </c:pt>
                <c:pt idx="143">
                  <c:v>864.82610043061356</c:v>
                </c:pt>
                <c:pt idx="144">
                  <c:v>879.55856636116096</c:v>
                </c:pt>
                <c:pt idx="145">
                  <c:v>1320.8489925851259</c:v>
                </c:pt>
                <c:pt idx="146">
                  <c:v>1081.6390805250846</c:v>
                </c:pt>
                <c:pt idx="147">
                  <c:v>823.07414347494034</c:v>
                </c:pt>
                <c:pt idx="148">
                  <c:v>1141.4723948447609</c:v>
                </c:pt>
                <c:pt idx="149">
                  <c:v>1145.3911095929207</c:v>
                </c:pt>
                <c:pt idx="150">
                  <c:v>1934.781525582363</c:v>
                </c:pt>
                <c:pt idx="151">
                  <c:v>1304.2166190272951</c:v>
                </c:pt>
                <c:pt idx="152">
                  <c:v>1034.837930794763</c:v>
                </c:pt>
                <c:pt idx="153">
                  <c:v>1008.4810959755837</c:v>
                </c:pt>
                <c:pt idx="154">
                  <c:v>1012.3998107237435</c:v>
                </c:pt>
                <c:pt idx="155">
                  <c:v>1442.8764857653209</c:v>
                </c:pt>
                <c:pt idx="156">
                  <c:v>1171.2253201581177</c:v>
                </c:pt>
                <c:pt idx="157">
                  <c:v>901.84663192558594</c:v>
                </c:pt>
                <c:pt idx="158">
                  <c:v>875.48979710640651</c:v>
                </c:pt>
                <c:pt idx="159">
                  <c:v>879.40851185456631</c:v>
                </c:pt>
                <c:pt idx="160">
                  <c:v>1668.7989278440089</c:v>
                </c:pt>
                <c:pt idx="161">
                  <c:v>1038.2340212889405</c:v>
                </c:pt>
                <c:pt idx="162">
                  <c:v>768.85533305640843</c:v>
                </c:pt>
                <c:pt idx="163">
                  <c:v>742.49849823722923</c:v>
                </c:pt>
                <c:pt idx="164">
                  <c:v>746.41721298538914</c:v>
                </c:pt>
                <c:pt idx="165">
                  <c:v>1176.8938880269666</c:v>
                </c:pt>
                <c:pt idx="166">
                  <c:v>905.24272241976337</c:v>
                </c:pt>
                <c:pt idx="167">
                  <c:v>635.86403418723125</c:v>
                </c:pt>
                <c:pt idx="168">
                  <c:v>609.50719936805194</c:v>
                </c:pt>
                <c:pt idx="169">
                  <c:v>613.42591411621186</c:v>
                </c:pt>
                <c:pt idx="170">
                  <c:v>2054.8350151182572</c:v>
                </c:pt>
                <c:pt idx="171">
                  <c:v>1097.126529732579</c:v>
                </c:pt>
                <c:pt idx="172">
                  <c:v>812.65774064196739</c:v>
                </c:pt>
                <c:pt idx="173">
                  <c:v>828.55022126396466</c:v>
                </c:pt>
                <c:pt idx="174">
                  <c:v>1271.00066217938</c:v>
                </c:pt>
                <c:pt idx="175">
                  <c:v>1035.2707941936878</c:v>
                </c:pt>
                <c:pt idx="176">
                  <c:v>777.86587183499341</c:v>
                </c:pt>
                <c:pt idx="177">
                  <c:v>763.48280288965134</c:v>
                </c:pt>
                <c:pt idx="178">
                  <c:v>779.37528351164838</c:v>
                </c:pt>
                <c:pt idx="179">
                  <c:v>1580.7394653749282</c:v>
                </c:pt>
                <c:pt idx="180">
                  <c:v>986.09585644137178</c:v>
                </c:pt>
                <c:pt idx="181">
                  <c:v>728.69093408267713</c:v>
                </c:pt>
                <c:pt idx="182">
                  <c:v>714.30786513733528</c:v>
                </c:pt>
                <c:pt idx="183">
                  <c:v>730.20034575933232</c:v>
                </c:pt>
                <c:pt idx="184">
                  <c:v>1172.650786674747</c:v>
                </c:pt>
                <c:pt idx="185">
                  <c:v>936.92091868905572</c:v>
                </c:pt>
                <c:pt idx="186">
                  <c:v>679.51599633036085</c:v>
                </c:pt>
                <c:pt idx="187">
                  <c:v>665.132927385019</c:v>
                </c:pt>
                <c:pt idx="188">
                  <c:v>681.02540800701627</c:v>
                </c:pt>
                <c:pt idx="189">
                  <c:v>1482.389589870296</c:v>
                </c:pt>
                <c:pt idx="190">
                  <c:v>1489.5316636284356</c:v>
                </c:pt>
                <c:pt idx="191">
                  <c:v>851.74316440667042</c:v>
                </c:pt>
                <c:pt idx="192">
                  <c:v>838.90948346559094</c:v>
                </c:pt>
                <c:pt idx="193">
                  <c:v>856.35135209185023</c:v>
                </c:pt>
                <c:pt idx="194">
                  <c:v>1300.3511810115272</c:v>
                </c:pt>
                <c:pt idx="195">
                  <c:v>1069.2694770386229</c:v>
                </c:pt>
                <c:pt idx="196">
                  <c:v>813.41394268419026</c:v>
                </c:pt>
                <c:pt idx="197">
                  <c:v>800.58026174311078</c:v>
                </c:pt>
                <c:pt idx="198">
                  <c:v>818.02213036937042</c:v>
                </c:pt>
                <c:pt idx="199">
                  <c:v>1620.9357002369125</c:v>
                </c:pt>
                <c:pt idx="200">
                  <c:v>1030.9402553161431</c:v>
                </c:pt>
                <c:pt idx="201">
                  <c:v>775.08472096171045</c:v>
                </c:pt>
                <c:pt idx="202">
                  <c:v>762.25104002063063</c:v>
                </c:pt>
                <c:pt idx="203">
                  <c:v>779.69290864689026</c:v>
                </c:pt>
                <c:pt idx="204">
                  <c:v>1223.6927375665675</c:v>
                </c:pt>
                <c:pt idx="205">
                  <c:v>992.61103359366268</c:v>
                </c:pt>
                <c:pt idx="206">
                  <c:v>736.75549923923063</c:v>
                </c:pt>
                <c:pt idx="207">
                  <c:v>723.92181829815081</c:v>
                </c:pt>
                <c:pt idx="208">
                  <c:v>741.3636869244101</c:v>
                </c:pt>
                <c:pt idx="209">
                  <c:v>1544.2772567919524</c:v>
                </c:pt>
                <c:pt idx="210">
                  <c:v>954.28181187118275</c:v>
                </c:pt>
                <c:pt idx="211">
                  <c:v>698.42627751675047</c:v>
                </c:pt>
                <c:pt idx="212">
                  <c:v>685.592596575671</c:v>
                </c:pt>
                <c:pt idx="213">
                  <c:v>1240.4166869689298</c:v>
                </c:pt>
                <c:pt idx="214">
                  <c:v>1303.7918601819842</c:v>
                </c:pt>
                <c:pt idx="215">
                  <c:v>1076.6350836912093</c:v>
                </c:pt>
                <c:pt idx="216">
                  <c:v>822.08785849748688</c:v>
                </c:pt>
                <c:pt idx="217">
                  <c:v>810.56248671711728</c:v>
                </c:pt>
                <c:pt idx="218">
                  <c:v>829.31266450408657</c:v>
                </c:pt>
                <c:pt idx="219">
                  <c:v>1633.5345435323386</c:v>
                </c:pt>
                <c:pt idx="220">
                  <c:v>1047.464026093699</c:v>
                </c:pt>
                <c:pt idx="221">
                  <c:v>792.91680089997635</c:v>
                </c:pt>
                <c:pt idx="222">
                  <c:v>781.39142911960676</c:v>
                </c:pt>
                <c:pt idx="223">
                  <c:v>800.14160690657627</c:v>
                </c:pt>
                <c:pt idx="224">
                  <c:v>1245.4497449869632</c:v>
                </c:pt>
                <c:pt idx="225">
                  <c:v>1018.2929684961887</c:v>
                </c:pt>
                <c:pt idx="226">
                  <c:v>763.74574330246605</c:v>
                </c:pt>
                <c:pt idx="227">
                  <c:v>1022.306091667366</c:v>
                </c:pt>
                <c:pt idx="228">
                  <c:v>1486.3644075347231</c:v>
                </c:pt>
                <c:pt idx="229">
                  <c:v>989.12191089867792</c:v>
                </c:pt>
                <c:pt idx="230">
                  <c:v>734.57468570495575</c:v>
                </c:pt>
                <c:pt idx="231">
                  <c:v>723.04931392458593</c:v>
                </c:pt>
                <c:pt idx="232">
                  <c:v>741.79949171155522</c:v>
                </c:pt>
                <c:pt idx="233">
                  <c:v>1569.0405946592755</c:v>
                </c:pt>
                <c:pt idx="234">
                  <c:v>1257.1608013527116</c:v>
                </c:pt>
                <c:pt idx="235">
                  <c:v>997.05641483451609</c:v>
                </c:pt>
                <c:pt idx="236">
                  <c:v>979.97388172967339</c:v>
                </c:pt>
                <c:pt idx="237">
                  <c:v>993.16689819217004</c:v>
                </c:pt>
                <c:pt idx="238">
                  <c:v>1791.8316158959494</c:v>
                </c:pt>
                <c:pt idx="239">
                  <c:v>1189.0896144838907</c:v>
                </c:pt>
                <c:pt idx="240">
                  <c:v>928.98522796569569</c:v>
                </c:pt>
                <c:pt idx="241">
                  <c:v>911.90269486085299</c:v>
                </c:pt>
                <c:pt idx="242">
                  <c:v>925.09571132334941</c:v>
                </c:pt>
                <c:pt idx="243">
                  <c:v>1364.8466880792639</c:v>
                </c:pt>
                <c:pt idx="244">
                  <c:v>1121.0184276150703</c:v>
                </c:pt>
                <c:pt idx="245">
                  <c:v>860.91404109687505</c:v>
                </c:pt>
                <c:pt idx="246">
                  <c:v>843.83150799203258</c:v>
                </c:pt>
                <c:pt idx="247">
                  <c:v>857.024524454529</c:v>
                </c:pt>
                <c:pt idx="248">
                  <c:v>1655.6892421583077</c:v>
                </c:pt>
                <c:pt idx="249">
                  <c:v>1323.0329608915197</c:v>
                </c:pt>
                <c:pt idx="250">
                  <c:v>1045.8460412684817</c:v>
                </c:pt>
                <c:pt idx="251">
                  <c:v>788.9533375857086</c:v>
                </c:pt>
                <c:pt idx="252">
                  <c:v>1228.7043143416231</c:v>
                </c:pt>
                <c:pt idx="253">
                  <c:v>984.87605387742951</c:v>
                </c:pt>
              </c:numCache>
            </c:numRef>
          </c:xVal>
          <c:yVal>
            <c:numRef>
              <c:f>'Regression(b..)'!$D$155:$D$408</c:f>
              <c:numCache>
                <c:formatCode>General</c:formatCode>
                <c:ptCount val="254"/>
                <c:pt idx="0">
                  <c:v>-64.118444597510916</c:v>
                </c:pt>
                <c:pt idx="1">
                  <c:v>397.17827676562342</c:v>
                </c:pt>
                <c:pt idx="2">
                  <c:v>97.267022600951805</c:v>
                </c:pt>
                <c:pt idx="3">
                  <c:v>2.8840671949978969</c:v>
                </c:pt>
                <c:pt idx="4">
                  <c:v>35.47135550053008</c:v>
                </c:pt>
                <c:pt idx="5">
                  <c:v>-110.14249568344962</c:v>
                </c:pt>
                <c:pt idx="6">
                  <c:v>-110.77820028078236</c:v>
                </c:pt>
                <c:pt idx="7">
                  <c:v>-40.689454445454203</c:v>
                </c:pt>
                <c:pt idx="8">
                  <c:v>-261.15866890354391</c:v>
                </c:pt>
                <c:pt idx="9">
                  <c:v>-169.48512154587593</c:v>
                </c:pt>
                <c:pt idx="10">
                  <c:v>-7.0989727298556318</c:v>
                </c:pt>
                <c:pt idx="11">
                  <c:v>22.265322672811863</c:v>
                </c:pt>
                <c:pt idx="12">
                  <c:v>-6.645931491859983</c:v>
                </c:pt>
                <c:pt idx="13">
                  <c:v>29.971113102185882</c:v>
                </c:pt>
                <c:pt idx="14">
                  <c:v>-35.44159859228148</c:v>
                </c:pt>
                <c:pt idx="15">
                  <c:v>65.944550223738361</c:v>
                </c:pt>
                <c:pt idx="16">
                  <c:v>-2.691154373594145</c:v>
                </c:pt>
                <c:pt idx="17">
                  <c:v>12.397591461734237</c:v>
                </c:pt>
                <c:pt idx="18">
                  <c:v>0.92837700364452758</c:v>
                </c:pt>
                <c:pt idx="19">
                  <c:v>-181.39807563868749</c:v>
                </c:pt>
                <c:pt idx="20">
                  <c:v>73.988073177332581</c:v>
                </c:pt>
                <c:pt idx="21">
                  <c:v>251.35236857999985</c:v>
                </c:pt>
                <c:pt idx="22">
                  <c:v>23.163336592489486</c:v>
                </c:pt>
                <c:pt idx="23">
                  <c:v>365.49585415553929</c:v>
                </c:pt>
                <c:pt idx="24">
                  <c:v>65.430666766085096</c:v>
                </c:pt>
                <c:pt idx="25">
                  <c:v>-82.400676316223667</c:v>
                </c:pt>
                <c:pt idx="26">
                  <c:v>-109.25387281188523</c:v>
                </c:pt>
                <c:pt idx="27">
                  <c:v>-127.38261887488579</c:v>
                </c:pt>
                <c:pt idx="28">
                  <c:v>-105.06932523130445</c:v>
                </c:pt>
                <c:pt idx="29">
                  <c:v>-145.04825356862307</c:v>
                </c:pt>
                <c:pt idx="30">
                  <c:v>0.12040334906828321</c:v>
                </c:pt>
                <c:pt idx="31">
                  <c:v>-98.732793146593281</c:v>
                </c:pt>
                <c:pt idx="32">
                  <c:v>90.138460790406043</c:v>
                </c:pt>
                <c:pt idx="33">
                  <c:v>78.538013486123191</c:v>
                </c:pt>
                <c:pt idx="34">
                  <c:v>-198.52717390333123</c:v>
                </c:pt>
                <c:pt idx="35">
                  <c:v>41.641483014360119</c:v>
                </c:pt>
                <c:pt idx="36">
                  <c:v>89.788286518698669</c:v>
                </c:pt>
                <c:pt idx="37">
                  <c:v>-11.340459544302007</c:v>
                </c:pt>
                <c:pt idx="38">
                  <c:v>-118.02716590072077</c:v>
                </c:pt>
                <c:pt idx="39">
                  <c:v>13.993905761960946</c:v>
                </c:pt>
                <c:pt idx="40">
                  <c:v>60.162562679651955</c:v>
                </c:pt>
                <c:pt idx="41">
                  <c:v>167.30936618399051</c:v>
                </c:pt>
                <c:pt idx="42">
                  <c:v>19.761534701968003</c:v>
                </c:pt>
                <c:pt idx="43">
                  <c:v>243.87354414876586</c:v>
                </c:pt>
                <c:pt idx="44">
                  <c:v>-39.853167589443501</c:v>
                </c:pt>
                <c:pt idx="45">
                  <c:v>-109.9050187880041</c:v>
                </c:pt>
                <c:pt idx="46">
                  <c:v>-3.9787233999174987</c:v>
                </c:pt>
                <c:pt idx="47">
                  <c:v>82.672022420830217</c:v>
                </c:pt>
                <c:pt idx="48">
                  <c:v>100.76480794815984</c:v>
                </c:pt>
                <c:pt idx="49">
                  <c:v>-115.87564473791417</c:v>
                </c:pt>
                <c:pt idx="50">
                  <c:v>-101.92749593647454</c:v>
                </c:pt>
                <c:pt idx="51">
                  <c:v>-127.00120054838794</c:v>
                </c:pt>
                <c:pt idx="52">
                  <c:v>20.649545272359546</c:v>
                </c:pt>
                <c:pt idx="53">
                  <c:v>-125.17141014817503</c:v>
                </c:pt>
                <c:pt idx="54">
                  <c:v>42.101878113615157</c:v>
                </c:pt>
                <c:pt idx="55">
                  <c:v>33.050026915054787</c:v>
                </c:pt>
                <c:pt idx="56">
                  <c:v>-41.023677696858385</c:v>
                </c:pt>
                <c:pt idx="57">
                  <c:v>-75.372931876110897</c:v>
                </c:pt>
                <c:pt idx="58">
                  <c:v>-117.2801463487815</c:v>
                </c:pt>
                <c:pt idx="59">
                  <c:v>78.079400965144941</c:v>
                </c:pt>
                <c:pt idx="60">
                  <c:v>39.027549766584116</c:v>
                </c:pt>
                <c:pt idx="61">
                  <c:v>85.953845154670944</c:v>
                </c:pt>
                <c:pt idx="62">
                  <c:v>80.60459097541866</c:v>
                </c:pt>
                <c:pt idx="63">
                  <c:v>30.850670687550746</c:v>
                </c:pt>
                <c:pt idx="64">
                  <c:v>320.22903824832269</c:v>
                </c:pt>
                <c:pt idx="65">
                  <c:v>246.10135563815436</c:v>
                </c:pt>
                <c:pt idx="66">
                  <c:v>-24.048180385366322</c:v>
                </c:pt>
                <c:pt idx="67">
                  <c:v>-79.473265976226116</c:v>
                </c:pt>
                <c:pt idx="68">
                  <c:v>-253.456311860504</c:v>
                </c:pt>
                <c:pt idx="69">
                  <c:v>-191.32425878140066</c:v>
                </c:pt>
                <c:pt idx="70">
                  <c:v>-191.45194139156865</c:v>
                </c:pt>
                <c:pt idx="71">
                  <c:v>-98.601477415089562</c:v>
                </c:pt>
                <c:pt idx="72">
                  <c:v>-110.94030395381401</c:v>
                </c:pt>
                <c:pt idx="73">
                  <c:v>302.9903911097731</c:v>
                </c:pt>
                <c:pt idx="74">
                  <c:v>192.12244418887622</c:v>
                </c:pt>
                <c:pt idx="75">
                  <c:v>6.994761578708335</c:v>
                </c:pt>
                <c:pt idx="76">
                  <c:v>-75.154774444812574</c:v>
                </c:pt>
                <c:pt idx="77">
                  <c:v>15.420139964327404</c:v>
                </c:pt>
                <c:pt idx="78">
                  <c:v>-140.56290591995048</c:v>
                </c:pt>
                <c:pt idx="79">
                  <c:v>-129.43085284084691</c:v>
                </c:pt>
                <c:pt idx="80">
                  <c:v>-70.558535451014905</c:v>
                </c:pt>
                <c:pt idx="81">
                  <c:v>-34.708071474535586</c:v>
                </c:pt>
                <c:pt idx="82">
                  <c:v>48.866842934604392</c:v>
                </c:pt>
                <c:pt idx="83">
                  <c:v>104.97005610246197</c:v>
                </c:pt>
                <c:pt idx="84">
                  <c:v>162.01585012943019</c:v>
                </c:pt>
                <c:pt idx="85">
                  <c:v>140.11440162857707</c:v>
                </c:pt>
                <c:pt idx="86">
                  <c:v>165.99410699334703</c:v>
                </c:pt>
                <c:pt idx="87">
                  <c:v>172.66529792344511</c:v>
                </c:pt>
                <c:pt idx="88">
                  <c:v>34.778528560125324</c:v>
                </c:pt>
                <c:pt idx="89">
                  <c:v>135.19941120210297</c:v>
                </c:pt>
                <c:pt idx="90">
                  <c:v>-121.8319948871067</c:v>
                </c:pt>
                <c:pt idx="91">
                  <c:v>-186.88525438966929</c:v>
                </c:pt>
                <c:pt idx="92">
                  <c:v>-28.214063459571207</c:v>
                </c:pt>
                <c:pt idx="93">
                  <c:v>-404.94753863808864</c:v>
                </c:pt>
                <c:pt idx="94">
                  <c:v>-51.679950180913011</c:v>
                </c:pt>
                <c:pt idx="95">
                  <c:v>148.28864372987675</c:v>
                </c:pt>
                <c:pt idx="96">
                  <c:v>-35.764615772685829</c:v>
                </c:pt>
                <c:pt idx="97">
                  <c:v>-80.093424842587524</c:v>
                </c:pt>
                <c:pt idx="98">
                  <c:v>-118.98019420590731</c:v>
                </c:pt>
                <c:pt idx="99">
                  <c:v>42.440688436070559</c:v>
                </c:pt>
                <c:pt idx="100">
                  <c:v>-105.59071765313956</c:v>
                </c:pt>
                <c:pt idx="101">
                  <c:v>-174.64397715570237</c:v>
                </c:pt>
                <c:pt idx="102">
                  <c:v>-8.972786225604068</c:v>
                </c:pt>
                <c:pt idx="103">
                  <c:v>139.05472426580627</c:v>
                </c:pt>
                <c:pt idx="104">
                  <c:v>174.4442008185747</c:v>
                </c:pt>
                <c:pt idx="105">
                  <c:v>82.47666146128131</c:v>
                </c:pt>
                <c:pt idx="106">
                  <c:v>82.147852391379388</c:v>
                </c:pt>
                <c:pt idx="107">
                  <c:v>508.07117855883644</c:v>
                </c:pt>
                <c:pt idx="108">
                  <c:v>64.490146266329475</c:v>
                </c:pt>
                <c:pt idx="109">
                  <c:v>-217.2085648010418</c:v>
                </c:pt>
                <c:pt idx="110">
                  <c:v>-119.92912928176656</c:v>
                </c:pt>
                <c:pt idx="111">
                  <c:v>-97.925243329829755</c:v>
                </c:pt>
                <c:pt idx="112">
                  <c:v>-36.393058619175235</c:v>
                </c:pt>
                <c:pt idx="113">
                  <c:v>-92.060349963817998</c:v>
                </c:pt>
                <c:pt idx="114">
                  <c:v>-68.759061031189276</c:v>
                </c:pt>
                <c:pt idx="115">
                  <c:v>-75.475739559976887</c:v>
                </c:pt>
                <c:pt idx="116">
                  <c:v>24.97018609854149</c:v>
                </c:pt>
                <c:pt idx="117">
                  <c:v>-112.61084619396479</c:v>
                </c:pt>
                <c:pt idx="118">
                  <c:v>58.690442738663251</c:v>
                </c:pt>
                <c:pt idx="119">
                  <c:v>-56.030121742060828</c:v>
                </c:pt>
                <c:pt idx="120">
                  <c:v>-32.026235790124019</c:v>
                </c:pt>
                <c:pt idx="121">
                  <c:v>37.505948920530045</c:v>
                </c:pt>
                <c:pt idx="122">
                  <c:v>-72.161342424112263</c:v>
                </c:pt>
                <c:pt idx="123">
                  <c:v>52.139946508516118</c:v>
                </c:pt>
                <c:pt idx="124">
                  <c:v>3.4193820277916984</c:v>
                </c:pt>
                <c:pt idx="125">
                  <c:v>-64.576732020271493</c:v>
                </c:pt>
                <c:pt idx="126">
                  <c:v>295.86919363824768</c:v>
                </c:pt>
                <c:pt idx="127">
                  <c:v>337.18075710505423</c:v>
                </c:pt>
                <c:pt idx="128">
                  <c:v>49.659974009929101</c:v>
                </c:pt>
                <c:pt idx="129">
                  <c:v>-38.529408283826342</c:v>
                </c:pt>
                <c:pt idx="130">
                  <c:v>-111.6478553103866</c:v>
                </c:pt>
                <c:pt idx="131">
                  <c:v>-58.524202302480717</c:v>
                </c:pt>
                <c:pt idx="132">
                  <c:v>-114.95926525233608</c:v>
                </c:pt>
                <c:pt idx="133">
                  <c:v>-124.41618161554436</c:v>
                </c:pt>
                <c:pt idx="134">
                  <c:v>-39.148647546091524</c:v>
                </c:pt>
                <c:pt idx="135">
                  <c:v>30.560926229943561</c:v>
                </c:pt>
                <c:pt idx="136">
                  <c:v>93.770838289984567</c:v>
                </c:pt>
                <c:pt idx="137">
                  <c:v>30.335775340129317</c:v>
                </c:pt>
                <c:pt idx="138">
                  <c:v>-91.121141023078962</c:v>
                </c:pt>
                <c:pt idx="139">
                  <c:v>-98.853606953626354</c:v>
                </c:pt>
                <c:pt idx="140">
                  <c:v>9.9422258745437375</c:v>
                </c:pt>
                <c:pt idx="141">
                  <c:v>43.065878882449852</c:v>
                </c:pt>
                <c:pt idx="142">
                  <c:v>-38.369184067405513</c:v>
                </c:pt>
                <c:pt idx="143">
                  <c:v>-46.826100430613565</c:v>
                </c:pt>
                <c:pt idx="144">
                  <c:v>-57.558566361160956</c:v>
                </c:pt>
                <c:pt idx="145">
                  <c:v>-42.84899258512587</c:v>
                </c:pt>
                <c:pt idx="146">
                  <c:v>102.36091947491536</c:v>
                </c:pt>
                <c:pt idx="147">
                  <c:v>165.92585652505966</c:v>
                </c:pt>
                <c:pt idx="148">
                  <c:v>364.52760515523914</c:v>
                </c:pt>
                <c:pt idx="149">
                  <c:v>9.6088904070793433</c:v>
                </c:pt>
                <c:pt idx="150">
                  <c:v>-45.781525582362974</c:v>
                </c:pt>
                <c:pt idx="151">
                  <c:v>-69.21661902729511</c:v>
                </c:pt>
                <c:pt idx="152">
                  <c:v>-77.837930794762997</c:v>
                </c:pt>
                <c:pt idx="153">
                  <c:v>-117.48109597558368</c:v>
                </c:pt>
                <c:pt idx="154">
                  <c:v>54.600189276256515</c:v>
                </c:pt>
                <c:pt idx="155">
                  <c:v>32.123514234679078</c:v>
                </c:pt>
                <c:pt idx="156">
                  <c:v>-120.22532015811771</c:v>
                </c:pt>
                <c:pt idx="157">
                  <c:v>-159.84663192558594</c:v>
                </c:pt>
                <c:pt idx="158">
                  <c:v>27.510202893593487</c:v>
                </c:pt>
                <c:pt idx="159">
                  <c:v>-86.408511854566314</c:v>
                </c:pt>
                <c:pt idx="160">
                  <c:v>-153.79892784400886</c:v>
                </c:pt>
                <c:pt idx="161">
                  <c:v>88.765978711059461</c:v>
                </c:pt>
                <c:pt idx="162">
                  <c:v>91.144666943591574</c:v>
                </c:pt>
                <c:pt idx="163">
                  <c:v>35.501501762770772</c:v>
                </c:pt>
                <c:pt idx="164">
                  <c:v>37.582787014610858</c:v>
                </c:pt>
                <c:pt idx="165">
                  <c:v>-116.89388802696658</c:v>
                </c:pt>
                <c:pt idx="166">
                  <c:v>24.757277580236632</c:v>
                </c:pt>
                <c:pt idx="167">
                  <c:v>102.13596581276875</c:v>
                </c:pt>
                <c:pt idx="168">
                  <c:v>50.492800631948057</c:v>
                </c:pt>
                <c:pt idx="169">
                  <c:v>186.57408588378814</c:v>
                </c:pt>
                <c:pt idx="170">
                  <c:v>-157.83501511825716</c:v>
                </c:pt>
                <c:pt idx="171">
                  <c:v>393.873470267421</c:v>
                </c:pt>
                <c:pt idx="172">
                  <c:v>46.342259358032607</c:v>
                </c:pt>
                <c:pt idx="173">
                  <c:v>-18.550221263964659</c:v>
                </c:pt>
                <c:pt idx="174">
                  <c:v>-98.000662179380015</c:v>
                </c:pt>
                <c:pt idx="175">
                  <c:v>-106.27079419368783</c:v>
                </c:pt>
                <c:pt idx="176">
                  <c:v>-76.865871834993413</c:v>
                </c:pt>
                <c:pt idx="177">
                  <c:v>-116.48280288965134</c:v>
                </c:pt>
                <c:pt idx="178">
                  <c:v>71.624716488351623</c:v>
                </c:pt>
                <c:pt idx="179">
                  <c:v>-21.739465374928159</c:v>
                </c:pt>
                <c:pt idx="180">
                  <c:v>103.90414355862822</c:v>
                </c:pt>
                <c:pt idx="181">
                  <c:v>-324.69093408267713</c:v>
                </c:pt>
                <c:pt idx="182">
                  <c:v>-128.30786513733528</c:v>
                </c:pt>
                <c:pt idx="183">
                  <c:v>-47.200345759332322</c:v>
                </c:pt>
                <c:pt idx="184">
                  <c:v>-48.650786674746996</c:v>
                </c:pt>
                <c:pt idx="185">
                  <c:v>16.079081310944275</c:v>
                </c:pt>
                <c:pt idx="186">
                  <c:v>17.484003669639151</c:v>
                </c:pt>
                <c:pt idx="187">
                  <c:v>61.867072614980998</c:v>
                </c:pt>
                <c:pt idx="188">
                  <c:v>-3.0254080070162672</c:v>
                </c:pt>
                <c:pt idx="189">
                  <c:v>278.61041012970395</c:v>
                </c:pt>
                <c:pt idx="190">
                  <c:v>125.46833637156442</c:v>
                </c:pt>
                <c:pt idx="191">
                  <c:v>167.25683559332958</c:v>
                </c:pt>
                <c:pt idx="192">
                  <c:v>15.090516534409062</c:v>
                </c:pt>
                <c:pt idx="193">
                  <c:v>40.648647908149769</c:v>
                </c:pt>
                <c:pt idx="194">
                  <c:v>6.6488189884728399</c:v>
                </c:pt>
                <c:pt idx="195">
                  <c:v>-273.26947703862288</c:v>
                </c:pt>
                <c:pt idx="196">
                  <c:v>-165.41394268419026</c:v>
                </c:pt>
                <c:pt idx="197">
                  <c:v>-65.580261743110782</c:v>
                </c:pt>
                <c:pt idx="198">
                  <c:v>24.977869630629584</c:v>
                </c:pt>
                <c:pt idx="199">
                  <c:v>138.06429976308755</c:v>
                </c:pt>
                <c:pt idx="200">
                  <c:v>120.05974468385693</c:v>
                </c:pt>
                <c:pt idx="201">
                  <c:v>-23.084720961710445</c:v>
                </c:pt>
                <c:pt idx="202">
                  <c:v>-69.251040020630626</c:v>
                </c:pt>
                <c:pt idx="203">
                  <c:v>-130.69290864689026</c:v>
                </c:pt>
                <c:pt idx="204">
                  <c:v>-65.69273756656753</c:v>
                </c:pt>
                <c:pt idx="205">
                  <c:v>-61.611033593662683</c:v>
                </c:pt>
                <c:pt idx="206">
                  <c:v>24.24450076076937</c:v>
                </c:pt>
                <c:pt idx="207">
                  <c:v>-53.921818298150811</c:v>
                </c:pt>
                <c:pt idx="208">
                  <c:v>78.636313075589896</c:v>
                </c:pt>
                <c:pt idx="209">
                  <c:v>-1.2772567919523681</c:v>
                </c:pt>
                <c:pt idx="210">
                  <c:v>19.718188128817246</c:v>
                </c:pt>
                <c:pt idx="211">
                  <c:v>-13.426277516750474</c:v>
                </c:pt>
                <c:pt idx="212">
                  <c:v>162.407403424329</c:v>
                </c:pt>
                <c:pt idx="213">
                  <c:v>165.58331303107025</c:v>
                </c:pt>
                <c:pt idx="214">
                  <c:v>274.20813981801575</c:v>
                </c:pt>
                <c:pt idx="215">
                  <c:v>-72.635083691209275</c:v>
                </c:pt>
                <c:pt idx="216">
                  <c:v>-80.087858497486877</c:v>
                </c:pt>
                <c:pt idx="217">
                  <c:v>-125.56248671711728</c:v>
                </c:pt>
                <c:pt idx="218">
                  <c:v>-29.31266450408657</c:v>
                </c:pt>
                <c:pt idx="219">
                  <c:v>-179.5345435323386</c:v>
                </c:pt>
                <c:pt idx="220">
                  <c:v>-157.46402609369898</c:v>
                </c:pt>
                <c:pt idx="221">
                  <c:v>-99.916800899976352</c:v>
                </c:pt>
                <c:pt idx="222">
                  <c:v>-88.391429119606755</c:v>
                </c:pt>
                <c:pt idx="223">
                  <c:v>113.85839309342373</c:v>
                </c:pt>
                <c:pt idx="224">
                  <c:v>25.550255013036804</c:v>
                </c:pt>
                <c:pt idx="225">
                  <c:v>12.707031503811322</c:v>
                </c:pt>
                <c:pt idx="226">
                  <c:v>185.25425669753395</c:v>
                </c:pt>
                <c:pt idx="227">
                  <c:v>333.69390833263401</c:v>
                </c:pt>
                <c:pt idx="228">
                  <c:v>-401.36440753472311</c:v>
                </c:pt>
                <c:pt idx="229">
                  <c:v>73.878089101322075</c:v>
                </c:pt>
                <c:pt idx="230">
                  <c:v>62.425314295044245</c:v>
                </c:pt>
                <c:pt idx="231">
                  <c:v>-91.049313924585931</c:v>
                </c:pt>
                <c:pt idx="232">
                  <c:v>-43.79949171155522</c:v>
                </c:pt>
                <c:pt idx="233">
                  <c:v>121.95940534072452</c:v>
                </c:pt>
                <c:pt idx="234">
                  <c:v>246.83919864728841</c:v>
                </c:pt>
                <c:pt idx="235">
                  <c:v>-169.05641483451609</c:v>
                </c:pt>
                <c:pt idx="236">
                  <c:v>-116.97388172967339</c:v>
                </c:pt>
                <c:pt idx="237">
                  <c:v>-36.166898192170038</c:v>
                </c:pt>
                <c:pt idx="238">
                  <c:v>-206.83161589594943</c:v>
                </c:pt>
                <c:pt idx="239">
                  <c:v>-63.089614483890728</c:v>
                </c:pt>
                <c:pt idx="240">
                  <c:v>-32.985227965695685</c:v>
                </c:pt>
                <c:pt idx="241">
                  <c:v>-41.902694860852989</c:v>
                </c:pt>
                <c:pt idx="242">
                  <c:v>-52.095711323349406</c:v>
                </c:pt>
                <c:pt idx="243">
                  <c:v>106.15331192073609</c:v>
                </c:pt>
                <c:pt idx="244">
                  <c:v>177.98157238492968</c:v>
                </c:pt>
                <c:pt idx="245">
                  <c:v>197.08595890312495</c:v>
                </c:pt>
                <c:pt idx="246">
                  <c:v>260.16849200796742</c:v>
                </c:pt>
                <c:pt idx="247">
                  <c:v>160.975475545471</c:v>
                </c:pt>
                <c:pt idx="248">
                  <c:v>299.31075784169229</c:v>
                </c:pt>
                <c:pt idx="249">
                  <c:v>-382.03296089151968</c:v>
                </c:pt>
                <c:pt idx="250">
                  <c:v>-46.846041268481713</c:v>
                </c:pt>
                <c:pt idx="251">
                  <c:v>-169.9533375857086</c:v>
                </c:pt>
                <c:pt idx="252">
                  <c:v>-291.7043143416231</c:v>
                </c:pt>
                <c:pt idx="253">
                  <c:v>161.12394612257049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93-4AE0-B307-597D85135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612159"/>
        <c:axId val="963616959"/>
      </c:scatterChart>
      <c:valAx>
        <c:axId val="963612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/>
                </a:pPr>
                <a:r>
                  <a:rPr lang="en-IN"/>
                  <a:t>Fit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sz="800" b="0"/>
            </a:pPr>
            <a:endParaRPr lang="en-US"/>
          </a:p>
        </c:txPr>
        <c:crossAx val="963616959"/>
        <c:crosses val="autoZero"/>
        <c:crossBetween val="midCat"/>
      </c:valAx>
      <c:valAx>
        <c:axId val="9636169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sz="800" b="0"/>
            </a:pPr>
            <a:endParaRPr lang="en-US"/>
          </a:p>
        </c:txPr>
        <c:crossAx val="96361215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12700"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/>
            </a:pPr>
            <a:r>
              <a:rPr lang="en-US"/>
              <a:t>Histogram of Residuals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25400">
              <a:solidFill>
                <a:srgbClr val="333399"/>
              </a:solidFill>
              <a:prstDash val="solid"/>
            </a:ln>
          </c:spPr>
          <c:invertIfNegative val="0"/>
          <c:cat>
            <c:numRef>
              <c:f>'Regression(b..)'!$D$143:$D$151</c:f>
              <c:numCache>
                <c:formatCode>General</c:formatCode>
                <c:ptCount val="9"/>
                <c:pt idx="0">
                  <c:v>-354.22427657404432</c:v>
                </c:pt>
                <c:pt idx="1">
                  <c:v>-252.77775244</c:v>
                </c:pt>
                <c:pt idx="2">
                  <c:v>-151.331228305</c:v>
                </c:pt>
                <c:pt idx="3">
                  <c:v>-49.884704174999996</c:v>
                </c:pt>
                <c:pt idx="4">
                  <c:v>51.561819960000001</c:v>
                </c:pt>
                <c:pt idx="5">
                  <c:v>153.00834409500001</c:v>
                </c:pt>
                <c:pt idx="6">
                  <c:v>254.45486822500001</c:v>
                </c:pt>
                <c:pt idx="7">
                  <c:v>355.90139236000005</c:v>
                </c:pt>
                <c:pt idx="8">
                  <c:v>457.3479164944182</c:v>
                </c:pt>
              </c:numCache>
            </c:numRef>
          </c:cat>
          <c:val>
            <c:numRef>
              <c:f>'Regression(b..)'!$E$143:$E$151</c:f>
              <c:numCache>
                <c:formatCode>General</c:formatCode>
                <c:ptCount val="9"/>
                <c:pt idx="0">
                  <c:v>4</c:v>
                </c:pt>
                <c:pt idx="1">
                  <c:v>6</c:v>
                </c:pt>
                <c:pt idx="2">
                  <c:v>48</c:v>
                </c:pt>
                <c:pt idx="3">
                  <c:v>75</c:v>
                </c:pt>
                <c:pt idx="4">
                  <c:v>74</c:v>
                </c:pt>
                <c:pt idx="5">
                  <c:v>29</c:v>
                </c:pt>
                <c:pt idx="6">
                  <c:v>10</c:v>
                </c:pt>
                <c:pt idx="7">
                  <c:v>7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ED-4546-9DF3-C8F2A01A2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63639039"/>
        <c:axId val="963624159"/>
      </c:barChart>
      <c:catAx>
        <c:axId val="96363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-5400000" vert="horz"/>
          <a:lstStyle/>
          <a:p>
            <a:pPr>
              <a:defRPr sz="800"/>
            </a:pPr>
            <a:endParaRPr lang="en-US"/>
          </a:p>
        </c:txPr>
        <c:crossAx val="963624159"/>
        <c:crosses val="autoZero"/>
        <c:auto val="1"/>
        <c:lblAlgn val="ctr"/>
        <c:lblOffset val="100"/>
        <c:noMultiLvlLbl val="0"/>
      </c:catAx>
      <c:valAx>
        <c:axId val="9636241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 b="0"/>
            </a:pPr>
            <a:endParaRPr lang="en-US"/>
          </a:p>
        </c:txPr>
        <c:crossAx val="9636390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12700">
      <a:noFill/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69</xdr:row>
      <xdr:rowOff>0</xdr:rowOff>
    </xdr:from>
    <xdr:to>
      <xdr:col>3</xdr:col>
      <xdr:colOff>234950</xdr:colOff>
      <xdr:row>85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FE68E9-AA0E-DFF1-ACA7-39E4CB7A4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12700</xdr:colOff>
      <xdr:row>88</xdr:row>
      <xdr:rowOff>0</xdr:rowOff>
    </xdr:from>
    <xdr:to>
      <xdr:col>3</xdr:col>
      <xdr:colOff>234950</xdr:colOff>
      <xdr:row>104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79A946-3C1A-EEB9-47D3-DE1FD3F11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2" name="gwm_32471          ">
          <a:extLst xmlns:a="http://schemas.openxmlformats.org/drawingml/2006/main">
            <a:ext uri="{FF2B5EF4-FFF2-40B4-BE49-F238E27FC236}">
              <a16:creationId xmlns:a16="http://schemas.microsoft.com/office/drawing/2014/main" id="{1A317B2F-5ABB-41F5-0677-609E7FA4E03C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3" name="gwm_32471         ">
          <a:extLst xmlns:a="http://schemas.openxmlformats.org/drawingml/2006/main">
            <a:ext uri="{FF2B5EF4-FFF2-40B4-BE49-F238E27FC236}">
              <a16:creationId xmlns:a16="http://schemas.microsoft.com/office/drawing/2014/main" id="{A13BA807-16B4-1D55-10AE-E1EA0C3D976E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4" name="gwm_32471        ">
          <a:extLst xmlns:a="http://schemas.openxmlformats.org/drawingml/2006/main">
            <a:ext uri="{FF2B5EF4-FFF2-40B4-BE49-F238E27FC236}">
              <a16:creationId xmlns:a16="http://schemas.microsoft.com/office/drawing/2014/main" id="{E5B3483A-6D8D-3DDC-AEE5-F8BDC63ECE54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5" name="gwm_32471       ">
          <a:extLst xmlns:a="http://schemas.openxmlformats.org/drawingml/2006/main">
            <a:ext uri="{FF2B5EF4-FFF2-40B4-BE49-F238E27FC236}">
              <a16:creationId xmlns:a16="http://schemas.microsoft.com/office/drawing/2014/main" id="{71C8EC7F-B54F-77E1-3C9D-57CDBBA215F5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6" name="gwm_32471      ">
          <a:extLst xmlns:a="http://schemas.openxmlformats.org/drawingml/2006/main">
            <a:ext uri="{FF2B5EF4-FFF2-40B4-BE49-F238E27FC236}">
              <a16:creationId xmlns:a16="http://schemas.microsoft.com/office/drawing/2014/main" id="{832E2B80-7C15-4058-B362-CDB0B7A66A9F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7" name="gwm_32471     ">
          <a:extLst xmlns:a="http://schemas.openxmlformats.org/drawingml/2006/main">
            <a:ext uri="{FF2B5EF4-FFF2-40B4-BE49-F238E27FC236}">
              <a16:creationId xmlns:a16="http://schemas.microsoft.com/office/drawing/2014/main" id="{32A542BA-1495-204D-DAC3-65EA9637C2EC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8" name="gwm_32471    ">
          <a:extLst xmlns:a="http://schemas.openxmlformats.org/drawingml/2006/main">
            <a:ext uri="{FF2B5EF4-FFF2-40B4-BE49-F238E27FC236}">
              <a16:creationId xmlns:a16="http://schemas.microsoft.com/office/drawing/2014/main" id="{6497FC3C-B0AE-C7BF-8669-703DD56367D2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9" name="gwm_32471   ">
          <a:extLst xmlns:a="http://schemas.openxmlformats.org/drawingml/2006/main">
            <a:ext uri="{FF2B5EF4-FFF2-40B4-BE49-F238E27FC236}">
              <a16:creationId xmlns:a16="http://schemas.microsoft.com/office/drawing/2014/main" id="{1A3FCFE5-DDDF-10DF-5338-30B524B349CB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10" name="gwm_32471  ">
          <a:extLst xmlns:a="http://schemas.openxmlformats.org/drawingml/2006/main">
            <a:ext uri="{FF2B5EF4-FFF2-40B4-BE49-F238E27FC236}">
              <a16:creationId xmlns:a16="http://schemas.microsoft.com/office/drawing/2014/main" id="{EA7A2E4E-4758-60BF-ED52-F9AD3E8D6CFD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11" name="gwm_32471 ">
          <a:extLst xmlns:a="http://schemas.openxmlformats.org/drawingml/2006/main">
            <a:ext uri="{FF2B5EF4-FFF2-40B4-BE49-F238E27FC236}">
              <a16:creationId xmlns:a16="http://schemas.microsoft.com/office/drawing/2014/main" id="{471B52D7-CAC5-7D15-7AE3-8E7FB0E341ED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2" name="gwm_8021          ">
          <a:extLst xmlns:a="http://schemas.openxmlformats.org/drawingml/2006/main">
            <a:ext uri="{FF2B5EF4-FFF2-40B4-BE49-F238E27FC236}">
              <a16:creationId xmlns:a16="http://schemas.microsoft.com/office/drawing/2014/main" id="{5706CD5C-F1DF-6028-2A27-A2784F6F0715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3" name="gwm_8021         ">
          <a:extLst xmlns:a="http://schemas.openxmlformats.org/drawingml/2006/main">
            <a:ext uri="{FF2B5EF4-FFF2-40B4-BE49-F238E27FC236}">
              <a16:creationId xmlns:a16="http://schemas.microsoft.com/office/drawing/2014/main" id="{FF6D36C4-FABD-1B1F-F925-83E8CD502622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4" name="gwm_8021        ">
          <a:extLst xmlns:a="http://schemas.openxmlformats.org/drawingml/2006/main">
            <a:ext uri="{FF2B5EF4-FFF2-40B4-BE49-F238E27FC236}">
              <a16:creationId xmlns:a16="http://schemas.microsoft.com/office/drawing/2014/main" id="{C80AC706-90D9-3561-8084-AC0BFBDC5A6E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5" name="gwm_8021       ">
          <a:extLst xmlns:a="http://schemas.openxmlformats.org/drawingml/2006/main">
            <a:ext uri="{FF2B5EF4-FFF2-40B4-BE49-F238E27FC236}">
              <a16:creationId xmlns:a16="http://schemas.microsoft.com/office/drawing/2014/main" id="{8D097ED8-3E71-631E-750E-D5CFC36BF2F7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6" name="gwm_8021      ">
          <a:extLst xmlns:a="http://schemas.openxmlformats.org/drawingml/2006/main">
            <a:ext uri="{FF2B5EF4-FFF2-40B4-BE49-F238E27FC236}">
              <a16:creationId xmlns:a16="http://schemas.microsoft.com/office/drawing/2014/main" id="{9DF05022-8978-410B-B3F2-9B9A498A6689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7" name="gwm_8021     ">
          <a:extLst xmlns:a="http://schemas.openxmlformats.org/drawingml/2006/main">
            <a:ext uri="{FF2B5EF4-FFF2-40B4-BE49-F238E27FC236}">
              <a16:creationId xmlns:a16="http://schemas.microsoft.com/office/drawing/2014/main" id="{A620DF9D-8A0F-C9DC-EF01-9AFAB2886318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8" name="gwm_8021    ">
          <a:extLst xmlns:a="http://schemas.openxmlformats.org/drawingml/2006/main">
            <a:ext uri="{FF2B5EF4-FFF2-40B4-BE49-F238E27FC236}">
              <a16:creationId xmlns:a16="http://schemas.microsoft.com/office/drawing/2014/main" id="{108E69BC-851B-0CCB-CFFB-7B77159FE945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9" name="gwm_8021   ">
          <a:extLst xmlns:a="http://schemas.openxmlformats.org/drawingml/2006/main">
            <a:ext uri="{FF2B5EF4-FFF2-40B4-BE49-F238E27FC236}">
              <a16:creationId xmlns:a16="http://schemas.microsoft.com/office/drawing/2014/main" id="{5406F2DA-26BB-95A3-6563-3B4F536D5670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10" name="gwm_8021  ">
          <a:extLst xmlns:a="http://schemas.openxmlformats.org/drawingml/2006/main">
            <a:ext uri="{FF2B5EF4-FFF2-40B4-BE49-F238E27FC236}">
              <a16:creationId xmlns:a16="http://schemas.microsoft.com/office/drawing/2014/main" id="{E19F55D3-F432-F647-C8F7-74834E55E75F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11" name="gwm_8021 ">
          <a:extLst xmlns:a="http://schemas.openxmlformats.org/drawingml/2006/main">
            <a:ext uri="{FF2B5EF4-FFF2-40B4-BE49-F238E27FC236}">
              <a16:creationId xmlns:a16="http://schemas.microsoft.com/office/drawing/2014/main" id="{797CCD7D-3F7B-902F-D2C6-DCE03650AAAA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102</xdr:row>
      <xdr:rowOff>0</xdr:rowOff>
    </xdr:from>
    <xdr:to>
      <xdr:col>3</xdr:col>
      <xdr:colOff>234950</xdr:colOff>
      <xdr:row>118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DC7DC2-DBA8-B14B-6F95-07A8A81F1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12700</xdr:colOff>
      <xdr:row>121</xdr:row>
      <xdr:rowOff>0</xdr:rowOff>
    </xdr:from>
    <xdr:to>
      <xdr:col>3</xdr:col>
      <xdr:colOff>234950</xdr:colOff>
      <xdr:row>137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6B2057-9809-BF08-8C43-ACFCDCA56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2" name="gwm_3184          ">
          <a:extLst xmlns:a="http://schemas.openxmlformats.org/drawingml/2006/main">
            <a:ext uri="{FF2B5EF4-FFF2-40B4-BE49-F238E27FC236}">
              <a16:creationId xmlns:a16="http://schemas.microsoft.com/office/drawing/2014/main" id="{ACF2AF98-4524-F02D-715B-79AF993CBB16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3" name="gwm_3184         ">
          <a:extLst xmlns:a="http://schemas.openxmlformats.org/drawingml/2006/main">
            <a:ext uri="{FF2B5EF4-FFF2-40B4-BE49-F238E27FC236}">
              <a16:creationId xmlns:a16="http://schemas.microsoft.com/office/drawing/2014/main" id="{85301795-B185-76B2-DC7C-16267C810D7E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4" name="gwm_3184        ">
          <a:extLst xmlns:a="http://schemas.openxmlformats.org/drawingml/2006/main">
            <a:ext uri="{FF2B5EF4-FFF2-40B4-BE49-F238E27FC236}">
              <a16:creationId xmlns:a16="http://schemas.microsoft.com/office/drawing/2014/main" id="{6D9CC6F0-FF8A-62A4-B8B7-635C759AAEF7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5" name="gwm_3184       ">
          <a:extLst xmlns:a="http://schemas.openxmlformats.org/drawingml/2006/main">
            <a:ext uri="{FF2B5EF4-FFF2-40B4-BE49-F238E27FC236}">
              <a16:creationId xmlns:a16="http://schemas.microsoft.com/office/drawing/2014/main" id="{FEB3D664-89C3-F7C6-FD75-63D10EA7633F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6" name="gwm_3184      ">
          <a:extLst xmlns:a="http://schemas.openxmlformats.org/drawingml/2006/main">
            <a:ext uri="{FF2B5EF4-FFF2-40B4-BE49-F238E27FC236}">
              <a16:creationId xmlns:a16="http://schemas.microsoft.com/office/drawing/2014/main" id="{CAE5E1C2-FBA1-0FD0-856D-0C9AD79772C1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7" name="gwm_3184     ">
          <a:extLst xmlns:a="http://schemas.openxmlformats.org/drawingml/2006/main">
            <a:ext uri="{FF2B5EF4-FFF2-40B4-BE49-F238E27FC236}">
              <a16:creationId xmlns:a16="http://schemas.microsoft.com/office/drawing/2014/main" id="{445364A8-DC94-021A-21D3-45B1AC2637B4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8" name="gwm_3184    ">
          <a:extLst xmlns:a="http://schemas.openxmlformats.org/drawingml/2006/main">
            <a:ext uri="{FF2B5EF4-FFF2-40B4-BE49-F238E27FC236}">
              <a16:creationId xmlns:a16="http://schemas.microsoft.com/office/drawing/2014/main" id="{93784F41-19D4-E529-56DE-EB488A86681F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9" name="gwm_3184   ">
          <a:extLst xmlns:a="http://schemas.openxmlformats.org/drawingml/2006/main">
            <a:ext uri="{FF2B5EF4-FFF2-40B4-BE49-F238E27FC236}">
              <a16:creationId xmlns:a16="http://schemas.microsoft.com/office/drawing/2014/main" id="{0D2C0A03-7D15-1EC5-FCC3-0C671D50A592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10" name="gwm_3184  ">
          <a:extLst xmlns:a="http://schemas.openxmlformats.org/drawingml/2006/main">
            <a:ext uri="{FF2B5EF4-FFF2-40B4-BE49-F238E27FC236}">
              <a16:creationId xmlns:a16="http://schemas.microsoft.com/office/drawing/2014/main" id="{C723F0DD-DF66-F1AB-037A-FE59D33B21C3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11" name="gwm_3184 ">
          <a:extLst xmlns:a="http://schemas.openxmlformats.org/drawingml/2006/main">
            <a:ext uri="{FF2B5EF4-FFF2-40B4-BE49-F238E27FC236}">
              <a16:creationId xmlns:a16="http://schemas.microsoft.com/office/drawing/2014/main" id="{7134C9D0-056E-C145-98A2-4F8819C03B78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2" name="gwm_28762          ">
          <a:extLst xmlns:a="http://schemas.openxmlformats.org/drawingml/2006/main">
            <a:ext uri="{FF2B5EF4-FFF2-40B4-BE49-F238E27FC236}">
              <a16:creationId xmlns:a16="http://schemas.microsoft.com/office/drawing/2014/main" id="{513B9FA8-3BA3-EDB4-D195-B6155E6EB723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3" name="gwm_28762         ">
          <a:extLst xmlns:a="http://schemas.openxmlformats.org/drawingml/2006/main">
            <a:ext uri="{FF2B5EF4-FFF2-40B4-BE49-F238E27FC236}">
              <a16:creationId xmlns:a16="http://schemas.microsoft.com/office/drawing/2014/main" id="{E5A42A97-D28B-89F4-2A7F-287C702D9C72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4" name="gwm_28762        ">
          <a:extLst xmlns:a="http://schemas.openxmlformats.org/drawingml/2006/main">
            <a:ext uri="{FF2B5EF4-FFF2-40B4-BE49-F238E27FC236}">
              <a16:creationId xmlns:a16="http://schemas.microsoft.com/office/drawing/2014/main" id="{7785ADFB-5FFB-4033-432F-F69603604FD2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5" name="gwm_28762       ">
          <a:extLst xmlns:a="http://schemas.openxmlformats.org/drawingml/2006/main">
            <a:ext uri="{FF2B5EF4-FFF2-40B4-BE49-F238E27FC236}">
              <a16:creationId xmlns:a16="http://schemas.microsoft.com/office/drawing/2014/main" id="{6755226C-B42B-13C7-6504-A08AF0A09092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6" name="gwm_28762      ">
          <a:extLst xmlns:a="http://schemas.openxmlformats.org/drawingml/2006/main">
            <a:ext uri="{FF2B5EF4-FFF2-40B4-BE49-F238E27FC236}">
              <a16:creationId xmlns:a16="http://schemas.microsoft.com/office/drawing/2014/main" id="{4425BE95-23D3-CA55-9B71-A857E5CA10D5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7" name="gwm_28762     ">
          <a:extLst xmlns:a="http://schemas.openxmlformats.org/drawingml/2006/main">
            <a:ext uri="{FF2B5EF4-FFF2-40B4-BE49-F238E27FC236}">
              <a16:creationId xmlns:a16="http://schemas.microsoft.com/office/drawing/2014/main" id="{B2BDB4BB-AC04-46C2-C3A4-AE2C978C6153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8" name="gwm_28762    ">
          <a:extLst xmlns:a="http://schemas.openxmlformats.org/drawingml/2006/main">
            <a:ext uri="{FF2B5EF4-FFF2-40B4-BE49-F238E27FC236}">
              <a16:creationId xmlns:a16="http://schemas.microsoft.com/office/drawing/2014/main" id="{44D86C78-7AB9-5A98-3779-B0BA90DC56D2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9" name="gwm_28762   ">
          <a:extLst xmlns:a="http://schemas.openxmlformats.org/drawingml/2006/main">
            <a:ext uri="{FF2B5EF4-FFF2-40B4-BE49-F238E27FC236}">
              <a16:creationId xmlns:a16="http://schemas.microsoft.com/office/drawing/2014/main" id="{F4CDF65D-944E-704E-D253-BE71E05F85BB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10" name="gwm_28762  ">
          <a:extLst xmlns:a="http://schemas.openxmlformats.org/drawingml/2006/main">
            <a:ext uri="{FF2B5EF4-FFF2-40B4-BE49-F238E27FC236}">
              <a16:creationId xmlns:a16="http://schemas.microsoft.com/office/drawing/2014/main" id="{749773FC-3060-EA4E-14B9-C678B91B3602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  <cdr:relSizeAnchor xmlns:cdr="http://schemas.openxmlformats.org/drawingml/2006/chartDrawing">
    <cdr:from>
      <cdr:x>0.08158</cdr:x>
      <cdr:y>0.4</cdr:y>
    </cdr:from>
    <cdr:to>
      <cdr:x>0.91842</cdr:x>
      <cdr:y>0.6</cdr:y>
    </cdr:to>
    <cdr:sp macro="objClick" textlink="">
      <cdr:nvSpPr>
        <cdr:cNvPr id="11" name="gwm_28762 ">
          <a:extLst xmlns:a="http://schemas.openxmlformats.org/drawingml/2006/main">
            <a:ext uri="{FF2B5EF4-FFF2-40B4-BE49-F238E27FC236}">
              <a16:creationId xmlns:a16="http://schemas.microsoft.com/office/drawing/2014/main" id="{512A1388-C8ED-50ED-57F7-641C00152951}"/>
            </a:ext>
          </a:extLst>
        </cdr:cNvPr>
        <cdr:cNvSpPr txBox="1"/>
      </cdr:nvSpPr>
      <cdr:spPr>
        <a:xfrm xmlns:a="http://schemas.openxmlformats.org/drawingml/2006/main">
          <a:off x="393700" y="1270000"/>
          <a:ext cx="40386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StatTools Course Version</a:t>
          </a:r>
        </a:p>
        <a:p xmlns:a="http://schemas.openxmlformats.org/drawingml/2006/main">
          <a:pPr algn="ctr"/>
          <a:r>
            <a:rPr lang="en-IN" sz="1400" b="0" i="0">
              <a:solidFill>
                <a:srgbClr val="808080"/>
              </a:solidFill>
              <a:latin typeface="Arial" panose="020B0604020202020204" pitchFamily="34" charset="0"/>
            </a:rPr>
            <a:t>U</a:t>
          </a:r>
          <a:r>
            <a:rPr lang="en-IN" sz="1000" b="0" i="0">
              <a:solidFill>
                <a:srgbClr val="808080"/>
              </a:solidFill>
              <a:latin typeface="Arial" panose="020B0604020202020204" pitchFamily="34" charset="0"/>
            </a:rPr>
            <a:t>niversity of Westminster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191CA-180D-493B-B519-607B57CA6275}">
  <dimension ref="A1:G261"/>
  <sheetViews>
    <sheetView workbookViewId="0">
      <selection activeCell="C1" sqref="C1"/>
    </sheetView>
  </sheetViews>
  <sheetFormatPr defaultRowHeight="14.5" x14ac:dyDescent="0.35"/>
  <cols>
    <col min="2" max="2" width="12.1796875" bestFit="1" customWidth="1"/>
    <col min="3" max="3" width="11" bestFit="1" customWidth="1"/>
    <col min="4" max="4" width="11.08984375" bestFit="1" customWidth="1"/>
    <col min="5" max="5" width="13.1796875" bestFit="1" customWidth="1"/>
    <col min="6" max="6" width="20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5">
      <c r="A2" s="1" t="s">
        <v>7</v>
      </c>
      <c r="B2" s="1">
        <v>2</v>
      </c>
      <c r="C2" s="1" t="s">
        <v>8</v>
      </c>
      <c r="D2" s="2" t="s">
        <v>9</v>
      </c>
      <c r="E2" s="2" t="s">
        <v>9</v>
      </c>
      <c r="F2" s="2" t="s">
        <v>9</v>
      </c>
      <c r="G2" s="4">
        <v>1825</v>
      </c>
    </row>
    <row r="3" spans="1:7" x14ac:dyDescent="0.35">
      <c r="A3" s="1" t="s">
        <v>7</v>
      </c>
      <c r="B3" s="1">
        <v>3</v>
      </c>
      <c r="C3" s="1" t="s">
        <v>10</v>
      </c>
      <c r="D3" s="2" t="s">
        <v>11</v>
      </c>
      <c r="E3" s="2" t="s">
        <v>11</v>
      </c>
      <c r="F3" s="2" t="s">
        <v>11</v>
      </c>
      <c r="G3" s="4">
        <v>1257</v>
      </c>
    </row>
    <row r="4" spans="1:7" x14ac:dyDescent="0.35">
      <c r="A4" s="1" t="s">
        <v>7</v>
      </c>
      <c r="B4" s="1">
        <v>4</v>
      </c>
      <c r="C4" s="1" t="s">
        <v>12</v>
      </c>
      <c r="D4" s="2" t="s">
        <v>11</v>
      </c>
      <c r="E4" s="2" t="s">
        <v>11</v>
      </c>
      <c r="F4" s="2" t="s">
        <v>11</v>
      </c>
      <c r="G4" s="4">
        <v>969</v>
      </c>
    </row>
    <row r="5" spans="1:7" x14ac:dyDescent="0.35">
      <c r="A5" s="1" t="s">
        <v>7</v>
      </c>
      <c r="B5" s="1">
        <v>5</v>
      </c>
      <c r="C5" s="1" t="s">
        <v>13</v>
      </c>
      <c r="D5" s="2" t="s">
        <v>9</v>
      </c>
      <c r="E5" s="2" t="s">
        <v>11</v>
      </c>
      <c r="F5" s="2" t="s">
        <v>11</v>
      </c>
      <c r="G5" s="4">
        <v>1672</v>
      </c>
    </row>
    <row r="6" spans="1:7" x14ac:dyDescent="0.35">
      <c r="A6" s="1" t="s">
        <v>7</v>
      </c>
      <c r="B6" s="1">
        <v>8</v>
      </c>
      <c r="C6" s="1" t="s">
        <v>14</v>
      </c>
      <c r="D6" s="2" t="s">
        <v>11</v>
      </c>
      <c r="E6" s="2" t="s">
        <v>11</v>
      </c>
      <c r="F6" s="2" t="s">
        <v>11</v>
      </c>
      <c r="G6" s="4">
        <v>1098</v>
      </c>
    </row>
    <row r="7" spans="1:7" x14ac:dyDescent="0.35">
      <c r="A7" s="1" t="s">
        <v>7</v>
      </c>
      <c r="B7" s="1">
        <v>9</v>
      </c>
      <c r="C7" s="1" t="s">
        <v>8</v>
      </c>
      <c r="D7" s="2" t="s">
        <v>11</v>
      </c>
      <c r="E7" s="2" t="s">
        <v>11</v>
      </c>
      <c r="F7" s="2" t="s">
        <v>11</v>
      </c>
      <c r="G7" s="4">
        <v>691</v>
      </c>
    </row>
    <row r="8" spans="1:7" x14ac:dyDescent="0.35">
      <c r="A8" s="1" t="s">
        <v>7</v>
      </c>
      <c r="B8" s="1">
        <v>10</v>
      </c>
      <c r="C8" s="1" t="s">
        <v>10</v>
      </c>
      <c r="D8" s="2" t="s">
        <v>11</v>
      </c>
      <c r="E8" s="2" t="s">
        <v>11</v>
      </c>
      <c r="F8" s="2" t="s">
        <v>11</v>
      </c>
      <c r="G8" s="4">
        <v>672</v>
      </c>
    </row>
    <row r="9" spans="1:7" x14ac:dyDescent="0.35">
      <c r="A9" s="1" t="s">
        <v>7</v>
      </c>
      <c r="B9" s="1">
        <v>11</v>
      </c>
      <c r="C9" s="1" t="s">
        <v>12</v>
      </c>
      <c r="D9" s="2" t="s">
        <v>11</v>
      </c>
      <c r="E9" s="2" t="s">
        <v>11</v>
      </c>
      <c r="F9" s="2" t="s">
        <v>11</v>
      </c>
      <c r="G9" s="4">
        <v>754</v>
      </c>
    </row>
    <row r="10" spans="1:7" x14ac:dyDescent="0.35">
      <c r="A10" s="1" t="s">
        <v>7</v>
      </c>
      <c r="B10" s="1">
        <v>12</v>
      </c>
      <c r="C10" s="1" t="s">
        <v>13</v>
      </c>
      <c r="D10" s="2" t="s">
        <v>11</v>
      </c>
      <c r="E10" s="2" t="s">
        <v>11</v>
      </c>
      <c r="F10" s="2" t="s">
        <v>11</v>
      </c>
      <c r="G10" s="4">
        <v>972</v>
      </c>
    </row>
    <row r="11" spans="1:7" x14ac:dyDescent="0.35">
      <c r="A11" s="1" t="s">
        <v>7</v>
      </c>
      <c r="B11" s="1">
        <v>15</v>
      </c>
      <c r="C11" s="1" t="s">
        <v>14</v>
      </c>
      <c r="D11" s="2" t="s">
        <v>11</v>
      </c>
      <c r="E11" s="2" t="s">
        <v>11</v>
      </c>
      <c r="F11" s="2" t="s">
        <v>11</v>
      </c>
      <c r="G11" s="4">
        <v>816</v>
      </c>
    </row>
    <row r="12" spans="1:7" x14ac:dyDescent="0.35">
      <c r="A12" s="1" t="s">
        <v>7</v>
      </c>
      <c r="B12" s="1">
        <v>16</v>
      </c>
      <c r="C12" s="1" t="s">
        <v>8</v>
      </c>
      <c r="D12" s="2" t="s">
        <v>11</v>
      </c>
      <c r="E12" s="2" t="s">
        <v>11</v>
      </c>
      <c r="F12" s="2" t="s">
        <v>11</v>
      </c>
      <c r="G12" s="4">
        <v>717</v>
      </c>
    </row>
    <row r="13" spans="1:7" x14ac:dyDescent="0.35">
      <c r="A13" s="1" t="s">
        <v>7</v>
      </c>
      <c r="B13" s="1">
        <v>17</v>
      </c>
      <c r="C13" s="1" t="s">
        <v>10</v>
      </c>
      <c r="D13" s="2" t="s">
        <v>11</v>
      </c>
      <c r="E13" s="2" t="s">
        <v>11</v>
      </c>
      <c r="F13" s="2" t="s">
        <v>11</v>
      </c>
      <c r="G13" s="4">
        <v>728</v>
      </c>
    </row>
    <row r="14" spans="1:7" x14ac:dyDescent="0.35">
      <c r="A14" s="1" t="s">
        <v>7</v>
      </c>
      <c r="B14" s="1">
        <v>18</v>
      </c>
      <c r="C14" s="1" t="s">
        <v>12</v>
      </c>
      <c r="D14" s="2" t="s">
        <v>11</v>
      </c>
      <c r="E14" s="2" t="s">
        <v>11</v>
      </c>
      <c r="F14" s="2" t="s">
        <v>11</v>
      </c>
      <c r="G14" s="4">
        <v>711</v>
      </c>
    </row>
    <row r="15" spans="1:7" x14ac:dyDescent="0.35">
      <c r="A15" s="1" t="s">
        <v>7</v>
      </c>
      <c r="B15" s="1">
        <v>19</v>
      </c>
      <c r="C15" s="1" t="s">
        <v>13</v>
      </c>
      <c r="D15" s="2" t="s">
        <v>9</v>
      </c>
      <c r="E15" s="2" t="s">
        <v>11</v>
      </c>
      <c r="F15" s="2" t="s">
        <v>11</v>
      </c>
      <c r="G15" s="4">
        <v>1545</v>
      </c>
    </row>
    <row r="16" spans="1:7" x14ac:dyDescent="0.35">
      <c r="A16" s="1" t="s">
        <v>7</v>
      </c>
      <c r="B16" s="1">
        <v>22</v>
      </c>
      <c r="C16" s="1" t="s">
        <v>14</v>
      </c>
      <c r="D16" s="2" t="s">
        <v>11</v>
      </c>
      <c r="E16" s="2" t="s">
        <v>11</v>
      </c>
      <c r="F16" s="2" t="s">
        <v>11</v>
      </c>
      <c r="G16" s="4">
        <v>873</v>
      </c>
    </row>
    <row r="17" spans="1:7" x14ac:dyDescent="0.35">
      <c r="A17" s="1" t="s">
        <v>7</v>
      </c>
      <c r="B17" s="1">
        <v>23</v>
      </c>
      <c r="C17" s="1" t="s">
        <v>8</v>
      </c>
      <c r="D17" s="2" t="s">
        <v>11</v>
      </c>
      <c r="E17" s="2" t="s">
        <v>11</v>
      </c>
      <c r="F17" s="2" t="s">
        <v>11</v>
      </c>
      <c r="G17" s="4">
        <v>713</v>
      </c>
    </row>
    <row r="18" spans="1:7" x14ac:dyDescent="0.35">
      <c r="A18" s="1" t="s">
        <v>7</v>
      </c>
      <c r="B18" s="1">
        <v>24</v>
      </c>
      <c r="C18" s="1" t="s">
        <v>10</v>
      </c>
      <c r="D18" s="2" t="s">
        <v>11</v>
      </c>
      <c r="E18" s="2" t="s">
        <v>11</v>
      </c>
      <c r="F18" s="2" t="s">
        <v>11</v>
      </c>
      <c r="G18" s="4">
        <v>626</v>
      </c>
    </row>
    <row r="19" spans="1:7" x14ac:dyDescent="0.35">
      <c r="A19" s="1" t="s">
        <v>7</v>
      </c>
      <c r="B19" s="1">
        <v>25</v>
      </c>
      <c r="C19" s="1" t="s">
        <v>12</v>
      </c>
      <c r="D19" s="2" t="s">
        <v>11</v>
      </c>
      <c r="E19" s="2" t="s">
        <v>11</v>
      </c>
      <c r="F19" s="2" t="s">
        <v>11</v>
      </c>
      <c r="G19" s="4">
        <v>653</v>
      </c>
    </row>
    <row r="20" spans="1:7" x14ac:dyDescent="0.35">
      <c r="A20" s="1" t="s">
        <v>7</v>
      </c>
      <c r="B20" s="1">
        <v>26</v>
      </c>
      <c r="C20" s="1" t="s">
        <v>13</v>
      </c>
      <c r="D20" s="2" t="s">
        <v>11</v>
      </c>
      <c r="E20" s="2" t="s">
        <v>11</v>
      </c>
      <c r="F20" s="2" t="s">
        <v>11</v>
      </c>
      <c r="G20" s="4">
        <v>1080</v>
      </c>
    </row>
    <row r="21" spans="1:7" x14ac:dyDescent="0.35">
      <c r="A21" s="1" t="s">
        <v>7</v>
      </c>
      <c r="B21" s="1">
        <v>29</v>
      </c>
      <c r="C21" s="1" t="s">
        <v>14</v>
      </c>
      <c r="D21" s="2" t="s">
        <v>11</v>
      </c>
      <c r="E21" s="2" t="s">
        <v>11</v>
      </c>
      <c r="F21" s="2" t="s">
        <v>11</v>
      </c>
      <c r="G21" s="4">
        <v>650</v>
      </c>
    </row>
    <row r="22" spans="1:7" x14ac:dyDescent="0.35">
      <c r="A22" s="1" t="s">
        <v>7</v>
      </c>
      <c r="B22" s="1">
        <v>30</v>
      </c>
      <c r="C22" s="1" t="s">
        <v>8</v>
      </c>
      <c r="D22" s="2" t="s">
        <v>11</v>
      </c>
      <c r="E22" s="2" t="s">
        <v>11</v>
      </c>
      <c r="F22" s="2" t="s">
        <v>11</v>
      </c>
      <c r="G22" s="4">
        <v>644</v>
      </c>
    </row>
    <row r="23" spans="1:7" x14ac:dyDescent="0.35">
      <c r="A23" s="1" t="s">
        <v>7</v>
      </c>
      <c r="B23" s="1">
        <v>31</v>
      </c>
      <c r="C23" s="1" t="s">
        <v>10</v>
      </c>
      <c r="D23" s="2" t="s">
        <v>11</v>
      </c>
      <c r="E23" s="2" t="s">
        <v>11</v>
      </c>
      <c r="F23" s="2" t="s">
        <v>11</v>
      </c>
      <c r="G23" s="4">
        <v>803</v>
      </c>
    </row>
    <row r="24" spans="1:7" x14ac:dyDescent="0.35">
      <c r="A24" s="1" t="s">
        <v>15</v>
      </c>
      <c r="B24" s="1">
        <v>1</v>
      </c>
      <c r="C24" s="1" t="s">
        <v>12</v>
      </c>
      <c r="D24" s="2" t="s">
        <v>11</v>
      </c>
      <c r="E24" s="2" t="s">
        <v>9</v>
      </c>
      <c r="F24" s="2" t="s">
        <v>11</v>
      </c>
      <c r="G24" s="4">
        <v>1282</v>
      </c>
    </row>
    <row r="25" spans="1:7" x14ac:dyDescent="0.35">
      <c r="A25" s="1" t="s">
        <v>15</v>
      </c>
      <c r="B25" s="1">
        <v>2</v>
      </c>
      <c r="C25" s="1" t="s">
        <v>13</v>
      </c>
      <c r="D25" s="2" t="s">
        <v>9</v>
      </c>
      <c r="E25" s="2" t="s">
        <v>11</v>
      </c>
      <c r="F25" s="2" t="s">
        <v>11</v>
      </c>
      <c r="G25" s="4">
        <v>2043</v>
      </c>
    </row>
    <row r="26" spans="1:7" x14ac:dyDescent="0.35">
      <c r="A26" s="1" t="s">
        <v>15</v>
      </c>
      <c r="B26" s="1">
        <v>5</v>
      </c>
      <c r="C26" s="1" t="s">
        <v>14</v>
      </c>
      <c r="D26" s="2" t="s">
        <v>11</v>
      </c>
      <c r="E26" s="2" t="s">
        <v>11</v>
      </c>
      <c r="F26" s="2" t="s">
        <v>11</v>
      </c>
      <c r="G26" s="4">
        <v>1146</v>
      </c>
    </row>
    <row r="27" spans="1:7" x14ac:dyDescent="0.35">
      <c r="A27" s="1" t="s">
        <v>15</v>
      </c>
      <c r="B27" s="1">
        <v>6</v>
      </c>
      <c r="C27" s="1" t="s">
        <v>8</v>
      </c>
      <c r="D27" s="2" t="s">
        <v>11</v>
      </c>
      <c r="E27" s="2" t="s">
        <v>11</v>
      </c>
      <c r="F27" s="2" t="s">
        <v>11</v>
      </c>
      <c r="G27" s="4">
        <v>740</v>
      </c>
    </row>
    <row r="28" spans="1:7" x14ac:dyDescent="0.35">
      <c r="A28" s="1" t="s">
        <v>15</v>
      </c>
      <c r="B28" s="1">
        <v>7</v>
      </c>
      <c r="C28" s="1" t="s">
        <v>10</v>
      </c>
      <c r="D28" s="2" t="s">
        <v>11</v>
      </c>
      <c r="E28" s="2" t="s">
        <v>11</v>
      </c>
      <c r="F28" s="2" t="s">
        <v>11</v>
      </c>
      <c r="G28" s="4">
        <v>698</v>
      </c>
    </row>
    <row r="29" spans="1:7" x14ac:dyDescent="0.35">
      <c r="A29" s="1" t="s">
        <v>15</v>
      </c>
      <c r="B29" s="1">
        <v>8</v>
      </c>
      <c r="C29" s="1" t="s">
        <v>12</v>
      </c>
      <c r="D29" s="2" t="s">
        <v>11</v>
      </c>
      <c r="E29" s="2" t="s">
        <v>11</v>
      </c>
      <c r="F29" s="2" t="s">
        <v>11</v>
      </c>
      <c r="G29" s="4">
        <v>695</v>
      </c>
    </row>
    <row r="30" spans="1:7" x14ac:dyDescent="0.35">
      <c r="A30" s="1" t="s">
        <v>15</v>
      </c>
      <c r="B30" s="1">
        <v>9</v>
      </c>
      <c r="C30" s="1" t="s">
        <v>13</v>
      </c>
      <c r="D30" s="2" t="s">
        <v>11</v>
      </c>
      <c r="E30" s="2" t="s">
        <v>11</v>
      </c>
      <c r="F30" s="2" t="s">
        <v>11</v>
      </c>
      <c r="G30" s="4">
        <v>1159</v>
      </c>
    </row>
    <row r="31" spans="1:7" x14ac:dyDescent="0.35">
      <c r="A31" s="1" t="s">
        <v>15</v>
      </c>
      <c r="B31" s="1">
        <v>12</v>
      </c>
      <c r="C31" s="1" t="s">
        <v>14</v>
      </c>
      <c r="D31" s="2" t="s">
        <v>11</v>
      </c>
      <c r="E31" s="2" t="s">
        <v>11</v>
      </c>
      <c r="F31" s="2" t="s">
        <v>11</v>
      </c>
      <c r="G31" s="4">
        <v>881</v>
      </c>
    </row>
    <row r="32" spans="1:7" x14ac:dyDescent="0.35">
      <c r="A32" s="1" t="s">
        <v>15</v>
      </c>
      <c r="B32" s="1">
        <v>13</v>
      </c>
      <c r="C32" s="1" t="s">
        <v>8</v>
      </c>
      <c r="D32" s="2" t="s">
        <v>11</v>
      </c>
      <c r="E32" s="2" t="s">
        <v>11</v>
      </c>
      <c r="F32" s="2" t="s">
        <v>11</v>
      </c>
      <c r="G32" s="4">
        <v>768</v>
      </c>
    </row>
    <row r="33" spans="1:7" x14ac:dyDescent="0.35">
      <c r="A33" s="1" t="s">
        <v>15</v>
      </c>
      <c r="B33" s="1">
        <v>14</v>
      </c>
      <c r="C33" s="1" t="s">
        <v>10</v>
      </c>
      <c r="D33" s="2" t="s">
        <v>11</v>
      </c>
      <c r="E33" s="2" t="s">
        <v>11</v>
      </c>
      <c r="F33" s="2" t="s">
        <v>11</v>
      </c>
      <c r="G33" s="4">
        <v>654</v>
      </c>
    </row>
    <row r="34" spans="1:7" x14ac:dyDescent="0.35">
      <c r="A34" s="1" t="s">
        <v>15</v>
      </c>
      <c r="B34" s="1">
        <v>15</v>
      </c>
      <c r="C34" s="1" t="s">
        <v>12</v>
      </c>
      <c r="D34" s="2" t="s">
        <v>11</v>
      </c>
      <c r="E34" s="2" t="s">
        <v>11</v>
      </c>
      <c r="F34" s="2" t="s">
        <v>11</v>
      </c>
      <c r="G34" s="4">
        <v>858</v>
      </c>
    </row>
    <row r="35" spans="1:7" x14ac:dyDescent="0.35">
      <c r="A35" s="1" t="s">
        <v>15</v>
      </c>
      <c r="B35" s="1">
        <v>16</v>
      </c>
      <c r="C35" s="1" t="s">
        <v>13</v>
      </c>
      <c r="D35" s="2" t="s">
        <v>9</v>
      </c>
      <c r="E35" s="2" t="s">
        <v>11</v>
      </c>
      <c r="F35" s="2" t="s">
        <v>11</v>
      </c>
      <c r="G35" s="4">
        <v>1647</v>
      </c>
    </row>
    <row r="36" spans="1:7" x14ac:dyDescent="0.35">
      <c r="A36" s="1" t="s">
        <v>15</v>
      </c>
      <c r="B36" s="1">
        <v>19</v>
      </c>
      <c r="C36" s="1" t="s">
        <v>14</v>
      </c>
      <c r="D36" s="2" t="s">
        <v>11</v>
      </c>
      <c r="E36" s="2" t="s">
        <v>11</v>
      </c>
      <c r="F36" s="2" t="s">
        <v>11</v>
      </c>
      <c r="G36" s="4">
        <v>773</v>
      </c>
    </row>
    <row r="37" spans="1:7" x14ac:dyDescent="0.35">
      <c r="A37" s="1" t="s">
        <v>15</v>
      </c>
      <c r="B37" s="1">
        <v>20</v>
      </c>
      <c r="C37" s="1" t="s">
        <v>8</v>
      </c>
      <c r="D37" s="2" t="s">
        <v>11</v>
      </c>
      <c r="E37" s="2" t="s">
        <v>11</v>
      </c>
      <c r="F37" s="2" t="s">
        <v>11</v>
      </c>
      <c r="G37" s="4">
        <v>755</v>
      </c>
    </row>
    <row r="38" spans="1:7" x14ac:dyDescent="0.35">
      <c r="A38" s="1" t="s">
        <v>15</v>
      </c>
      <c r="B38" s="1">
        <v>21</v>
      </c>
      <c r="C38" s="1" t="s">
        <v>10</v>
      </c>
      <c r="D38" s="2" t="s">
        <v>11</v>
      </c>
      <c r="E38" s="2" t="s">
        <v>11</v>
      </c>
      <c r="F38" s="2" t="s">
        <v>11</v>
      </c>
      <c r="G38" s="4">
        <v>788</v>
      </c>
    </row>
    <row r="39" spans="1:7" x14ac:dyDescent="0.35">
      <c r="A39" s="1" t="s">
        <v>15</v>
      </c>
      <c r="B39" s="1">
        <v>22</v>
      </c>
      <c r="C39" s="1" t="s">
        <v>12</v>
      </c>
      <c r="D39" s="2" t="s">
        <v>11</v>
      </c>
      <c r="E39" s="2" t="s">
        <v>11</v>
      </c>
      <c r="F39" s="2" t="s">
        <v>11</v>
      </c>
      <c r="G39" s="4">
        <v>702</v>
      </c>
    </row>
    <row r="40" spans="1:7" x14ac:dyDescent="0.35">
      <c r="A40" s="1" t="s">
        <v>15</v>
      </c>
      <c r="B40" s="1">
        <v>23</v>
      </c>
      <c r="C40" s="1" t="s">
        <v>13</v>
      </c>
      <c r="D40" s="2" t="s">
        <v>11</v>
      </c>
      <c r="E40" s="2" t="s">
        <v>11</v>
      </c>
      <c r="F40" s="2" t="s">
        <v>11</v>
      </c>
      <c r="G40" s="4">
        <v>1037</v>
      </c>
    </row>
    <row r="41" spans="1:7" x14ac:dyDescent="0.35">
      <c r="A41" s="1" t="s">
        <v>15</v>
      </c>
      <c r="B41" s="1">
        <v>26</v>
      </c>
      <c r="C41" s="1" t="s">
        <v>14</v>
      </c>
      <c r="D41" s="2" t="s">
        <v>11</v>
      </c>
      <c r="E41" s="2" t="s">
        <v>11</v>
      </c>
      <c r="F41" s="2" t="s">
        <v>11</v>
      </c>
      <c r="G41" s="4">
        <v>931</v>
      </c>
    </row>
    <row r="42" spans="1:7" x14ac:dyDescent="0.35">
      <c r="A42" s="1" t="s">
        <v>15</v>
      </c>
      <c r="B42" s="1">
        <v>27</v>
      </c>
      <c r="C42" s="1" t="s">
        <v>8</v>
      </c>
      <c r="D42" s="2" t="s">
        <v>11</v>
      </c>
      <c r="E42" s="2" t="s">
        <v>11</v>
      </c>
      <c r="F42" s="2" t="s">
        <v>11</v>
      </c>
      <c r="G42" s="4">
        <v>719</v>
      </c>
    </row>
    <row r="43" spans="1:7" x14ac:dyDescent="0.35">
      <c r="A43" s="1" t="s">
        <v>15</v>
      </c>
      <c r="B43" s="1">
        <v>28</v>
      </c>
      <c r="C43" s="1" t="s">
        <v>10</v>
      </c>
      <c r="D43" s="2" t="s">
        <v>11</v>
      </c>
      <c r="E43" s="2" t="s">
        <v>11</v>
      </c>
      <c r="F43" s="2" t="s">
        <v>11</v>
      </c>
      <c r="G43" s="4">
        <v>811</v>
      </c>
    </row>
    <row r="44" spans="1:7" x14ac:dyDescent="0.35">
      <c r="A44" s="1" t="s">
        <v>16</v>
      </c>
      <c r="B44" s="1">
        <v>1</v>
      </c>
      <c r="C44" s="1" t="s">
        <v>12</v>
      </c>
      <c r="D44" s="2" t="s">
        <v>11</v>
      </c>
      <c r="E44" s="2" t="s">
        <v>9</v>
      </c>
      <c r="F44" s="2" t="s">
        <v>11</v>
      </c>
      <c r="G44" s="4">
        <v>1383</v>
      </c>
    </row>
    <row r="45" spans="1:7" x14ac:dyDescent="0.35">
      <c r="A45" s="1" t="s">
        <v>16</v>
      </c>
      <c r="B45" s="1">
        <v>2</v>
      </c>
      <c r="C45" s="1" t="s">
        <v>13</v>
      </c>
      <c r="D45" s="2" t="s">
        <v>9</v>
      </c>
      <c r="E45" s="2" t="s">
        <v>11</v>
      </c>
      <c r="F45" s="2" t="s">
        <v>11</v>
      </c>
      <c r="G45" s="4">
        <v>2022</v>
      </c>
    </row>
    <row r="46" spans="1:7" x14ac:dyDescent="0.35">
      <c r="A46" s="1" t="s">
        <v>16</v>
      </c>
      <c r="B46" s="1">
        <v>5</v>
      </c>
      <c r="C46" s="1" t="s">
        <v>14</v>
      </c>
      <c r="D46" s="2" t="s">
        <v>11</v>
      </c>
      <c r="E46" s="2" t="s">
        <v>11</v>
      </c>
      <c r="F46" s="2" t="s">
        <v>11</v>
      </c>
      <c r="G46" s="4">
        <v>1130</v>
      </c>
    </row>
    <row r="47" spans="1:7" x14ac:dyDescent="0.35">
      <c r="A47" s="1" t="s">
        <v>16</v>
      </c>
      <c r="B47" s="1">
        <v>6</v>
      </c>
      <c r="C47" s="1" t="s">
        <v>8</v>
      </c>
      <c r="D47" s="2" t="s">
        <v>11</v>
      </c>
      <c r="E47" s="2" t="s">
        <v>11</v>
      </c>
      <c r="F47" s="2" t="s">
        <v>11</v>
      </c>
      <c r="G47" s="4">
        <v>798</v>
      </c>
    </row>
    <row r="48" spans="1:7" x14ac:dyDescent="0.35">
      <c r="A48" s="1" t="s">
        <v>16</v>
      </c>
      <c r="B48" s="1">
        <v>7</v>
      </c>
      <c r="C48" s="1" t="s">
        <v>10</v>
      </c>
      <c r="D48" s="2" t="s">
        <v>11</v>
      </c>
      <c r="E48" s="2" t="s">
        <v>11</v>
      </c>
      <c r="F48" s="2" t="s">
        <v>11</v>
      </c>
      <c r="G48" s="4">
        <v>885</v>
      </c>
    </row>
    <row r="49" spans="1:7" x14ac:dyDescent="0.35">
      <c r="A49" s="1" t="s">
        <v>16</v>
      </c>
      <c r="B49" s="1">
        <v>8</v>
      </c>
      <c r="C49" s="1" t="s">
        <v>12</v>
      </c>
      <c r="D49" s="2" t="s">
        <v>11</v>
      </c>
      <c r="E49" s="2" t="s">
        <v>11</v>
      </c>
      <c r="F49" s="2" t="s">
        <v>11</v>
      </c>
      <c r="G49" s="4">
        <v>983</v>
      </c>
    </row>
    <row r="50" spans="1:7" x14ac:dyDescent="0.35">
      <c r="A50" s="1" t="s">
        <v>16</v>
      </c>
      <c r="B50" s="1">
        <v>9</v>
      </c>
      <c r="C50" s="1" t="s">
        <v>13</v>
      </c>
      <c r="D50" s="2" t="s">
        <v>11</v>
      </c>
      <c r="E50" s="2" t="s">
        <v>11</v>
      </c>
      <c r="F50" s="2" t="s">
        <v>11</v>
      </c>
      <c r="G50" s="4">
        <v>1439</v>
      </c>
    </row>
    <row r="51" spans="1:7" x14ac:dyDescent="0.35">
      <c r="A51" s="1" t="s">
        <v>16</v>
      </c>
      <c r="B51" s="1">
        <v>12</v>
      </c>
      <c r="C51" s="1" t="s">
        <v>14</v>
      </c>
      <c r="D51" s="2" t="s">
        <v>11</v>
      </c>
      <c r="E51" s="2" t="s">
        <v>11</v>
      </c>
      <c r="F51" s="2" t="s">
        <v>11</v>
      </c>
      <c r="G51" s="4">
        <v>973</v>
      </c>
    </row>
    <row r="52" spans="1:7" x14ac:dyDescent="0.35">
      <c r="A52" s="1" t="s">
        <v>16</v>
      </c>
      <c r="B52" s="1">
        <v>13</v>
      </c>
      <c r="C52" s="1" t="s">
        <v>8</v>
      </c>
      <c r="D52" s="2" t="s">
        <v>11</v>
      </c>
      <c r="E52" s="2" t="s">
        <v>11</v>
      </c>
      <c r="F52" s="2" t="s">
        <v>11</v>
      </c>
      <c r="G52" s="4">
        <v>725</v>
      </c>
    </row>
    <row r="53" spans="1:7" x14ac:dyDescent="0.35">
      <c r="A53" s="1" t="s">
        <v>16</v>
      </c>
      <c r="B53" s="1">
        <v>14</v>
      </c>
      <c r="C53" s="1" t="s">
        <v>10</v>
      </c>
      <c r="D53" s="2" t="s">
        <v>11</v>
      </c>
      <c r="E53" s="2" t="s">
        <v>11</v>
      </c>
      <c r="F53" s="2" t="s">
        <v>11</v>
      </c>
      <c r="G53" s="4">
        <v>681</v>
      </c>
    </row>
    <row r="54" spans="1:7" x14ac:dyDescent="0.35">
      <c r="A54" s="1" t="s">
        <v>16</v>
      </c>
      <c r="B54" s="1">
        <v>15</v>
      </c>
      <c r="C54" s="1" t="s">
        <v>12</v>
      </c>
      <c r="D54" s="2" t="s">
        <v>11</v>
      </c>
      <c r="E54" s="2" t="s">
        <v>11</v>
      </c>
      <c r="F54" s="2" t="s">
        <v>11</v>
      </c>
      <c r="G54" s="4">
        <v>840</v>
      </c>
    </row>
    <row r="55" spans="1:7" x14ac:dyDescent="0.35">
      <c r="A55" s="1" t="s">
        <v>16</v>
      </c>
      <c r="B55" s="1">
        <v>16</v>
      </c>
      <c r="C55" s="1" t="s">
        <v>13</v>
      </c>
      <c r="D55" s="2" t="s">
        <v>9</v>
      </c>
      <c r="E55" s="2" t="s">
        <v>11</v>
      </c>
      <c r="F55" s="2" t="s">
        <v>11</v>
      </c>
      <c r="G55" s="4">
        <v>1491</v>
      </c>
    </row>
    <row r="56" spans="1:7" x14ac:dyDescent="0.35">
      <c r="A56" s="1" t="s">
        <v>16</v>
      </c>
      <c r="B56" s="1">
        <v>19</v>
      </c>
      <c r="C56" s="1" t="s">
        <v>14</v>
      </c>
      <c r="D56" s="2" t="s">
        <v>11</v>
      </c>
      <c r="E56" s="2" t="s">
        <v>11</v>
      </c>
      <c r="F56" s="2" t="s">
        <v>11</v>
      </c>
      <c r="G56" s="4">
        <v>1050</v>
      </c>
    </row>
    <row r="57" spans="1:7" x14ac:dyDescent="0.35">
      <c r="A57" s="1" t="s">
        <v>16</v>
      </c>
      <c r="B57" s="1">
        <v>20</v>
      </c>
      <c r="C57" s="1" t="s">
        <v>8</v>
      </c>
      <c r="D57" s="2" t="s">
        <v>11</v>
      </c>
      <c r="E57" s="2" t="s">
        <v>11</v>
      </c>
      <c r="F57" s="2" t="s">
        <v>11</v>
      </c>
      <c r="G57" s="4">
        <v>779</v>
      </c>
    </row>
    <row r="58" spans="1:7" x14ac:dyDescent="0.35">
      <c r="A58" s="1" t="s">
        <v>16</v>
      </c>
      <c r="B58" s="1">
        <v>21</v>
      </c>
      <c r="C58" s="1" t="s">
        <v>10</v>
      </c>
      <c r="D58" s="2" t="s">
        <v>11</v>
      </c>
      <c r="E58" s="2" t="s">
        <v>11</v>
      </c>
      <c r="F58" s="2" t="s">
        <v>11</v>
      </c>
      <c r="G58" s="4">
        <v>686</v>
      </c>
    </row>
    <row r="59" spans="1:7" x14ac:dyDescent="0.35">
      <c r="A59" s="1" t="s">
        <v>16</v>
      </c>
      <c r="B59" s="1">
        <v>22</v>
      </c>
      <c r="C59" s="1" t="s">
        <v>12</v>
      </c>
      <c r="D59" s="2" t="s">
        <v>11</v>
      </c>
      <c r="E59" s="2" t="s">
        <v>11</v>
      </c>
      <c r="F59" s="2" t="s">
        <v>11</v>
      </c>
      <c r="G59" s="4">
        <v>663</v>
      </c>
    </row>
    <row r="60" spans="1:7" x14ac:dyDescent="0.35">
      <c r="A60" s="1" t="s">
        <v>16</v>
      </c>
      <c r="B60" s="1">
        <v>23</v>
      </c>
      <c r="C60" s="1" t="s">
        <v>13</v>
      </c>
      <c r="D60" s="2" t="s">
        <v>11</v>
      </c>
      <c r="E60" s="2" t="s">
        <v>11</v>
      </c>
      <c r="F60" s="2" t="s">
        <v>11</v>
      </c>
      <c r="G60" s="4">
        <v>1059</v>
      </c>
    </row>
    <row r="61" spans="1:7" x14ac:dyDescent="0.35">
      <c r="A61" s="1" t="s">
        <v>16</v>
      </c>
      <c r="B61" s="1">
        <v>26</v>
      </c>
      <c r="C61" s="1" t="s">
        <v>14</v>
      </c>
      <c r="D61" s="2" t="s">
        <v>11</v>
      </c>
      <c r="E61" s="2" t="s">
        <v>11</v>
      </c>
      <c r="F61" s="2" t="s">
        <v>11</v>
      </c>
      <c r="G61" s="4">
        <v>1005</v>
      </c>
    </row>
    <row r="62" spans="1:7" x14ac:dyDescent="0.35">
      <c r="A62" s="1" t="s">
        <v>16</v>
      </c>
      <c r="B62" s="1">
        <v>27</v>
      </c>
      <c r="C62" s="1" t="s">
        <v>8</v>
      </c>
      <c r="D62" s="2" t="s">
        <v>11</v>
      </c>
      <c r="E62" s="2" t="s">
        <v>11</v>
      </c>
      <c r="F62" s="2" t="s">
        <v>11</v>
      </c>
      <c r="G62" s="4">
        <v>704</v>
      </c>
    </row>
    <row r="63" spans="1:7" x14ac:dyDescent="0.35">
      <c r="A63" s="1" t="s">
        <v>16</v>
      </c>
      <c r="B63" s="1">
        <v>28</v>
      </c>
      <c r="C63" s="1" t="s">
        <v>10</v>
      </c>
      <c r="D63" s="2" t="s">
        <v>11</v>
      </c>
      <c r="E63" s="2" t="s">
        <v>11</v>
      </c>
      <c r="F63" s="2" t="s">
        <v>11</v>
      </c>
      <c r="G63" s="4">
        <v>732</v>
      </c>
    </row>
    <row r="64" spans="1:7" x14ac:dyDescent="0.35">
      <c r="A64" s="1" t="s">
        <v>16</v>
      </c>
      <c r="B64" s="1">
        <v>29</v>
      </c>
      <c r="C64" s="1" t="s">
        <v>12</v>
      </c>
      <c r="D64" s="2" t="s">
        <v>11</v>
      </c>
      <c r="E64" s="2" t="s">
        <v>11</v>
      </c>
      <c r="F64" s="2" t="s">
        <v>11</v>
      </c>
      <c r="G64" s="4">
        <v>738</v>
      </c>
    </row>
    <row r="65" spans="1:7" x14ac:dyDescent="0.35">
      <c r="A65" s="1" t="s">
        <v>16</v>
      </c>
      <c r="B65" s="1">
        <v>30</v>
      </c>
      <c r="C65" s="1" t="s">
        <v>13</v>
      </c>
      <c r="D65" s="2" t="s">
        <v>9</v>
      </c>
      <c r="E65" s="2" t="s">
        <v>9</v>
      </c>
      <c r="F65" s="2" t="s">
        <v>11</v>
      </c>
      <c r="G65" s="4">
        <v>1867</v>
      </c>
    </row>
    <row r="66" spans="1:7" x14ac:dyDescent="0.35">
      <c r="A66" s="1" t="s">
        <v>17</v>
      </c>
      <c r="B66" s="1">
        <v>2</v>
      </c>
      <c r="C66" s="1" t="s">
        <v>14</v>
      </c>
      <c r="D66" s="2" t="s">
        <v>11</v>
      </c>
      <c r="E66" s="2" t="s">
        <v>11</v>
      </c>
      <c r="F66" s="2" t="s">
        <v>11</v>
      </c>
      <c r="G66" s="4">
        <v>1486</v>
      </c>
    </row>
    <row r="67" spans="1:7" x14ac:dyDescent="0.35">
      <c r="A67" s="1" t="s">
        <v>17</v>
      </c>
      <c r="B67" s="1">
        <v>3</v>
      </c>
      <c r="C67" s="1" t="s">
        <v>8</v>
      </c>
      <c r="D67" s="2" t="s">
        <v>11</v>
      </c>
      <c r="E67" s="2" t="s">
        <v>11</v>
      </c>
      <c r="F67" s="2" t="s">
        <v>11</v>
      </c>
      <c r="G67" s="4">
        <v>1155</v>
      </c>
    </row>
    <row r="68" spans="1:7" x14ac:dyDescent="0.35">
      <c r="A68" s="1" t="s">
        <v>17</v>
      </c>
      <c r="B68" s="1">
        <v>4</v>
      </c>
      <c r="C68" s="1" t="s">
        <v>10</v>
      </c>
      <c r="D68" s="2" t="s">
        <v>11</v>
      </c>
      <c r="E68" s="2" t="s">
        <v>11</v>
      </c>
      <c r="F68" s="2" t="s">
        <v>11</v>
      </c>
      <c r="G68" s="4">
        <v>871</v>
      </c>
    </row>
    <row r="69" spans="1:7" x14ac:dyDescent="0.35">
      <c r="A69" s="1" t="s">
        <v>17</v>
      </c>
      <c r="B69" s="1">
        <v>5</v>
      </c>
      <c r="C69" s="1" t="s">
        <v>12</v>
      </c>
      <c r="D69" s="2" t="s">
        <v>11</v>
      </c>
      <c r="E69" s="2" t="s">
        <v>11</v>
      </c>
      <c r="F69" s="2" t="s">
        <v>11</v>
      </c>
      <c r="G69" s="4">
        <v>832</v>
      </c>
    </row>
    <row r="70" spans="1:7" x14ac:dyDescent="0.35">
      <c r="A70" s="1" t="s">
        <v>17</v>
      </c>
      <c r="B70" s="1">
        <v>6</v>
      </c>
      <c r="C70" s="1" t="s">
        <v>13</v>
      </c>
      <c r="D70" s="2" t="s">
        <v>11</v>
      </c>
      <c r="E70" s="2" t="s">
        <v>11</v>
      </c>
      <c r="F70" s="2" t="s">
        <v>11</v>
      </c>
      <c r="G70" s="4">
        <v>1101</v>
      </c>
    </row>
    <row r="71" spans="1:7" x14ac:dyDescent="0.35">
      <c r="A71" s="1" t="s">
        <v>17</v>
      </c>
      <c r="B71" s="1">
        <v>9</v>
      </c>
      <c r="C71" s="1" t="s">
        <v>14</v>
      </c>
      <c r="D71" s="2" t="s">
        <v>11</v>
      </c>
      <c r="E71" s="2" t="s">
        <v>11</v>
      </c>
      <c r="F71" s="2" t="s">
        <v>11</v>
      </c>
      <c r="G71" s="4">
        <v>929</v>
      </c>
    </row>
    <row r="72" spans="1:7" x14ac:dyDescent="0.35">
      <c r="A72" s="1" t="s">
        <v>17</v>
      </c>
      <c r="B72" s="1">
        <v>10</v>
      </c>
      <c r="C72" s="1" t="s">
        <v>8</v>
      </c>
      <c r="D72" s="2" t="s">
        <v>11</v>
      </c>
      <c r="E72" s="2" t="s">
        <v>11</v>
      </c>
      <c r="F72" s="2" t="s">
        <v>11</v>
      </c>
      <c r="G72" s="4">
        <v>672</v>
      </c>
    </row>
    <row r="73" spans="1:7" x14ac:dyDescent="0.35">
      <c r="A73" s="1" t="s">
        <v>17</v>
      </c>
      <c r="B73" s="1">
        <v>11</v>
      </c>
      <c r="C73" s="1" t="s">
        <v>10</v>
      </c>
      <c r="D73" s="2" t="s">
        <v>11</v>
      </c>
      <c r="E73" s="2" t="s">
        <v>11</v>
      </c>
      <c r="F73" s="2" t="s">
        <v>11</v>
      </c>
      <c r="G73" s="4">
        <v>751</v>
      </c>
    </row>
    <row r="74" spans="1:7" x14ac:dyDescent="0.35">
      <c r="A74" s="1" t="s">
        <v>17</v>
      </c>
      <c r="B74" s="1">
        <v>12</v>
      </c>
      <c r="C74" s="1" t="s">
        <v>12</v>
      </c>
      <c r="D74" s="2" t="s">
        <v>9</v>
      </c>
      <c r="E74" s="2" t="s">
        <v>11</v>
      </c>
      <c r="F74" s="2" t="s">
        <v>11</v>
      </c>
      <c r="G74" s="4">
        <v>1114</v>
      </c>
    </row>
    <row r="75" spans="1:7" x14ac:dyDescent="0.35">
      <c r="A75" s="1" t="s">
        <v>17</v>
      </c>
      <c r="B75" s="1">
        <v>13</v>
      </c>
      <c r="C75" s="1" t="s">
        <v>13</v>
      </c>
      <c r="D75" s="2" t="s">
        <v>11</v>
      </c>
      <c r="E75" s="2" t="s">
        <v>11</v>
      </c>
      <c r="F75" s="2" t="s">
        <v>11</v>
      </c>
      <c r="G75" s="4">
        <v>1612</v>
      </c>
    </row>
    <row r="76" spans="1:7" x14ac:dyDescent="0.35">
      <c r="A76" s="1" t="s">
        <v>17</v>
      </c>
      <c r="B76" s="1">
        <v>16</v>
      </c>
      <c r="C76" s="1" t="s">
        <v>14</v>
      </c>
      <c r="D76" s="2" t="s">
        <v>11</v>
      </c>
      <c r="E76" s="2" t="s">
        <v>11</v>
      </c>
      <c r="F76" s="2" t="s">
        <v>11</v>
      </c>
      <c r="G76" s="4">
        <v>1267</v>
      </c>
    </row>
    <row r="77" spans="1:7" x14ac:dyDescent="0.35">
      <c r="A77" s="1" t="s">
        <v>17</v>
      </c>
      <c r="B77" s="1">
        <v>17</v>
      </c>
      <c r="C77" s="1" t="s">
        <v>8</v>
      </c>
      <c r="D77" s="2" t="s">
        <v>11</v>
      </c>
      <c r="E77" s="2" t="s">
        <v>11</v>
      </c>
      <c r="F77" s="2" t="s">
        <v>11</v>
      </c>
      <c r="G77" s="4">
        <v>825</v>
      </c>
    </row>
    <row r="78" spans="1:7" x14ac:dyDescent="0.35">
      <c r="A78" s="1" t="s">
        <v>17</v>
      </c>
      <c r="B78" s="1">
        <v>18</v>
      </c>
      <c r="C78" s="1" t="s">
        <v>10</v>
      </c>
      <c r="D78" s="2" t="s">
        <v>11</v>
      </c>
      <c r="E78" s="2" t="s">
        <v>11</v>
      </c>
      <c r="F78" s="2" t="s">
        <v>11</v>
      </c>
      <c r="G78" s="4">
        <v>729</v>
      </c>
    </row>
    <row r="79" spans="1:7" x14ac:dyDescent="0.35">
      <c r="A79" s="1" t="s">
        <v>17</v>
      </c>
      <c r="B79" s="1">
        <v>19</v>
      </c>
      <c r="C79" s="1" t="s">
        <v>12</v>
      </c>
      <c r="D79" s="2" t="s">
        <v>11</v>
      </c>
      <c r="E79" s="2" t="s">
        <v>11</v>
      </c>
      <c r="F79" s="2" t="s">
        <v>11</v>
      </c>
      <c r="G79" s="4">
        <v>836</v>
      </c>
    </row>
    <row r="80" spans="1:7" x14ac:dyDescent="0.35">
      <c r="A80" s="1" t="s">
        <v>17</v>
      </c>
      <c r="B80" s="1">
        <v>20</v>
      </c>
      <c r="C80" s="1" t="s">
        <v>13</v>
      </c>
      <c r="D80" s="2" t="s">
        <v>11</v>
      </c>
      <c r="E80" s="2" t="s">
        <v>11</v>
      </c>
      <c r="F80" s="2" t="s">
        <v>11</v>
      </c>
      <c r="G80" s="4">
        <v>1123</v>
      </c>
    </row>
    <row r="81" spans="1:7" x14ac:dyDescent="0.35">
      <c r="A81" s="1" t="s">
        <v>17</v>
      </c>
      <c r="B81" s="1">
        <v>23</v>
      </c>
      <c r="C81" s="1" t="s">
        <v>14</v>
      </c>
      <c r="D81" s="2" t="s">
        <v>11</v>
      </c>
      <c r="E81" s="2" t="s">
        <v>11</v>
      </c>
      <c r="F81" s="2" t="s">
        <v>11</v>
      </c>
      <c r="G81" s="4">
        <v>900</v>
      </c>
    </row>
    <row r="82" spans="1:7" x14ac:dyDescent="0.35">
      <c r="A82" s="1" t="s">
        <v>17</v>
      </c>
      <c r="B82" s="1">
        <v>24</v>
      </c>
      <c r="C82" s="1" t="s">
        <v>8</v>
      </c>
      <c r="D82" s="2" t="s">
        <v>11</v>
      </c>
      <c r="E82" s="2" t="s">
        <v>11</v>
      </c>
      <c r="F82" s="2" t="s">
        <v>11</v>
      </c>
      <c r="G82" s="4">
        <v>702</v>
      </c>
    </row>
    <row r="83" spans="1:7" x14ac:dyDescent="0.35">
      <c r="A83" s="1" t="s">
        <v>17</v>
      </c>
      <c r="B83" s="1">
        <v>25</v>
      </c>
      <c r="C83" s="1" t="s">
        <v>10</v>
      </c>
      <c r="D83" s="2" t="s">
        <v>11</v>
      </c>
      <c r="E83" s="2" t="s">
        <v>11</v>
      </c>
      <c r="F83" s="2" t="s">
        <v>11</v>
      </c>
      <c r="G83" s="4">
        <v>724</v>
      </c>
    </row>
    <row r="84" spans="1:7" x14ac:dyDescent="0.35">
      <c r="A84" s="1" t="s">
        <v>17</v>
      </c>
      <c r="B84" s="1">
        <v>26</v>
      </c>
      <c r="C84" s="1" t="s">
        <v>12</v>
      </c>
      <c r="D84" s="2" t="s">
        <v>11</v>
      </c>
      <c r="E84" s="2" t="s">
        <v>11</v>
      </c>
      <c r="F84" s="2" t="s">
        <v>11</v>
      </c>
      <c r="G84" s="4">
        <v>824</v>
      </c>
    </row>
    <row r="85" spans="1:7" x14ac:dyDescent="0.35">
      <c r="A85" s="1" t="s">
        <v>17</v>
      </c>
      <c r="B85" s="1">
        <v>27</v>
      </c>
      <c r="C85" s="1" t="s">
        <v>13</v>
      </c>
      <c r="D85" s="2" t="s">
        <v>9</v>
      </c>
      <c r="E85" s="2" t="s">
        <v>11</v>
      </c>
      <c r="F85" s="2" t="s">
        <v>11</v>
      </c>
      <c r="G85" s="4">
        <v>1682</v>
      </c>
    </row>
    <row r="86" spans="1:7" x14ac:dyDescent="0.35">
      <c r="A86" s="1" t="s">
        <v>17</v>
      </c>
      <c r="B86" s="1">
        <v>30</v>
      </c>
      <c r="C86" s="1" t="s">
        <v>14</v>
      </c>
      <c r="D86" s="2" t="s">
        <v>11</v>
      </c>
      <c r="E86" s="2" t="s">
        <v>11</v>
      </c>
      <c r="F86" s="2" t="s">
        <v>11</v>
      </c>
      <c r="G86" s="4">
        <v>1146</v>
      </c>
    </row>
    <row r="87" spans="1:7" x14ac:dyDescent="0.35">
      <c r="A87" s="1" t="s">
        <v>18</v>
      </c>
      <c r="B87" s="1">
        <v>1</v>
      </c>
      <c r="C87" s="1" t="s">
        <v>8</v>
      </c>
      <c r="D87" s="2" t="s">
        <v>11</v>
      </c>
      <c r="E87" s="2" t="s">
        <v>9</v>
      </c>
      <c r="F87" s="2" t="s">
        <v>11</v>
      </c>
      <c r="G87" s="4">
        <v>1488</v>
      </c>
    </row>
    <row r="88" spans="1:7" x14ac:dyDescent="0.35">
      <c r="A88" s="1" t="s">
        <v>18</v>
      </c>
      <c r="B88" s="1">
        <v>2</v>
      </c>
      <c r="C88" s="1" t="s">
        <v>10</v>
      </c>
      <c r="D88" s="2" t="s">
        <v>11</v>
      </c>
      <c r="E88" s="2" t="s">
        <v>11</v>
      </c>
      <c r="F88" s="2" t="s">
        <v>11</v>
      </c>
      <c r="G88" s="4">
        <v>1121</v>
      </c>
    </row>
    <row r="89" spans="1:7" x14ac:dyDescent="0.35">
      <c r="A89" s="1" t="s">
        <v>18</v>
      </c>
      <c r="B89" s="1">
        <v>3</v>
      </c>
      <c r="C89" s="1" t="s">
        <v>12</v>
      </c>
      <c r="D89" s="2" t="s">
        <v>11</v>
      </c>
      <c r="E89" s="2" t="s">
        <v>11</v>
      </c>
      <c r="F89" s="2" t="s">
        <v>11</v>
      </c>
      <c r="G89" s="4">
        <v>1147</v>
      </c>
    </row>
    <row r="90" spans="1:7" x14ac:dyDescent="0.35">
      <c r="A90" s="1" t="s">
        <v>18</v>
      </c>
      <c r="B90" s="1">
        <v>4</v>
      </c>
      <c r="C90" s="1" t="s">
        <v>13</v>
      </c>
      <c r="D90" s="2" t="s">
        <v>11</v>
      </c>
      <c r="E90" s="2" t="s">
        <v>11</v>
      </c>
      <c r="F90" s="2" t="s">
        <v>11</v>
      </c>
      <c r="G90" s="4">
        <v>1455</v>
      </c>
    </row>
    <row r="91" spans="1:7" x14ac:dyDescent="0.35">
      <c r="A91" s="1" t="s">
        <v>18</v>
      </c>
      <c r="B91" s="1">
        <v>7</v>
      </c>
      <c r="C91" s="1" t="s">
        <v>14</v>
      </c>
      <c r="D91" s="2" t="s">
        <v>11</v>
      </c>
      <c r="E91" s="2" t="s">
        <v>11</v>
      </c>
      <c r="F91" s="2" t="s">
        <v>11</v>
      </c>
      <c r="G91" s="4">
        <v>1330</v>
      </c>
    </row>
    <row r="92" spans="1:7" x14ac:dyDescent="0.35">
      <c r="A92" s="1" t="s">
        <v>18</v>
      </c>
      <c r="B92" s="1">
        <v>8</v>
      </c>
      <c r="C92" s="1" t="s">
        <v>8</v>
      </c>
      <c r="D92" s="2" t="s">
        <v>11</v>
      </c>
      <c r="E92" s="2" t="s">
        <v>11</v>
      </c>
      <c r="F92" s="2" t="s">
        <v>11</v>
      </c>
      <c r="G92" s="4">
        <v>819</v>
      </c>
    </row>
    <row r="93" spans="1:7" x14ac:dyDescent="0.35">
      <c r="A93" s="1" t="s">
        <v>18</v>
      </c>
      <c r="B93" s="1">
        <v>9</v>
      </c>
      <c r="C93" s="1" t="s">
        <v>10</v>
      </c>
      <c r="D93" s="2" t="s">
        <v>11</v>
      </c>
      <c r="E93" s="2" t="s">
        <v>11</v>
      </c>
      <c r="F93" s="2" t="s">
        <v>11</v>
      </c>
      <c r="G93" s="4">
        <v>743</v>
      </c>
    </row>
    <row r="94" spans="1:7" x14ac:dyDescent="0.35">
      <c r="A94" s="1" t="s">
        <v>18</v>
      </c>
      <c r="B94" s="1">
        <v>10</v>
      </c>
      <c r="C94" s="1" t="s">
        <v>12</v>
      </c>
      <c r="D94" s="2" t="s">
        <v>11</v>
      </c>
      <c r="E94" s="2" t="s">
        <v>11</v>
      </c>
      <c r="F94" s="2" t="s">
        <v>11</v>
      </c>
      <c r="G94" s="4">
        <v>921</v>
      </c>
    </row>
    <row r="95" spans="1:7" x14ac:dyDescent="0.35">
      <c r="A95" s="1" t="s">
        <v>18</v>
      </c>
      <c r="B95" s="1">
        <v>11</v>
      </c>
      <c r="C95" s="1" t="s">
        <v>13</v>
      </c>
      <c r="D95" s="2" t="s">
        <v>9</v>
      </c>
      <c r="E95" s="2" t="s">
        <v>9</v>
      </c>
      <c r="F95" s="2" t="s">
        <v>11</v>
      </c>
      <c r="G95" s="4">
        <v>1731</v>
      </c>
    </row>
    <row r="96" spans="1:7" x14ac:dyDescent="0.35">
      <c r="A96" s="1" t="s">
        <v>18</v>
      </c>
      <c r="B96" s="1">
        <v>14</v>
      </c>
      <c r="C96" s="1" t="s">
        <v>14</v>
      </c>
      <c r="D96" s="2" t="s">
        <v>11</v>
      </c>
      <c r="E96" s="2" t="s">
        <v>11</v>
      </c>
      <c r="F96" s="2" t="s">
        <v>11</v>
      </c>
      <c r="G96" s="4">
        <v>1118</v>
      </c>
    </row>
    <row r="97" spans="1:7" x14ac:dyDescent="0.35">
      <c r="A97" s="1" t="s">
        <v>18</v>
      </c>
      <c r="B97" s="1">
        <v>15</v>
      </c>
      <c r="C97" s="1" t="s">
        <v>8</v>
      </c>
      <c r="D97" s="2" t="s">
        <v>11</v>
      </c>
      <c r="E97" s="2" t="s">
        <v>11</v>
      </c>
      <c r="F97" s="2" t="s">
        <v>11</v>
      </c>
      <c r="G97" s="4">
        <v>1064</v>
      </c>
    </row>
    <row r="98" spans="1:7" x14ac:dyDescent="0.35">
      <c r="A98" s="1" t="s">
        <v>18</v>
      </c>
      <c r="B98" s="1">
        <v>16</v>
      </c>
      <c r="C98" s="1" t="s">
        <v>10</v>
      </c>
      <c r="D98" s="2" t="s">
        <v>11</v>
      </c>
      <c r="E98" s="2" t="s">
        <v>11</v>
      </c>
      <c r="F98" s="2" t="s">
        <v>11</v>
      </c>
      <c r="G98" s="4">
        <v>869</v>
      </c>
    </row>
    <row r="99" spans="1:7" x14ac:dyDescent="0.35">
      <c r="A99" s="1" t="s">
        <v>18</v>
      </c>
      <c r="B99" s="1">
        <v>17</v>
      </c>
      <c r="C99" s="1" t="s">
        <v>12</v>
      </c>
      <c r="D99" s="2" t="s">
        <v>11</v>
      </c>
      <c r="E99" s="2" t="s">
        <v>11</v>
      </c>
      <c r="F99" s="2" t="s">
        <v>11</v>
      </c>
      <c r="G99" s="4">
        <v>844</v>
      </c>
    </row>
    <row r="100" spans="1:7" x14ac:dyDescent="0.35">
      <c r="A100" s="1" t="s">
        <v>18</v>
      </c>
      <c r="B100" s="1">
        <v>18</v>
      </c>
      <c r="C100" s="1" t="s">
        <v>13</v>
      </c>
      <c r="D100" s="2" t="s">
        <v>11</v>
      </c>
      <c r="E100" s="2" t="s">
        <v>11</v>
      </c>
      <c r="F100" s="2" t="s">
        <v>11</v>
      </c>
      <c r="G100" s="4">
        <v>1251</v>
      </c>
    </row>
    <row r="101" spans="1:7" x14ac:dyDescent="0.35">
      <c r="A101" s="1" t="s">
        <v>18</v>
      </c>
      <c r="B101" s="1">
        <v>21</v>
      </c>
      <c r="C101" s="1" t="s">
        <v>14</v>
      </c>
      <c r="D101" s="2" t="s">
        <v>11</v>
      </c>
      <c r="E101" s="2" t="s">
        <v>11</v>
      </c>
      <c r="F101" s="2" t="s">
        <v>11</v>
      </c>
      <c r="G101" s="4">
        <v>1187</v>
      </c>
    </row>
    <row r="102" spans="1:7" x14ac:dyDescent="0.35">
      <c r="A102" s="1" t="s">
        <v>18</v>
      </c>
      <c r="B102" s="1">
        <v>22</v>
      </c>
      <c r="C102" s="1" t="s">
        <v>8</v>
      </c>
      <c r="D102" s="2" t="s">
        <v>11</v>
      </c>
      <c r="E102" s="2" t="s">
        <v>11</v>
      </c>
      <c r="F102" s="2" t="s">
        <v>11</v>
      </c>
      <c r="G102" s="4">
        <v>785</v>
      </c>
    </row>
    <row r="103" spans="1:7" x14ac:dyDescent="0.35">
      <c r="A103" s="1" t="s">
        <v>18</v>
      </c>
      <c r="B103" s="1">
        <v>23</v>
      </c>
      <c r="C103" s="1" t="s">
        <v>10</v>
      </c>
      <c r="D103" s="2" t="s">
        <v>11</v>
      </c>
      <c r="E103" s="2" t="s">
        <v>11</v>
      </c>
      <c r="F103" s="2" t="s">
        <v>11</v>
      </c>
      <c r="G103" s="4">
        <v>705</v>
      </c>
    </row>
    <row r="104" spans="1:7" x14ac:dyDescent="0.35">
      <c r="A104" s="1" t="s">
        <v>18</v>
      </c>
      <c r="B104" s="1">
        <v>24</v>
      </c>
      <c r="C104" s="1" t="s">
        <v>12</v>
      </c>
      <c r="D104" s="2" t="s">
        <v>11</v>
      </c>
      <c r="E104" s="2" t="s">
        <v>11</v>
      </c>
      <c r="F104" s="2" t="s">
        <v>11</v>
      </c>
      <c r="G104" s="4">
        <v>890</v>
      </c>
    </row>
    <row r="105" spans="1:7" x14ac:dyDescent="0.35">
      <c r="A105" s="1" t="s">
        <v>18</v>
      </c>
      <c r="B105" s="1">
        <v>25</v>
      </c>
      <c r="C105" s="1" t="s">
        <v>13</v>
      </c>
      <c r="D105" s="2" t="s">
        <v>11</v>
      </c>
      <c r="E105" s="2" t="s">
        <v>11</v>
      </c>
      <c r="F105" s="2" t="s">
        <v>9</v>
      </c>
      <c r="G105" s="4">
        <v>1754</v>
      </c>
    </row>
    <row r="106" spans="1:7" x14ac:dyDescent="0.35">
      <c r="A106" s="1" t="s">
        <v>18</v>
      </c>
      <c r="B106" s="1">
        <v>29</v>
      </c>
      <c r="C106" s="1" t="s">
        <v>8</v>
      </c>
      <c r="D106" s="2" t="s">
        <v>11</v>
      </c>
      <c r="E106" s="2" t="s">
        <v>11</v>
      </c>
      <c r="F106" s="2" t="s">
        <v>9</v>
      </c>
      <c r="G106" s="4">
        <v>1310</v>
      </c>
    </row>
    <row r="107" spans="1:7" x14ac:dyDescent="0.35">
      <c r="A107" s="1" t="s">
        <v>18</v>
      </c>
      <c r="B107" s="1">
        <v>30</v>
      </c>
      <c r="C107" s="1" t="s">
        <v>10</v>
      </c>
      <c r="D107" s="2" t="s">
        <v>11</v>
      </c>
      <c r="E107" s="2" t="s">
        <v>11</v>
      </c>
      <c r="F107" s="2" t="s">
        <v>11</v>
      </c>
      <c r="G107" s="4">
        <v>937</v>
      </c>
    </row>
    <row r="108" spans="1:7" x14ac:dyDescent="0.35">
      <c r="A108" s="1" t="s">
        <v>18</v>
      </c>
      <c r="B108" s="1">
        <v>31</v>
      </c>
      <c r="C108" s="1" t="s">
        <v>12</v>
      </c>
      <c r="D108" s="2" t="s">
        <v>11</v>
      </c>
      <c r="E108" s="2" t="s">
        <v>11</v>
      </c>
      <c r="F108" s="2" t="s">
        <v>11</v>
      </c>
      <c r="G108" s="4">
        <v>956</v>
      </c>
    </row>
    <row r="109" spans="1:7" x14ac:dyDescent="0.35">
      <c r="A109" s="1" t="s">
        <v>19</v>
      </c>
      <c r="B109" s="1">
        <v>1</v>
      </c>
      <c r="C109" s="1" t="s">
        <v>13</v>
      </c>
      <c r="D109" s="2" t="s">
        <v>11</v>
      </c>
      <c r="E109" s="2" t="s">
        <v>11</v>
      </c>
      <c r="F109" s="2" t="s">
        <v>11</v>
      </c>
      <c r="G109" s="4">
        <v>2068</v>
      </c>
    </row>
    <row r="110" spans="1:7" x14ac:dyDescent="0.35">
      <c r="A110" s="1" t="s">
        <v>19</v>
      </c>
      <c r="B110" s="1">
        <v>4</v>
      </c>
      <c r="C110" s="1" t="s">
        <v>14</v>
      </c>
      <c r="D110" s="2" t="s">
        <v>11</v>
      </c>
      <c r="E110" s="2" t="s">
        <v>11</v>
      </c>
      <c r="F110" s="2" t="s">
        <v>11</v>
      </c>
      <c r="G110" s="4">
        <v>1383</v>
      </c>
    </row>
    <row r="111" spans="1:7" x14ac:dyDescent="0.35">
      <c r="A111" s="1" t="s">
        <v>19</v>
      </c>
      <c r="B111" s="1">
        <v>5</v>
      </c>
      <c r="C111" s="1" t="s">
        <v>8</v>
      </c>
      <c r="D111" s="2" t="s">
        <v>11</v>
      </c>
      <c r="E111" s="2" t="s">
        <v>11</v>
      </c>
      <c r="F111" s="2" t="s">
        <v>11</v>
      </c>
      <c r="G111" s="4">
        <v>842</v>
      </c>
    </row>
    <row r="112" spans="1:7" x14ac:dyDescent="0.35">
      <c r="A112" s="1" t="s">
        <v>19</v>
      </c>
      <c r="B112" s="1">
        <v>6</v>
      </c>
      <c r="C112" s="1" t="s">
        <v>10</v>
      </c>
      <c r="D112" s="2" t="s">
        <v>11</v>
      </c>
      <c r="E112" s="2" t="s">
        <v>11</v>
      </c>
      <c r="F112" s="2" t="s">
        <v>11</v>
      </c>
      <c r="G112" s="4">
        <v>923</v>
      </c>
    </row>
    <row r="113" spans="1:7" x14ac:dyDescent="0.35">
      <c r="A113" s="1" t="s">
        <v>19</v>
      </c>
      <c r="B113" s="1">
        <v>7</v>
      </c>
      <c r="C113" s="1" t="s">
        <v>12</v>
      </c>
      <c r="D113" s="2" t="s">
        <v>11</v>
      </c>
      <c r="E113" s="2" t="s">
        <v>11</v>
      </c>
      <c r="F113" s="2" t="s">
        <v>11</v>
      </c>
      <c r="G113" s="4">
        <v>959</v>
      </c>
    </row>
    <row r="114" spans="1:7" x14ac:dyDescent="0.35">
      <c r="A114" s="1" t="s">
        <v>19</v>
      </c>
      <c r="B114" s="1">
        <v>8</v>
      </c>
      <c r="C114" s="1" t="s">
        <v>13</v>
      </c>
      <c r="D114" s="2" t="s">
        <v>9</v>
      </c>
      <c r="E114" s="2" t="s">
        <v>11</v>
      </c>
      <c r="F114" s="2" t="s">
        <v>11</v>
      </c>
      <c r="G114" s="4">
        <v>1820</v>
      </c>
    </row>
    <row r="115" spans="1:7" x14ac:dyDescent="0.35">
      <c r="A115" s="1" t="s">
        <v>19</v>
      </c>
      <c r="B115" s="1">
        <v>11</v>
      </c>
      <c r="C115" s="1" t="s">
        <v>14</v>
      </c>
      <c r="D115" s="2" t="s">
        <v>11</v>
      </c>
      <c r="E115" s="2" t="s">
        <v>11</v>
      </c>
      <c r="F115" s="2" t="s">
        <v>11</v>
      </c>
      <c r="G115" s="4">
        <v>1164</v>
      </c>
    </row>
    <row r="116" spans="1:7" x14ac:dyDescent="0.35">
      <c r="A116" s="1" t="s">
        <v>19</v>
      </c>
      <c r="B116" s="1">
        <v>12</v>
      </c>
      <c r="C116" s="1" t="s">
        <v>8</v>
      </c>
      <c r="D116" s="2" t="s">
        <v>11</v>
      </c>
      <c r="E116" s="2" t="s">
        <v>11</v>
      </c>
      <c r="F116" s="2" t="s">
        <v>11</v>
      </c>
      <c r="G116" s="4">
        <v>928</v>
      </c>
    </row>
    <row r="117" spans="1:7" x14ac:dyDescent="0.35">
      <c r="A117" s="1" t="s">
        <v>19</v>
      </c>
      <c r="B117" s="1">
        <v>14</v>
      </c>
      <c r="C117" s="1" t="s">
        <v>12</v>
      </c>
      <c r="D117" s="2" t="s">
        <v>11</v>
      </c>
      <c r="E117" s="2" t="s">
        <v>11</v>
      </c>
      <c r="F117" s="2" t="s">
        <v>11</v>
      </c>
      <c r="G117" s="4">
        <v>919</v>
      </c>
    </row>
    <row r="118" spans="1:7" x14ac:dyDescent="0.35">
      <c r="A118" s="1" t="s">
        <v>19</v>
      </c>
      <c r="B118" s="1">
        <v>15</v>
      </c>
      <c r="C118" s="1" t="s">
        <v>13</v>
      </c>
      <c r="D118" s="2" t="s">
        <v>11</v>
      </c>
      <c r="E118" s="2" t="s">
        <v>11</v>
      </c>
      <c r="F118" s="2" t="s">
        <v>11</v>
      </c>
      <c r="G118" s="4">
        <v>1460</v>
      </c>
    </row>
    <row r="119" spans="1:7" x14ac:dyDescent="0.35">
      <c r="A119" s="1" t="s">
        <v>19</v>
      </c>
      <c r="B119" s="1">
        <v>18</v>
      </c>
      <c r="C119" s="1" t="s">
        <v>14</v>
      </c>
      <c r="D119" s="2" t="s">
        <v>11</v>
      </c>
      <c r="E119" s="2" t="s">
        <v>11</v>
      </c>
      <c r="F119" s="2" t="s">
        <v>11</v>
      </c>
      <c r="G119" s="4">
        <v>1081</v>
      </c>
    </row>
    <row r="120" spans="1:7" x14ac:dyDescent="0.35">
      <c r="A120" s="1" t="s">
        <v>19</v>
      </c>
      <c r="B120" s="1">
        <v>19</v>
      </c>
      <c r="C120" s="1" t="s">
        <v>8</v>
      </c>
      <c r="D120" s="2" t="s">
        <v>11</v>
      </c>
      <c r="E120" s="2" t="s">
        <v>11</v>
      </c>
      <c r="F120" s="2" t="s">
        <v>11</v>
      </c>
      <c r="G120" s="4">
        <v>993</v>
      </c>
    </row>
    <row r="121" spans="1:7" x14ac:dyDescent="0.35">
      <c r="A121" s="1" t="s">
        <v>19</v>
      </c>
      <c r="B121" s="1">
        <v>20</v>
      </c>
      <c r="C121" s="1" t="s">
        <v>10</v>
      </c>
      <c r="D121" s="2" t="s">
        <v>11</v>
      </c>
      <c r="E121" s="2" t="s">
        <v>11</v>
      </c>
      <c r="F121" s="2" t="s">
        <v>11</v>
      </c>
      <c r="G121" s="4">
        <v>862</v>
      </c>
    </row>
    <row r="122" spans="1:7" x14ac:dyDescent="0.35">
      <c r="A122" s="1" t="s">
        <v>19</v>
      </c>
      <c r="B122" s="1">
        <v>21</v>
      </c>
      <c r="C122" s="1" t="s">
        <v>12</v>
      </c>
      <c r="D122" s="2" t="s">
        <v>11</v>
      </c>
      <c r="E122" s="2" t="s">
        <v>11</v>
      </c>
      <c r="F122" s="2" t="s">
        <v>11</v>
      </c>
      <c r="G122" s="4">
        <v>900</v>
      </c>
    </row>
    <row r="123" spans="1:7" x14ac:dyDescent="0.35">
      <c r="A123" s="1" t="s">
        <v>19</v>
      </c>
      <c r="B123" s="1">
        <v>22</v>
      </c>
      <c r="C123" s="1" t="s">
        <v>13</v>
      </c>
      <c r="D123" s="2" t="s">
        <v>9</v>
      </c>
      <c r="E123" s="2" t="s">
        <v>11</v>
      </c>
      <c r="F123" s="2" t="s">
        <v>11</v>
      </c>
      <c r="G123" s="4">
        <v>1769</v>
      </c>
    </row>
    <row r="124" spans="1:7" x14ac:dyDescent="0.35">
      <c r="A124" s="1" t="s">
        <v>19</v>
      </c>
      <c r="B124" s="1">
        <v>25</v>
      </c>
      <c r="C124" s="1" t="s">
        <v>14</v>
      </c>
      <c r="D124" s="2" t="s">
        <v>11</v>
      </c>
      <c r="E124" s="2" t="s">
        <v>11</v>
      </c>
      <c r="F124" s="2" t="s">
        <v>11</v>
      </c>
      <c r="G124" s="4">
        <v>1059</v>
      </c>
    </row>
    <row r="125" spans="1:7" x14ac:dyDescent="0.35">
      <c r="A125" s="1" t="s">
        <v>19</v>
      </c>
      <c r="B125" s="1">
        <v>26</v>
      </c>
      <c r="C125" s="1" t="s">
        <v>8</v>
      </c>
      <c r="D125" s="2" t="s">
        <v>11</v>
      </c>
      <c r="E125" s="2" t="s">
        <v>11</v>
      </c>
      <c r="F125" s="2" t="s">
        <v>11</v>
      </c>
      <c r="G125" s="4">
        <v>924</v>
      </c>
    </row>
    <row r="126" spans="1:7" x14ac:dyDescent="0.35">
      <c r="A126" s="1" t="s">
        <v>19</v>
      </c>
      <c r="B126" s="1">
        <v>27</v>
      </c>
      <c r="C126" s="1" t="s">
        <v>10</v>
      </c>
      <c r="D126" s="2" t="s">
        <v>11</v>
      </c>
      <c r="E126" s="2" t="s">
        <v>11</v>
      </c>
      <c r="F126" s="2" t="s">
        <v>11</v>
      </c>
      <c r="G126" s="4">
        <v>859</v>
      </c>
    </row>
    <row r="127" spans="1:7" x14ac:dyDescent="0.35">
      <c r="A127" s="1" t="s">
        <v>19</v>
      </c>
      <c r="B127" s="1">
        <v>28</v>
      </c>
      <c r="C127" s="1" t="s">
        <v>12</v>
      </c>
      <c r="D127" s="2" t="s">
        <v>11</v>
      </c>
      <c r="E127" s="2" t="s">
        <v>11</v>
      </c>
      <c r="F127" s="2" t="s">
        <v>11</v>
      </c>
      <c r="G127" s="4">
        <v>805</v>
      </c>
    </row>
    <row r="128" spans="1:7" x14ac:dyDescent="0.35">
      <c r="A128" s="1" t="s">
        <v>19</v>
      </c>
      <c r="B128" s="1">
        <v>29</v>
      </c>
      <c r="C128" s="1" t="s">
        <v>13</v>
      </c>
      <c r="D128" s="2" t="s">
        <v>11</v>
      </c>
      <c r="E128" s="2" t="s">
        <v>11</v>
      </c>
      <c r="F128" s="2" t="s">
        <v>11</v>
      </c>
      <c r="G128" s="4">
        <v>1606</v>
      </c>
    </row>
    <row r="129" spans="1:7" x14ac:dyDescent="0.35">
      <c r="A129" s="1" t="s">
        <v>20</v>
      </c>
      <c r="B129" s="1">
        <v>2</v>
      </c>
      <c r="C129" s="1" t="s">
        <v>14</v>
      </c>
      <c r="D129" s="2" t="s">
        <v>11</v>
      </c>
      <c r="E129" s="2" t="s">
        <v>11</v>
      </c>
      <c r="F129" s="2" t="s">
        <v>11</v>
      </c>
      <c r="G129" s="4">
        <v>1648</v>
      </c>
    </row>
    <row r="130" spans="1:7" x14ac:dyDescent="0.35">
      <c r="A130" s="1" t="s">
        <v>20</v>
      </c>
      <c r="B130" s="1">
        <v>3</v>
      </c>
      <c r="C130" s="1" t="s">
        <v>8</v>
      </c>
      <c r="D130" s="2" t="s">
        <v>11</v>
      </c>
      <c r="E130" s="2" t="s">
        <v>11</v>
      </c>
      <c r="F130" s="2" t="s">
        <v>9</v>
      </c>
      <c r="G130" s="4">
        <v>1372</v>
      </c>
    </row>
    <row r="131" spans="1:7" x14ac:dyDescent="0.35">
      <c r="A131" s="1" t="s">
        <v>20</v>
      </c>
      <c r="B131" s="1">
        <v>5</v>
      </c>
      <c r="C131" s="1" t="s">
        <v>12</v>
      </c>
      <c r="D131" s="2" t="s">
        <v>11</v>
      </c>
      <c r="E131" s="2" t="s">
        <v>11</v>
      </c>
      <c r="F131" s="2" t="s">
        <v>9</v>
      </c>
      <c r="G131" s="4">
        <v>1283</v>
      </c>
    </row>
    <row r="132" spans="1:7" x14ac:dyDescent="0.35">
      <c r="A132" s="1" t="s">
        <v>20</v>
      </c>
      <c r="B132" s="1">
        <v>6</v>
      </c>
      <c r="C132" s="1" t="s">
        <v>13</v>
      </c>
      <c r="D132" s="2" t="s">
        <v>9</v>
      </c>
      <c r="E132" s="2" t="s">
        <v>11</v>
      </c>
      <c r="F132" s="2" t="s">
        <v>11</v>
      </c>
      <c r="G132" s="4">
        <v>1740</v>
      </c>
    </row>
    <row r="133" spans="1:7" x14ac:dyDescent="0.35">
      <c r="A133" s="1" t="s">
        <v>20</v>
      </c>
      <c r="B133" s="1">
        <v>9</v>
      </c>
      <c r="C133" s="1" t="s">
        <v>14</v>
      </c>
      <c r="D133" s="2" t="s">
        <v>11</v>
      </c>
      <c r="E133" s="2" t="s">
        <v>11</v>
      </c>
      <c r="F133" s="2" t="s">
        <v>11</v>
      </c>
      <c r="G133" s="4">
        <v>1195</v>
      </c>
    </row>
    <row r="134" spans="1:7" x14ac:dyDescent="0.35">
      <c r="A134" s="1" t="s">
        <v>20</v>
      </c>
      <c r="B134" s="1">
        <v>10</v>
      </c>
      <c r="C134" s="1" t="s">
        <v>8</v>
      </c>
      <c r="D134" s="2" t="s">
        <v>11</v>
      </c>
      <c r="E134" s="2" t="s">
        <v>11</v>
      </c>
      <c r="F134" s="2" t="s">
        <v>11</v>
      </c>
      <c r="G134" s="4">
        <v>880</v>
      </c>
    </row>
    <row r="135" spans="1:7" x14ac:dyDescent="0.35">
      <c r="A135" s="1" t="s">
        <v>20</v>
      </c>
      <c r="B135" s="1">
        <v>11</v>
      </c>
      <c r="C135" s="1" t="s">
        <v>10</v>
      </c>
      <c r="D135" s="2" t="s">
        <v>11</v>
      </c>
      <c r="E135" s="2" t="s">
        <v>11</v>
      </c>
      <c r="F135" s="2" t="s">
        <v>11</v>
      </c>
      <c r="G135" s="4">
        <v>855</v>
      </c>
    </row>
    <row r="136" spans="1:7" x14ac:dyDescent="0.35">
      <c r="A136" s="1" t="s">
        <v>20</v>
      </c>
      <c r="B136" s="1">
        <v>12</v>
      </c>
      <c r="C136" s="1" t="s">
        <v>12</v>
      </c>
      <c r="D136" s="2" t="s">
        <v>11</v>
      </c>
      <c r="E136" s="2" t="s">
        <v>11</v>
      </c>
      <c r="F136" s="2" t="s">
        <v>11</v>
      </c>
      <c r="G136" s="4">
        <v>955</v>
      </c>
    </row>
    <row r="137" spans="1:7" x14ac:dyDescent="0.35">
      <c r="A137" s="1" t="s">
        <v>20</v>
      </c>
      <c r="B137" s="1">
        <v>13</v>
      </c>
      <c r="C137" s="1" t="s">
        <v>13</v>
      </c>
      <c r="D137" s="2" t="s">
        <v>11</v>
      </c>
      <c r="E137" s="2" t="s">
        <v>11</v>
      </c>
      <c r="F137" s="2" t="s">
        <v>11</v>
      </c>
      <c r="G137" s="4">
        <v>1466</v>
      </c>
    </row>
    <row r="138" spans="1:7" x14ac:dyDescent="0.35">
      <c r="A138" s="1" t="s">
        <v>20</v>
      </c>
      <c r="B138" s="1">
        <v>16</v>
      </c>
      <c r="C138" s="1" t="s">
        <v>14</v>
      </c>
      <c r="D138" s="2" t="s">
        <v>11</v>
      </c>
      <c r="E138" s="2" t="s">
        <v>11</v>
      </c>
      <c r="F138" s="2" t="s">
        <v>11</v>
      </c>
      <c r="G138" s="4">
        <v>1290</v>
      </c>
    </row>
    <row r="139" spans="1:7" x14ac:dyDescent="0.35">
      <c r="A139" s="1" t="s">
        <v>20</v>
      </c>
      <c r="B139" s="1">
        <v>17</v>
      </c>
      <c r="C139" s="1" t="s">
        <v>8</v>
      </c>
      <c r="D139" s="2" t="s">
        <v>11</v>
      </c>
      <c r="E139" s="2" t="s">
        <v>11</v>
      </c>
      <c r="F139" s="2" t="s">
        <v>11</v>
      </c>
      <c r="G139" s="4">
        <v>968</v>
      </c>
    </row>
    <row r="140" spans="1:7" x14ac:dyDescent="0.35">
      <c r="A140" s="1" t="s">
        <v>20</v>
      </c>
      <c r="B140" s="1">
        <v>18</v>
      </c>
      <c r="C140" s="1" t="s">
        <v>10</v>
      </c>
      <c r="D140" s="2" t="s">
        <v>11</v>
      </c>
      <c r="E140" s="2" t="s">
        <v>11</v>
      </c>
      <c r="F140" s="2" t="s">
        <v>11</v>
      </c>
      <c r="G140" s="4">
        <v>831</v>
      </c>
    </row>
    <row r="141" spans="1:7" x14ac:dyDescent="0.35">
      <c r="A141" s="1" t="s">
        <v>20</v>
      </c>
      <c r="B141" s="1">
        <v>19</v>
      </c>
      <c r="C141" s="1" t="s">
        <v>12</v>
      </c>
      <c r="D141" s="2" t="s">
        <v>11</v>
      </c>
      <c r="E141" s="2" t="s">
        <v>11</v>
      </c>
      <c r="F141" s="2" t="s">
        <v>11</v>
      </c>
      <c r="G141" s="4">
        <v>838</v>
      </c>
    </row>
    <row r="142" spans="1:7" x14ac:dyDescent="0.35">
      <c r="A142" s="1" t="s">
        <v>20</v>
      </c>
      <c r="B142" s="1">
        <v>20</v>
      </c>
      <c r="C142" s="1" t="s">
        <v>13</v>
      </c>
      <c r="D142" s="2" t="s">
        <v>9</v>
      </c>
      <c r="E142" s="2" t="s">
        <v>11</v>
      </c>
      <c r="F142" s="2" t="s">
        <v>11</v>
      </c>
      <c r="G142" s="4">
        <v>1747</v>
      </c>
    </row>
    <row r="143" spans="1:7" x14ac:dyDescent="0.35">
      <c r="A143" s="1" t="s">
        <v>20</v>
      </c>
      <c r="B143" s="1">
        <v>23</v>
      </c>
      <c r="C143" s="1" t="s">
        <v>14</v>
      </c>
      <c r="D143" s="2" t="s">
        <v>11</v>
      </c>
      <c r="E143" s="2" t="s">
        <v>11</v>
      </c>
      <c r="F143" s="2" t="s">
        <v>11</v>
      </c>
      <c r="G143" s="4">
        <v>1182</v>
      </c>
    </row>
    <row r="144" spans="1:7" x14ac:dyDescent="0.35">
      <c r="A144" s="1" t="s">
        <v>20</v>
      </c>
      <c r="B144" s="1">
        <v>24</v>
      </c>
      <c r="C144" s="1" t="s">
        <v>8</v>
      </c>
      <c r="D144" s="2" t="s">
        <v>11</v>
      </c>
      <c r="E144" s="2" t="s">
        <v>11</v>
      </c>
      <c r="F144" s="2" t="s">
        <v>11</v>
      </c>
      <c r="G144" s="4">
        <v>842</v>
      </c>
    </row>
    <row r="145" spans="1:7" x14ac:dyDescent="0.35">
      <c r="A145" s="1" t="s">
        <v>20</v>
      </c>
      <c r="B145" s="1">
        <v>25</v>
      </c>
      <c r="C145" s="1" t="s">
        <v>10</v>
      </c>
      <c r="D145" s="2" t="s">
        <v>11</v>
      </c>
      <c r="E145" s="2" t="s">
        <v>11</v>
      </c>
      <c r="F145" s="2" t="s">
        <v>11</v>
      </c>
      <c r="G145" s="4">
        <v>818</v>
      </c>
    </row>
    <row r="146" spans="1:7" x14ac:dyDescent="0.35">
      <c r="A146" s="1" t="s">
        <v>20</v>
      </c>
      <c r="B146" s="1">
        <v>26</v>
      </c>
      <c r="C146" s="1" t="s">
        <v>12</v>
      </c>
      <c r="D146" s="2" t="s">
        <v>11</v>
      </c>
      <c r="E146" s="2" t="s">
        <v>11</v>
      </c>
      <c r="F146" s="2" t="s">
        <v>11</v>
      </c>
      <c r="G146" s="4">
        <v>822</v>
      </c>
    </row>
    <row r="147" spans="1:7" x14ac:dyDescent="0.35">
      <c r="A147" s="1" t="s">
        <v>20</v>
      </c>
      <c r="B147" s="1">
        <v>27</v>
      </c>
      <c r="C147" s="1" t="s">
        <v>13</v>
      </c>
      <c r="D147" s="2" t="s">
        <v>11</v>
      </c>
      <c r="E147" s="2" t="s">
        <v>11</v>
      </c>
      <c r="F147" s="2" t="s">
        <v>11</v>
      </c>
      <c r="G147" s="4">
        <v>1278</v>
      </c>
    </row>
    <row r="148" spans="1:7" x14ac:dyDescent="0.35">
      <c r="A148" s="1" t="s">
        <v>20</v>
      </c>
      <c r="B148" s="1">
        <v>30</v>
      </c>
      <c r="C148" s="1" t="s">
        <v>14</v>
      </c>
      <c r="D148" s="2" t="s">
        <v>11</v>
      </c>
      <c r="E148" s="2" t="s">
        <v>11</v>
      </c>
      <c r="F148" s="2" t="s">
        <v>11</v>
      </c>
      <c r="G148" s="4">
        <v>1184</v>
      </c>
    </row>
    <row r="149" spans="1:7" x14ac:dyDescent="0.35">
      <c r="A149" s="1" t="s">
        <v>20</v>
      </c>
      <c r="B149" s="1">
        <v>31</v>
      </c>
      <c r="C149" s="1" t="s">
        <v>8</v>
      </c>
      <c r="D149" s="2" t="s">
        <v>11</v>
      </c>
      <c r="E149" s="2" t="s">
        <v>11</v>
      </c>
      <c r="F149" s="2" t="s">
        <v>11</v>
      </c>
      <c r="G149" s="4">
        <v>989</v>
      </c>
    </row>
    <row r="150" spans="1:7" x14ac:dyDescent="0.35">
      <c r="A150" s="1" t="s">
        <v>21</v>
      </c>
      <c r="B150" s="1">
        <v>1</v>
      </c>
      <c r="C150" s="1" t="s">
        <v>10</v>
      </c>
      <c r="D150" s="2" t="s">
        <v>11</v>
      </c>
      <c r="E150" s="2" t="s">
        <v>11</v>
      </c>
      <c r="F150" s="2" t="s">
        <v>11</v>
      </c>
      <c r="G150" s="4">
        <v>1506</v>
      </c>
    </row>
    <row r="151" spans="1:7" x14ac:dyDescent="0.35">
      <c r="A151" s="1" t="s">
        <v>21</v>
      </c>
      <c r="B151" s="1">
        <v>2</v>
      </c>
      <c r="C151" s="1" t="s">
        <v>12</v>
      </c>
      <c r="D151" s="2" t="s">
        <v>11</v>
      </c>
      <c r="E151" s="2" t="s">
        <v>11</v>
      </c>
      <c r="F151" s="2" t="s">
        <v>11</v>
      </c>
      <c r="G151" s="4">
        <v>1155</v>
      </c>
    </row>
    <row r="152" spans="1:7" x14ac:dyDescent="0.35">
      <c r="A152" s="1" t="s">
        <v>21</v>
      </c>
      <c r="B152" s="1">
        <v>3</v>
      </c>
      <c r="C152" s="1" t="s">
        <v>13</v>
      </c>
      <c r="D152" s="2" t="s">
        <v>9</v>
      </c>
      <c r="E152" s="2" t="s">
        <v>11</v>
      </c>
      <c r="F152" s="2" t="s">
        <v>11</v>
      </c>
      <c r="G152" s="4">
        <v>1889</v>
      </c>
    </row>
    <row r="153" spans="1:7" x14ac:dyDescent="0.35">
      <c r="A153" s="1" t="s">
        <v>21</v>
      </c>
      <c r="B153" s="1">
        <v>6</v>
      </c>
      <c r="C153" s="1" t="s">
        <v>14</v>
      </c>
      <c r="D153" s="2" t="s">
        <v>11</v>
      </c>
      <c r="E153" s="2" t="s">
        <v>11</v>
      </c>
      <c r="F153" s="2" t="s">
        <v>11</v>
      </c>
      <c r="G153" s="4">
        <v>1235</v>
      </c>
    </row>
    <row r="154" spans="1:7" x14ac:dyDescent="0.35">
      <c r="A154" s="1" t="s">
        <v>21</v>
      </c>
      <c r="B154" s="1">
        <v>7</v>
      </c>
      <c r="C154" s="1" t="s">
        <v>8</v>
      </c>
      <c r="D154" s="2" t="s">
        <v>11</v>
      </c>
      <c r="E154" s="2" t="s">
        <v>11</v>
      </c>
      <c r="F154" s="2" t="s">
        <v>11</v>
      </c>
      <c r="G154" s="4">
        <v>957</v>
      </c>
    </row>
    <row r="155" spans="1:7" x14ac:dyDescent="0.35">
      <c r="A155" s="1" t="s">
        <v>21</v>
      </c>
      <c r="B155" s="1">
        <v>8</v>
      </c>
      <c r="C155" s="1" t="s">
        <v>10</v>
      </c>
      <c r="D155" s="2" t="s">
        <v>11</v>
      </c>
      <c r="E155" s="2" t="s">
        <v>11</v>
      </c>
      <c r="F155" s="2" t="s">
        <v>11</v>
      </c>
      <c r="G155" s="4">
        <v>891</v>
      </c>
    </row>
    <row r="156" spans="1:7" x14ac:dyDescent="0.35">
      <c r="A156" s="1" t="s">
        <v>21</v>
      </c>
      <c r="B156" s="1">
        <v>9</v>
      </c>
      <c r="C156" s="1" t="s">
        <v>12</v>
      </c>
      <c r="D156" s="2" t="s">
        <v>11</v>
      </c>
      <c r="E156" s="2" t="s">
        <v>11</v>
      </c>
      <c r="F156" s="2" t="s">
        <v>11</v>
      </c>
      <c r="G156" s="4">
        <v>1067</v>
      </c>
    </row>
    <row r="157" spans="1:7" x14ac:dyDescent="0.35">
      <c r="A157" s="1" t="s">
        <v>21</v>
      </c>
      <c r="B157" s="1">
        <v>10</v>
      </c>
      <c r="C157" s="1" t="s">
        <v>13</v>
      </c>
      <c r="D157" s="2" t="s">
        <v>11</v>
      </c>
      <c r="E157" s="2" t="s">
        <v>11</v>
      </c>
      <c r="F157" s="2" t="s">
        <v>11</v>
      </c>
      <c r="G157" s="4">
        <v>1475</v>
      </c>
    </row>
    <row r="158" spans="1:7" x14ac:dyDescent="0.35">
      <c r="A158" s="1" t="s">
        <v>21</v>
      </c>
      <c r="B158" s="1">
        <v>13</v>
      </c>
      <c r="C158" s="1" t="s">
        <v>14</v>
      </c>
      <c r="D158" s="2" t="s">
        <v>11</v>
      </c>
      <c r="E158" s="2" t="s">
        <v>11</v>
      </c>
      <c r="F158" s="2" t="s">
        <v>11</v>
      </c>
      <c r="G158" s="4">
        <v>1051</v>
      </c>
    </row>
    <row r="159" spans="1:7" x14ac:dyDescent="0.35">
      <c r="A159" s="1" t="s">
        <v>21</v>
      </c>
      <c r="B159" s="1">
        <v>14</v>
      </c>
      <c r="C159" s="1" t="s">
        <v>8</v>
      </c>
      <c r="D159" s="2" t="s">
        <v>11</v>
      </c>
      <c r="E159" s="2" t="s">
        <v>11</v>
      </c>
      <c r="F159" s="2" t="s">
        <v>11</v>
      </c>
      <c r="G159" s="4">
        <v>742</v>
      </c>
    </row>
    <row r="160" spans="1:7" x14ac:dyDescent="0.35">
      <c r="A160" s="1" t="s">
        <v>21</v>
      </c>
      <c r="B160" s="1">
        <v>15</v>
      </c>
      <c r="C160" s="1" t="s">
        <v>10</v>
      </c>
      <c r="D160" s="2" t="s">
        <v>11</v>
      </c>
      <c r="E160" s="2" t="s">
        <v>11</v>
      </c>
      <c r="F160" s="2" t="s">
        <v>11</v>
      </c>
      <c r="G160" s="4">
        <v>903</v>
      </c>
    </row>
    <row r="161" spans="1:7" x14ac:dyDescent="0.35">
      <c r="A161" s="1" t="s">
        <v>21</v>
      </c>
      <c r="B161" s="1">
        <v>16</v>
      </c>
      <c r="C161" s="1" t="s">
        <v>12</v>
      </c>
      <c r="D161" s="2" t="s">
        <v>11</v>
      </c>
      <c r="E161" s="2" t="s">
        <v>11</v>
      </c>
      <c r="F161" s="2" t="s">
        <v>11</v>
      </c>
      <c r="G161" s="4">
        <v>793</v>
      </c>
    </row>
    <row r="162" spans="1:7" x14ac:dyDescent="0.35">
      <c r="A162" s="1" t="s">
        <v>21</v>
      </c>
      <c r="B162" s="1">
        <v>17</v>
      </c>
      <c r="C162" s="1" t="s">
        <v>13</v>
      </c>
      <c r="D162" s="2" t="s">
        <v>9</v>
      </c>
      <c r="E162" s="2" t="s">
        <v>11</v>
      </c>
      <c r="F162" s="2" t="s">
        <v>11</v>
      </c>
      <c r="G162" s="4">
        <v>1515</v>
      </c>
    </row>
    <row r="163" spans="1:7" x14ac:dyDescent="0.35">
      <c r="A163" s="1" t="s">
        <v>21</v>
      </c>
      <c r="B163" s="1">
        <v>20</v>
      </c>
      <c r="C163" s="1" t="s">
        <v>14</v>
      </c>
      <c r="D163" s="2" t="s">
        <v>11</v>
      </c>
      <c r="E163" s="2" t="s">
        <v>11</v>
      </c>
      <c r="F163" s="2" t="s">
        <v>11</v>
      </c>
      <c r="G163" s="4">
        <v>1127</v>
      </c>
    </row>
    <row r="164" spans="1:7" x14ac:dyDescent="0.35">
      <c r="A164" s="1" t="s">
        <v>21</v>
      </c>
      <c r="B164" s="1">
        <v>21</v>
      </c>
      <c r="C164" s="1" t="s">
        <v>8</v>
      </c>
      <c r="D164" s="2" t="s">
        <v>11</v>
      </c>
      <c r="E164" s="2" t="s">
        <v>11</v>
      </c>
      <c r="F164" s="2" t="s">
        <v>11</v>
      </c>
      <c r="G164" s="4">
        <v>860</v>
      </c>
    </row>
    <row r="165" spans="1:7" x14ac:dyDescent="0.35">
      <c r="A165" s="1" t="s">
        <v>21</v>
      </c>
      <c r="B165" s="1">
        <v>22</v>
      </c>
      <c r="C165" s="1" t="s">
        <v>10</v>
      </c>
      <c r="D165" s="2" t="s">
        <v>11</v>
      </c>
      <c r="E165" s="2" t="s">
        <v>11</v>
      </c>
      <c r="F165" s="2" t="s">
        <v>11</v>
      </c>
      <c r="G165" s="4">
        <v>778</v>
      </c>
    </row>
    <row r="166" spans="1:7" x14ac:dyDescent="0.35">
      <c r="A166" s="1" t="s">
        <v>21</v>
      </c>
      <c r="B166" s="1">
        <v>23</v>
      </c>
      <c r="C166" s="1" t="s">
        <v>12</v>
      </c>
      <c r="D166" s="2" t="s">
        <v>11</v>
      </c>
      <c r="E166" s="2" t="s">
        <v>11</v>
      </c>
      <c r="F166" s="2" t="s">
        <v>11</v>
      </c>
      <c r="G166" s="4">
        <v>784</v>
      </c>
    </row>
    <row r="167" spans="1:7" x14ac:dyDescent="0.35">
      <c r="A167" s="1" t="s">
        <v>21</v>
      </c>
      <c r="B167" s="1">
        <v>24</v>
      </c>
      <c r="C167" s="1" t="s">
        <v>13</v>
      </c>
      <c r="D167" s="2" t="s">
        <v>11</v>
      </c>
      <c r="E167" s="2" t="s">
        <v>11</v>
      </c>
      <c r="F167" s="2" t="s">
        <v>11</v>
      </c>
      <c r="G167" s="4">
        <v>1060</v>
      </c>
    </row>
    <row r="168" spans="1:7" x14ac:dyDescent="0.35">
      <c r="A168" s="1" t="s">
        <v>21</v>
      </c>
      <c r="B168" s="1">
        <v>27</v>
      </c>
      <c r="C168" s="1" t="s">
        <v>14</v>
      </c>
      <c r="D168" s="2" t="s">
        <v>11</v>
      </c>
      <c r="E168" s="2" t="s">
        <v>11</v>
      </c>
      <c r="F168" s="2" t="s">
        <v>11</v>
      </c>
      <c r="G168" s="4">
        <v>930</v>
      </c>
    </row>
    <row r="169" spans="1:7" x14ac:dyDescent="0.35">
      <c r="A169" s="1" t="s">
        <v>21</v>
      </c>
      <c r="B169" s="1">
        <v>28</v>
      </c>
      <c r="C169" s="1" t="s">
        <v>8</v>
      </c>
      <c r="D169" s="2" t="s">
        <v>11</v>
      </c>
      <c r="E169" s="2" t="s">
        <v>11</v>
      </c>
      <c r="F169" s="2" t="s">
        <v>11</v>
      </c>
      <c r="G169" s="4">
        <v>738</v>
      </c>
    </row>
    <row r="170" spans="1:7" x14ac:dyDescent="0.35">
      <c r="A170" s="1" t="s">
        <v>21</v>
      </c>
      <c r="B170" s="1">
        <v>29</v>
      </c>
      <c r="C170" s="1" t="s">
        <v>10</v>
      </c>
      <c r="D170" s="2" t="s">
        <v>11</v>
      </c>
      <c r="E170" s="2" t="s">
        <v>11</v>
      </c>
      <c r="F170" s="2" t="s">
        <v>11</v>
      </c>
      <c r="G170" s="4">
        <v>660</v>
      </c>
    </row>
    <row r="171" spans="1:7" x14ac:dyDescent="0.35">
      <c r="A171" s="1" t="s">
        <v>21</v>
      </c>
      <c r="B171" s="1">
        <v>30</v>
      </c>
      <c r="C171" s="1" t="s">
        <v>12</v>
      </c>
      <c r="D171" s="2" t="s">
        <v>11</v>
      </c>
      <c r="E171" s="2" t="s">
        <v>11</v>
      </c>
      <c r="F171" s="2" t="s">
        <v>11</v>
      </c>
      <c r="G171" s="4">
        <v>800</v>
      </c>
    </row>
    <row r="172" spans="1:7" x14ac:dyDescent="0.35">
      <c r="A172" s="1" t="s">
        <v>21</v>
      </c>
      <c r="B172" s="1">
        <v>31</v>
      </c>
      <c r="C172" s="1" t="s">
        <v>13</v>
      </c>
      <c r="D172" s="2" t="s">
        <v>9</v>
      </c>
      <c r="E172" s="2" t="s">
        <v>9</v>
      </c>
      <c r="F172" s="2" t="s">
        <v>9</v>
      </c>
      <c r="G172" s="4">
        <v>1897</v>
      </c>
    </row>
    <row r="173" spans="1:7" x14ac:dyDescent="0.35">
      <c r="A173" s="1" t="s">
        <v>22</v>
      </c>
      <c r="B173" s="1">
        <v>4</v>
      </c>
      <c r="C173" s="1" t="s">
        <v>8</v>
      </c>
      <c r="D173" s="2" t="s">
        <v>11</v>
      </c>
      <c r="E173" s="2" t="s">
        <v>11</v>
      </c>
      <c r="F173" s="2" t="s">
        <v>9</v>
      </c>
      <c r="G173" s="4">
        <v>1491</v>
      </c>
    </row>
    <row r="174" spans="1:7" x14ac:dyDescent="0.35">
      <c r="A174" s="1" t="s">
        <v>22</v>
      </c>
      <c r="B174" s="1">
        <v>5</v>
      </c>
      <c r="C174" s="1" t="s">
        <v>10</v>
      </c>
      <c r="D174" s="2" t="s">
        <v>11</v>
      </c>
      <c r="E174" s="2" t="s">
        <v>11</v>
      </c>
      <c r="F174" s="2" t="s">
        <v>11</v>
      </c>
      <c r="G174" s="4">
        <v>859</v>
      </c>
    </row>
    <row r="175" spans="1:7" x14ac:dyDescent="0.35">
      <c r="A175" s="1" t="s">
        <v>22</v>
      </c>
      <c r="B175" s="1">
        <v>6</v>
      </c>
      <c r="C175" s="1" t="s">
        <v>12</v>
      </c>
      <c r="D175" s="2" t="s">
        <v>11</v>
      </c>
      <c r="E175" s="2" t="s">
        <v>11</v>
      </c>
      <c r="F175" s="2" t="s">
        <v>11</v>
      </c>
      <c r="G175" s="4">
        <v>810</v>
      </c>
    </row>
    <row r="176" spans="1:7" x14ac:dyDescent="0.35">
      <c r="A176" s="1" t="s">
        <v>22</v>
      </c>
      <c r="B176" s="1">
        <v>7</v>
      </c>
      <c r="C176" s="1" t="s">
        <v>13</v>
      </c>
      <c r="D176" s="2" t="s">
        <v>11</v>
      </c>
      <c r="E176" s="2" t="s">
        <v>11</v>
      </c>
      <c r="F176" s="2" t="s">
        <v>11</v>
      </c>
      <c r="G176" s="4">
        <v>1173</v>
      </c>
    </row>
    <row r="177" spans="1:7" x14ac:dyDescent="0.35">
      <c r="A177" s="1" t="s">
        <v>22</v>
      </c>
      <c r="B177" s="1">
        <v>10</v>
      </c>
      <c r="C177" s="1" t="s">
        <v>14</v>
      </c>
      <c r="D177" s="2" t="s">
        <v>11</v>
      </c>
      <c r="E177" s="2" t="s">
        <v>11</v>
      </c>
      <c r="F177" s="2" t="s">
        <v>11</v>
      </c>
      <c r="G177" s="4">
        <v>929</v>
      </c>
    </row>
    <row r="178" spans="1:7" x14ac:dyDescent="0.35">
      <c r="A178" s="1" t="s">
        <v>22</v>
      </c>
      <c r="B178" s="1">
        <v>11</v>
      </c>
      <c r="C178" s="1" t="s">
        <v>8</v>
      </c>
      <c r="D178" s="2" t="s">
        <v>11</v>
      </c>
      <c r="E178" s="2" t="s">
        <v>11</v>
      </c>
      <c r="F178" s="2" t="s">
        <v>11</v>
      </c>
      <c r="G178" s="4">
        <v>701</v>
      </c>
    </row>
    <row r="179" spans="1:7" x14ac:dyDescent="0.35">
      <c r="A179" s="1" t="s">
        <v>22</v>
      </c>
      <c r="B179" s="1">
        <v>12</v>
      </c>
      <c r="C179" s="1" t="s">
        <v>10</v>
      </c>
      <c r="D179" s="2" t="s">
        <v>11</v>
      </c>
      <c r="E179" s="2" t="s">
        <v>11</v>
      </c>
      <c r="F179" s="2" t="s">
        <v>11</v>
      </c>
      <c r="G179" s="4">
        <v>647</v>
      </c>
    </row>
    <row r="180" spans="1:7" x14ac:dyDescent="0.35">
      <c r="A180" s="1" t="s">
        <v>22</v>
      </c>
      <c r="B180" s="1">
        <v>13</v>
      </c>
      <c r="C180" s="1" t="s">
        <v>12</v>
      </c>
      <c r="D180" s="2" t="s">
        <v>11</v>
      </c>
      <c r="E180" s="2" t="s">
        <v>11</v>
      </c>
      <c r="F180" s="2" t="s">
        <v>11</v>
      </c>
      <c r="G180" s="4">
        <v>851</v>
      </c>
    </row>
    <row r="181" spans="1:7" x14ac:dyDescent="0.35">
      <c r="A181" s="1" t="s">
        <v>22</v>
      </c>
      <c r="B181" s="1">
        <v>14</v>
      </c>
      <c r="C181" s="1" t="s">
        <v>13</v>
      </c>
      <c r="D181" s="2" t="s">
        <v>9</v>
      </c>
      <c r="E181" s="2" t="s">
        <v>11</v>
      </c>
      <c r="F181" s="2" t="s">
        <v>11</v>
      </c>
      <c r="G181" s="4">
        <v>1559</v>
      </c>
    </row>
    <row r="182" spans="1:7" x14ac:dyDescent="0.35">
      <c r="A182" s="1" t="s">
        <v>22</v>
      </c>
      <c r="B182" s="1">
        <v>17</v>
      </c>
      <c r="C182" s="1" t="s">
        <v>14</v>
      </c>
      <c r="D182" s="2" t="s">
        <v>11</v>
      </c>
      <c r="E182" s="2" t="s">
        <v>11</v>
      </c>
      <c r="F182" s="2" t="s">
        <v>11</v>
      </c>
      <c r="G182" s="4">
        <v>1090</v>
      </c>
    </row>
    <row r="183" spans="1:7" x14ac:dyDescent="0.35">
      <c r="A183" s="1" t="s">
        <v>22</v>
      </c>
      <c r="B183" s="1">
        <v>18</v>
      </c>
      <c r="C183" s="1" t="s">
        <v>8</v>
      </c>
      <c r="D183" s="2" t="s">
        <v>11</v>
      </c>
      <c r="E183" s="2" t="s">
        <v>11</v>
      </c>
      <c r="F183" s="2" t="s">
        <v>11</v>
      </c>
      <c r="G183" s="4">
        <v>404</v>
      </c>
    </row>
    <row r="184" spans="1:7" x14ac:dyDescent="0.35">
      <c r="A184" s="1" t="s">
        <v>22</v>
      </c>
      <c r="B184" s="1">
        <v>19</v>
      </c>
      <c r="C184" s="1" t="s">
        <v>10</v>
      </c>
      <c r="D184" s="2" t="s">
        <v>11</v>
      </c>
      <c r="E184" s="2" t="s">
        <v>11</v>
      </c>
      <c r="F184" s="2" t="s">
        <v>11</v>
      </c>
      <c r="G184" s="4">
        <v>586</v>
      </c>
    </row>
    <row r="185" spans="1:7" x14ac:dyDescent="0.35">
      <c r="A185" s="1" t="s">
        <v>22</v>
      </c>
      <c r="B185" s="1">
        <v>20</v>
      </c>
      <c r="C185" s="1" t="s">
        <v>12</v>
      </c>
      <c r="D185" s="2" t="s">
        <v>11</v>
      </c>
      <c r="E185" s="2" t="s">
        <v>11</v>
      </c>
      <c r="F185" s="2" t="s">
        <v>11</v>
      </c>
      <c r="G185" s="4">
        <v>683</v>
      </c>
    </row>
    <row r="186" spans="1:7" x14ac:dyDescent="0.35">
      <c r="A186" s="1" t="s">
        <v>22</v>
      </c>
      <c r="B186" s="1">
        <v>21</v>
      </c>
      <c r="C186" s="1" t="s">
        <v>13</v>
      </c>
      <c r="D186" s="2" t="s">
        <v>11</v>
      </c>
      <c r="E186" s="2" t="s">
        <v>11</v>
      </c>
      <c r="F186" s="2" t="s">
        <v>11</v>
      </c>
      <c r="G186" s="4">
        <v>1124</v>
      </c>
    </row>
    <row r="187" spans="1:7" x14ac:dyDescent="0.35">
      <c r="A187" s="1" t="s">
        <v>22</v>
      </c>
      <c r="B187" s="1">
        <v>24</v>
      </c>
      <c r="C187" s="1" t="s">
        <v>14</v>
      </c>
      <c r="D187" s="2" t="s">
        <v>11</v>
      </c>
      <c r="E187" s="2" t="s">
        <v>11</v>
      </c>
      <c r="F187" s="2" t="s">
        <v>11</v>
      </c>
      <c r="G187" s="4">
        <v>953</v>
      </c>
    </row>
    <row r="188" spans="1:7" x14ac:dyDescent="0.35">
      <c r="A188" s="1" t="s">
        <v>22</v>
      </c>
      <c r="B188" s="1">
        <v>25</v>
      </c>
      <c r="C188" s="1" t="s">
        <v>8</v>
      </c>
      <c r="D188" s="2" t="s">
        <v>11</v>
      </c>
      <c r="E188" s="2" t="s">
        <v>11</v>
      </c>
      <c r="F188" s="2" t="s">
        <v>11</v>
      </c>
      <c r="G188" s="4">
        <v>697</v>
      </c>
    </row>
    <row r="189" spans="1:7" x14ac:dyDescent="0.35">
      <c r="A189" s="1" t="s">
        <v>22</v>
      </c>
      <c r="B189" s="1">
        <v>26</v>
      </c>
      <c r="C189" s="1" t="s">
        <v>10</v>
      </c>
      <c r="D189" s="2" t="s">
        <v>11</v>
      </c>
      <c r="E189" s="2" t="s">
        <v>11</v>
      </c>
      <c r="F189" s="2" t="s">
        <v>11</v>
      </c>
      <c r="G189" s="4">
        <v>727</v>
      </c>
    </row>
    <row r="190" spans="1:7" x14ac:dyDescent="0.35">
      <c r="A190" s="1" t="s">
        <v>22</v>
      </c>
      <c r="B190" s="1">
        <v>27</v>
      </c>
      <c r="C190" s="1" t="s">
        <v>12</v>
      </c>
      <c r="D190" s="2" t="s">
        <v>11</v>
      </c>
      <c r="E190" s="2" t="s">
        <v>11</v>
      </c>
      <c r="F190" s="2" t="s">
        <v>11</v>
      </c>
      <c r="G190" s="4">
        <v>678</v>
      </c>
    </row>
    <row r="191" spans="1:7" x14ac:dyDescent="0.35">
      <c r="A191" s="1" t="s">
        <v>22</v>
      </c>
      <c r="B191" s="1">
        <v>28</v>
      </c>
      <c r="C191" s="1" t="s">
        <v>13</v>
      </c>
      <c r="D191" s="2" t="s">
        <v>9</v>
      </c>
      <c r="E191" s="2" t="s">
        <v>11</v>
      </c>
      <c r="F191" s="2" t="s">
        <v>11</v>
      </c>
      <c r="G191" s="4">
        <v>1761</v>
      </c>
    </row>
    <row r="192" spans="1:7" x14ac:dyDescent="0.35">
      <c r="A192" s="1" t="s">
        <v>23</v>
      </c>
      <c r="B192" s="1">
        <v>1</v>
      </c>
      <c r="C192" s="1" t="s">
        <v>14</v>
      </c>
      <c r="D192" s="2" t="s">
        <v>11</v>
      </c>
      <c r="E192" s="2" t="s">
        <v>9</v>
      </c>
      <c r="F192" s="2" t="s">
        <v>11</v>
      </c>
      <c r="G192" s="4">
        <v>1615</v>
      </c>
    </row>
    <row r="193" spans="1:7" x14ac:dyDescent="0.35">
      <c r="A193" s="1" t="s">
        <v>23</v>
      </c>
      <c r="B193" s="1">
        <v>2</v>
      </c>
      <c r="C193" s="1" t="s">
        <v>8</v>
      </c>
      <c r="D193" s="2" t="s">
        <v>11</v>
      </c>
      <c r="E193" s="2" t="s">
        <v>11</v>
      </c>
      <c r="F193" s="2" t="s">
        <v>11</v>
      </c>
      <c r="G193" s="4">
        <v>1019</v>
      </c>
    </row>
    <row r="194" spans="1:7" x14ac:dyDescent="0.35">
      <c r="A194" s="1" t="s">
        <v>23</v>
      </c>
      <c r="B194" s="1">
        <v>3</v>
      </c>
      <c r="C194" s="1" t="s">
        <v>10</v>
      </c>
      <c r="D194" s="2" t="s">
        <v>11</v>
      </c>
      <c r="E194" s="2" t="s">
        <v>11</v>
      </c>
      <c r="F194" s="2" t="s">
        <v>11</v>
      </c>
      <c r="G194" s="4">
        <v>854</v>
      </c>
    </row>
    <row r="195" spans="1:7" x14ac:dyDescent="0.35">
      <c r="A195" s="1" t="s">
        <v>23</v>
      </c>
      <c r="B195" s="1">
        <v>4</v>
      </c>
      <c r="C195" s="1" t="s">
        <v>12</v>
      </c>
      <c r="D195" s="2" t="s">
        <v>11</v>
      </c>
      <c r="E195" s="2" t="s">
        <v>11</v>
      </c>
      <c r="F195" s="2" t="s">
        <v>11</v>
      </c>
      <c r="G195" s="4">
        <v>897</v>
      </c>
    </row>
    <row r="196" spans="1:7" x14ac:dyDescent="0.35">
      <c r="A196" s="1" t="s">
        <v>23</v>
      </c>
      <c r="B196" s="1">
        <v>5</v>
      </c>
      <c r="C196" s="1" t="s">
        <v>13</v>
      </c>
      <c r="D196" s="2" t="s">
        <v>11</v>
      </c>
      <c r="E196" s="2" t="s">
        <v>11</v>
      </c>
      <c r="F196" s="2" t="s">
        <v>11</v>
      </c>
      <c r="G196" s="4">
        <v>1307</v>
      </c>
    </row>
    <row r="197" spans="1:7" x14ac:dyDescent="0.35">
      <c r="A197" s="1" t="s">
        <v>23</v>
      </c>
      <c r="B197" s="1">
        <v>8</v>
      </c>
      <c r="C197" s="1" t="s">
        <v>14</v>
      </c>
      <c r="D197" s="2" t="s">
        <v>11</v>
      </c>
      <c r="E197" s="2" t="s">
        <v>11</v>
      </c>
      <c r="F197" s="2" t="s">
        <v>11</v>
      </c>
      <c r="G197" s="4">
        <v>796</v>
      </c>
    </row>
    <row r="198" spans="1:7" x14ac:dyDescent="0.35">
      <c r="A198" s="1" t="s">
        <v>23</v>
      </c>
      <c r="B198" s="1">
        <v>9</v>
      </c>
      <c r="C198" s="1" t="s">
        <v>8</v>
      </c>
      <c r="D198" s="2" t="s">
        <v>11</v>
      </c>
      <c r="E198" s="2" t="s">
        <v>11</v>
      </c>
      <c r="F198" s="2" t="s">
        <v>11</v>
      </c>
      <c r="G198" s="4">
        <v>648</v>
      </c>
    </row>
    <row r="199" spans="1:7" x14ac:dyDescent="0.35">
      <c r="A199" s="1" t="s">
        <v>23</v>
      </c>
      <c r="B199" s="1">
        <v>10</v>
      </c>
      <c r="C199" s="1" t="s">
        <v>10</v>
      </c>
      <c r="D199" s="2" t="s">
        <v>11</v>
      </c>
      <c r="E199" s="2" t="s">
        <v>11</v>
      </c>
      <c r="F199" s="2" t="s">
        <v>11</v>
      </c>
      <c r="G199" s="4">
        <v>735</v>
      </c>
    </row>
    <row r="200" spans="1:7" x14ac:dyDescent="0.35">
      <c r="A200" s="1" t="s">
        <v>23</v>
      </c>
      <c r="B200" s="1">
        <v>11</v>
      </c>
      <c r="C200" s="1" t="s">
        <v>12</v>
      </c>
      <c r="D200" s="2" t="s">
        <v>11</v>
      </c>
      <c r="E200" s="2" t="s">
        <v>11</v>
      </c>
      <c r="F200" s="2" t="s">
        <v>11</v>
      </c>
      <c r="G200" s="4">
        <v>843</v>
      </c>
    </row>
    <row r="201" spans="1:7" x14ac:dyDescent="0.35">
      <c r="A201" s="1" t="s">
        <v>23</v>
      </c>
      <c r="B201" s="1">
        <v>12</v>
      </c>
      <c r="C201" s="1" t="s">
        <v>13</v>
      </c>
      <c r="D201" s="2" t="s">
        <v>9</v>
      </c>
      <c r="E201" s="2" t="s">
        <v>11</v>
      </c>
      <c r="F201" s="2" t="s">
        <v>11</v>
      </c>
      <c r="G201" s="4">
        <v>1759</v>
      </c>
    </row>
    <row r="202" spans="1:7" x14ac:dyDescent="0.35">
      <c r="A202" s="1" t="s">
        <v>23</v>
      </c>
      <c r="B202" s="1">
        <v>15</v>
      </c>
      <c r="C202" s="1" t="s">
        <v>14</v>
      </c>
      <c r="D202" s="2" t="s">
        <v>11</v>
      </c>
      <c r="E202" s="2" t="s">
        <v>11</v>
      </c>
      <c r="F202" s="2" t="s">
        <v>11</v>
      </c>
      <c r="G202" s="4">
        <v>1151</v>
      </c>
    </row>
    <row r="203" spans="1:7" x14ac:dyDescent="0.35">
      <c r="A203" s="1" t="s">
        <v>23</v>
      </c>
      <c r="B203" s="1">
        <v>16</v>
      </c>
      <c r="C203" s="1" t="s">
        <v>8</v>
      </c>
      <c r="D203" s="2" t="s">
        <v>11</v>
      </c>
      <c r="E203" s="2" t="s">
        <v>11</v>
      </c>
      <c r="F203" s="2" t="s">
        <v>11</v>
      </c>
      <c r="G203" s="4">
        <v>752</v>
      </c>
    </row>
    <row r="204" spans="1:7" x14ac:dyDescent="0.35">
      <c r="A204" s="1" t="s">
        <v>23</v>
      </c>
      <c r="B204" s="1">
        <v>17</v>
      </c>
      <c r="C204" s="1" t="s">
        <v>10</v>
      </c>
      <c r="D204" s="2" t="s">
        <v>11</v>
      </c>
      <c r="E204" s="2" t="s">
        <v>11</v>
      </c>
      <c r="F204" s="2" t="s">
        <v>11</v>
      </c>
      <c r="G204" s="4">
        <v>693</v>
      </c>
    </row>
    <row r="205" spans="1:7" x14ac:dyDescent="0.35">
      <c r="A205" s="1" t="s">
        <v>23</v>
      </c>
      <c r="B205" s="1">
        <v>18</v>
      </c>
      <c r="C205" s="1" t="s">
        <v>12</v>
      </c>
      <c r="D205" s="2" t="s">
        <v>11</v>
      </c>
      <c r="E205" s="2" t="s">
        <v>11</v>
      </c>
      <c r="F205" s="2" t="s">
        <v>11</v>
      </c>
      <c r="G205" s="4">
        <v>649</v>
      </c>
    </row>
    <row r="206" spans="1:7" x14ac:dyDescent="0.35">
      <c r="A206" s="1" t="s">
        <v>23</v>
      </c>
      <c r="B206" s="1">
        <v>19</v>
      </c>
      <c r="C206" s="1" t="s">
        <v>13</v>
      </c>
      <c r="D206" s="2" t="s">
        <v>11</v>
      </c>
      <c r="E206" s="2" t="s">
        <v>11</v>
      </c>
      <c r="F206" s="2" t="s">
        <v>11</v>
      </c>
      <c r="G206" s="4">
        <v>1158</v>
      </c>
    </row>
    <row r="207" spans="1:7" x14ac:dyDescent="0.35">
      <c r="A207" s="1" t="s">
        <v>23</v>
      </c>
      <c r="B207" s="1">
        <v>22</v>
      </c>
      <c r="C207" s="1" t="s">
        <v>14</v>
      </c>
      <c r="D207" s="2" t="s">
        <v>11</v>
      </c>
      <c r="E207" s="2" t="s">
        <v>11</v>
      </c>
      <c r="F207" s="2" t="s">
        <v>11</v>
      </c>
      <c r="G207" s="4">
        <v>931</v>
      </c>
    </row>
    <row r="208" spans="1:7" x14ac:dyDescent="0.35">
      <c r="A208" s="1" t="s">
        <v>23</v>
      </c>
      <c r="B208" s="1">
        <v>23</v>
      </c>
      <c r="C208" s="1" t="s">
        <v>8</v>
      </c>
      <c r="D208" s="2" t="s">
        <v>11</v>
      </c>
      <c r="E208" s="2" t="s">
        <v>11</v>
      </c>
      <c r="F208" s="2" t="s">
        <v>11</v>
      </c>
      <c r="G208" s="4">
        <v>761</v>
      </c>
    </row>
    <row r="209" spans="1:7" x14ac:dyDescent="0.35">
      <c r="A209" s="1" t="s">
        <v>23</v>
      </c>
      <c r="B209" s="1">
        <v>24</v>
      </c>
      <c r="C209" s="1" t="s">
        <v>10</v>
      </c>
      <c r="D209" s="2" t="s">
        <v>11</v>
      </c>
      <c r="E209" s="2" t="s">
        <v>11</v>
      </c>
      <c r="F209" s="2" t="s">
        <v>11</v>
      </c>
      <c r="G209" s="4">
        <v>670</v>
      </c>
    </row>
    <row r="210" spans="1:7" x14ac:dyDescent="0.35">
      <c r="A210" s="1" t="s">
        <v>23</v>
      </c>
      <c r="B210" s="1">
        <v>25</v>
      </c>
      <c r="C210" s="1" t="s">
        <v>12</v>
      </c>
      <c r="D210" s="2" t="s">
        <v>11</v>
      </c>
      <c r="E210" s="2" t="s">
        <v>11</v>
      </c>
      <c r="F210" s="2" t="s">
        <v>11</v>
      </c>
      <c r="G210" s="4">
        <v>820</v>
      </c>
    </row>
    <row r="211" spans="1:7" x14ac:dyDescent="0.35">
      <c r="A211" s="1" t="s">
        <v>23</v>
      </c>
      <c r="B211" s="1">
        <v>26</v>
      </c>
      <c r="C211" s="1" t="s">
        <v>13</v>
      </c>
      <c r="D211" s="2" t="s">
        <v>9</v>
      </c>
      <c r="E211" s="2" t="s">
        <v>11</v>
      </c>
      <c r="F211" s="2" t="s">
        <v>11</v>
      </c>
      <c r="G211" s="4">
        <v>1543</v>
      </c>
    </row>
    <row r="212" spans="1:7" x14ac:dyDescent="0.35">
      <c r="A212" s="1" t="s">
        <v>23</v>
      </c>
      <c r="B212" s="1">
        <v>29</v>
      </c>
      <c r="C212" s="1" t="s">
        <v>14</v>
      </c>
      <c r="D212" s="2" t="s">
        <v>11</v>
      </c>
      <c r="E212" s="2" t="s">
        <v>11</v>
      </c>
      <c r="F212" s="2" t="s">
        <v>11</v>
      </c>
      <c r="G212" s="4">
        <v>974</v>
      </c>
    </row>
    <row r="213" spans="1:7" x14ac:dyDescent="0.35">
      <c r="A213" s="1" t="s">
        <v>23</v>
      </c>
      <c r="B213" s="1">
        <v>30</v>
      </c>
      <c r="C213" s="1" t="s">
        <v>8</v>
      </c>
      <c r="D213" s="2" t="s">
        <v>11</v>
      </c>
      <c r="E213" s="2" t="s">
        <v>11</v>
      </c>
      <c r="F213" s="2" t="s">
        <v>11</v>
      </c>
      <c r="G213" s="4">
        <v>685</v>
      </c>
    </row>
    <row r="214" spans="1:7" x14ac:dyDescent="0.35">
      <c r="A214" s="1" t="s">
        <v>23</v>
      </c>
      <c r="B214" s="1">
        <v>31</v>
      </c>
      <c r="C214" s="1" t="s">
        <v>10</v>
      </c>
      <c r="D214" s="2" t="s">
        <v>11</v>
      </c>
      <c r="E214" s="2" t="s">
        <v>11</v>
      </c>
      <c r="F214" s="2" t="s">
        <v>11</v>
      </c>
      <c r="G214" s="4">
        <v>848</v>
      </c>
    </row>
    <row r="215" spans="1:7" x14ac:dyDescent="0.35">
      <c r="A215" s="1" t="s">
        <v>24</v>
      </c>
      <c r="B215" s="1">
        <v>1</v>
      </c>
      <c r="C215" s="1" t="s">
        <v>12</v>
      </c>
      <c r="D215" s="2" t="s">
        <v>11</v>
      </c>
      <c r="E215" s="2" t="s">
        <v>9</v>
      </c>
      <c r="F215" s="2" t="s">
        <v>11</v>
      </c>
      <c r="G215" s="4">
        <v>1406</v>
      </c>
    </row>
    <row r="216" spans="1:7" x14ac:dyDescent="0.35">
      <c r="A216" s="1" t="s">
        <v>24</v>
      </c>
      <c r="B216" s="1">
        <v>2</v>
      </c>
      <c r="C216" s="1" t="s">
        <v>13</v>
      </c>
      <c r="D216" s="2" t="s">
        <v>11</v>
      </c>
      <c r="E216" s="2" t="s">
        <v>11</v>
      </c>
      <c r="F216" s="2" t="s">
        <v>11</v>
      </c>
      <c r="G216" s="4">
        <v>1578</v>
      </c>
    </row>
    <row r="217" spans="1:7" x14ac:dyDescent="0.35">
      <c r="A217" s="1" t="s">
        <v>24</v>
      </c>
      <c r="B217" s="1">
        <v>5</v>
      </c>
      <c r="C217" s="1" t="s">
        <v>14</v>
      </c>
      <c r="D217" s="2" t="s">
        <v>11</v>
      </c>
      <c r="E217" s="2" t="s">
        <v>11</v>
      </c>
      <c r="F217" s="2" t="s">
        <v>11</v>
      </c>
      <c r="G217" s="4">
        <v>1004</v>
      </c>
    </row>
    <row r="218" spans="1:7" x14ac:dyDescent="0.35">
      <c r="A218" s="1" t="s">
        <v>24</v>
      </c>
      <c r="B218" s="1">
        <v>6</v>
      </c>
      <c r="C218" s="1" t="s">
        <v>8</v>
      </c>
      <c r="D218" s="2" t="s">
        <v>11</v>
      </c>
      <c r="E218" s="2" t="s">
        <v>11</v>
      </c>
      <c r="F218" s="2" t="s">
        <v>11</v>
      </c>
      <c r="G218" s="4">
        <v>742</v>
      </c>
    </row>
    <row r="219" spans="1:7" x14ac:dyDescent="0.35">
      <c r="A219" s="1" t="s">
        <v>24</v>
      </c>
      <c r="B219" s="1">
        <v>7</v>
      </c>
      <c r="C219" s="1" t="s">
        <v>10</v>
      </c>
      <c r="D219" s="2" t="s">
        <v>11</v>
      </c>
      <c r="E219" s="2" t="s">
        <v>11</v>
      </c>
      <c r="F219" s="2" t="s">
        <v>11</v>
      </c>
      <c r="G219" s="4">
        <v>685</v>
      </c>
    </row>
    <row r="220" spans="1:7" x14ac:dyDescent="0.35">
      <c r="A220" s="1" t="s">
        <v>24</v>
      </c>
      <c r="B220" s="1">
        <v>8</v>
      </c>
      <c r="C220" s="1" t="s">
        <v>12</v>
      </c>
      <c r="D220" s="2" t="s">
        <v>11</v>
      </c>
      <c r="E220" s="2" t="s">
        <v>11</v>
      </c>
      <c r="F220" s="2" t="s">
        <v>11</v>
      </c>
      <c r="G220" s="4">
        <v>800</v>
      </c>
    </row>
    <row r="221" spans="1:7" x14ac:dyDescent="0.35">
      <c r="A221" s="1" t="s">
        <v>24</v>
      </c>
      <c r="B221" s="1">
        <v>9</v>
      </c>
      <c r="C221" s="1" t="s">
        <v>13</v>
      </c>
      <c r="D221" s="2" t="s">
        <v>9</v>
      </c>
      <c r="E221" s="2" t="s">
        <v>11</v>
      </c>
      <c r="F221" s="2" t="s">
        <v>11</v>
      </c>
      <c r="G221" s="4">
        <v>1454</v>
      </c>
    </row>
    <row r="222" spans="1:7" x14ac:dyDescent="0.35">
      <c r="A222" s="1" t="s">
        <v>24</v>
      </c>
      <c r="B222" s="1">
        <v>12</v>
      </c>
      <c r="C222" s="1" t="s">
        <v>14</v>
      </c>
      <c r="D222" s="2" t="s">
        <v>11</v>
      </c>
      <c r="E222" s="2" t="s">
        <v>11</v>
      </c>
      <c r="F222" s="2" t="s">
        <v>11</v>
      </c>
      <c r="G222" s="4">
        <v>890</v>
      </c>
    </row>
    <row r="223" spans="1:7" x14ac:dyDescent="0.35">
      <c r="A223" s="1" t="s">
        <v>24</v>
      </c>
      <c r="B223" s="1">
        <v>13</v>
      </c>
      <c r="C223" s="1" t="s">
        <v>8</v>
      </c>
      <c r="D223" s="2" t="s">
        <v>11</v>
      </c>
      <c r="E223" s="2" t="s">
        <v>11</v>
      </c>
      <c r="F223" s="2" t="s">
        <v>11</v>
      </c>
      <c r="G223" s="4">
        <v>693</v>
      </c>
    </row>
    <row r="224" spans="1:7" x14ac:dyDescent="0.35">
      <c r="A224" s="1" t="s">
        <v>24</v>
      </c>
      <c r="B224" s="1">
        <v>14</v>
      </c>
      <c r="C224" s="1" t="s">
        <v>10</v>
      </c>
      <c r="D224" s="2" t="s">
        <v>11</v>
      </c>
      <c r="E224" s="2" t="s">
        <v>11</v>
      </c>
      <c r="F224" s="2" t="s">
        <v>11</v>
      </c>
      <c r="G224" s="4">
        <v>693</v>
      </c>
    </row>
    <row r="225" spans="1:7" x14ac:dyDescent="0.35">
      <c r="A225" s="1" t="s">
        <v>24</v>
      </c>
      <c r="B225" s="1">
        <v>15</v>
      </c>
      <c r="C225" s="1" t="s">
        <v>12</v>
      </c>
      <c r="D225" s="2" t="s">
        <v>11</v>
      </c>
      <c r="E225" s="2" t="s">
        <v>11</v>
      </c>
      <c r="F225" s="2" t="s">
        <v>11</v>
      </c>
      <c r="G225" s="4">
        <v>914</v>
      </c>
    </row>
    <row r="226" spans="1:7" x14ac:dyDescent="0.35">
      <c r="A226" s="1" t="s">
        <v>24</v>
      </c>
      <c r="B226" s="1">
        <v>16</v>
      </c>
      <c r="C226" s="1" t="s">
        <v>13</v>
      </c>
      <c r="D226" s="2" t="s">
        <v>11</v>
      </c>
      <c r="E226" s="2" t="s">
        <v>11</v>
      </c>
      <c r="F226" s="2" t="s">
        <v>11</v>
      </c>
      <c r="G226" s="4">
        <v>1271</v>
      </c>
    </row>
    <row r="227" spans="1:7" x14ac:dyDescent="0.35">
      <c r="A227" s="1" t="s">
        <v>24</v>
      </c>
      <c r="B227" s="1">
        <v>19</v>
      </c>
      <c r="C227" s="1" t="s">
        <v>14</v>
      </c>
      <c r="D227" s="2" t="s">
        <v>11</v>
      </c>
      <c r="E227" s="2" t="s">
        <v>11</v>
      </c>
      <c r="F227" s="2" t="s">
        <v>11</v>
      </c>
      <c r="G227" s="4">
        <v>1031</v>
      </c>
    </row>
    <row r="228" spans="1:7" x14ac:dyDescent="0.35">
      <c r="A228" s="1" t="s">
        <v>24</v>
      </c>
      <c r="B228" s="1">
        <v>20</v>
      </c>
      <c r="C228" s="1" t="s">
        <v>8</v>
      </c>
      <c r="D228" s="2" t="s">
        <v>11</v>
      </c>
      <c r="E228" s="2" t="s">
        <v>11</v>
      </c>
      <c r="F228" s="2" t="s">
        <v>11</v>
      </c>
      <c r="G228" s="4">
        <v>949</v>
      </c>
    </row>
    <row r="229" spans="1:7" x14ac:dyDescent="0.35">
      <c r="A229" s="1" t="s">
        <v>24</v>
      </c>
      <c r="B229" s="1">
        <v>21</v>
      </c>
      <c r="C229" s="1" t="s">
        <v>10</v>
      </c>
      <c r="D229" s="2" t="s">
        <v>11</v>
      </c>
      <c r="E229" s="2" t="s">
        <v>11</v>
      </c>
      <c r="F229" s="2" t="s">
        <v>9</v>
      </c>
      <c r="G229" s="4">
        <v>1356</v>
      </c>
    </row>
    <row r="230" spans="1:7" x14ac:dyDescent="0.35">
      <c r="A230" s="1" t="s">
        <v>24</v>
      </c>
      <c r="B230" s="1">
        <v>23</v>
      </c>
      <c r="C230" s="1" t="s">
        <v>13</v>
      </c>
      <c r="D230" s="2" t="s">
        <v>11</v>
      </c>
      <c r="E230" s="2" t="s">
        <v>11</v>
      </c>
      <c r="F230" s="2" t="s">
        <v>9</v>
      </c>
      <c r="G230" s="4">
        <v>1085</v>
      </c>
    </row>
    <row r="231" spans="1:7" x14ac:dyDescent="0.35">
      <c r="A231" s="1" t="s">
        <v>24</v>
      </c>
      <c r="B231" s="1">
        <v>26</v>
      </c>
      <c r="C231" s="1" t="s">
        <v>14</v>
      </c>
      <c r="D231" s="2" t="s">
        <v>11</v>
      </c>
      <c r="E231" s="2" t="s">
        <v>11</v>
      </c>
      <c r="F231" s="2" t="s">
        <v>11</v>
      </c>
      <c r="G231" s="4">
        <v>1063</v>
      </c>
    </row>
    <row r="232" spans="1:7" x14ac:dyDescent="0.35">
      <c r="A232" s="1" t="s">
        <v>24</v>
      </c>
      <c r="B232" s="1">
        <v>27</v>
      </c>
      <c r="C232" s="1" t="s">
        <v>8</v>
      </c>
      <c r="D232" s="2" t="s">
        <v>11</v>
      </c>
      <c r="E232" s="2" t="s">
        <v>11</v>
      </c>
      <c r="F232" s="2" t="s">
        <v>11</v>
      </c>
      <c r="G232" s="4">
        <v>797</v>
      </c>
    </row>
    <row r="233" spans="1:7" x14ac:dyDescent="0.35">
      <c r="A233" s="1" t="s">
        <v>24</v>
      </c>
      <c r="B233" s="1">
        <v>28</v>
      </c>
      <c r="C233" s="1" t="s">
        <v>10</v>
      </c>
      <c r="D233" s="2" t="s">
        <v>11</v>
      </c>
      <c r="E233" s="2" t="s">
        <v>11</v>
      </c>
      <c r="F233" s="2" t="s">
        <v>11</v>
      </c>
      <c r="G233" s="4">
        <v>632</v>
      </c>
    </row>
    <row r="234" spans="1:7" x14ac:dyDescent="0.35">
      <c r="A234" s="1" t="s">
        <v>24</v>
      </c>
      <c r="B234" s="1">
        <v>29</v>
      </c>
      <c r="C234" s="1" t="s">
        <v>12</v>
      </c>
      <c r="D234" s="2" t="s">
        <v>11</v>
      </c>
      <c r="E234" s="2" t="s">
        <v>11</v>
      </c>
      <c r="F234" s="2" t="s">
        <v>11</v>
      </c>
      <c r="G234" s="4">
        <v>698</v>
      </c>
    </row>
    <row r="235" spans="1:7" x14ac:dyDescent="0.35">
      <c r="A235" s="1" t="s">
        <v>24</v>
      </c>
      <c r="B235" s="1">
        <v>30</v>
      </c>
      <c r="C235" s="1" t="s">
        <v>13</v>
      </c>
      <c r="D235" s="2" t="s">
        <v>11</v>
      </c>
      <c r="E235" s="2" t="s">
        <v>9</v>
      </c>
      <c r="F235" s="2" t="s">
        <v>11</v>
      </c>
      <c r="G235" s="4">
        <v>1691</v>
      </c>
    </row>
    <row r="236" spans="1:7" x14ac:dyDescent="0.35">
      <c r="A236" s="1" t="s">
        <v>25</v>
      </c>
      <c r="B236" s="1">
        <v>3</v>
      </c>
      <c r="C236" s="1" t="s">
        <v>14</v>
      </c>
      <c r="D236" s="2" t="s">
        <v>11</v>
      </c>
      <c r="E236" s="2" t="s">
        <v>11</v>
      </c>
      <c r="F236" s="2" t="s">
        <v>11</v>
      </c>
      <c r="G236" s="4">
        <v>1504</v>
      </c>
    </row>
    <row r="237" spans="1:7" x14ac:dyDescent="0.35">
      <c r="A237" s="1" t="s">
        <v>25</v>
      </c>
      <c r="B237" s="1">
        <v>4</v>
      </c>
      <c r="C237" s="1" t="s">
        <v>8</v>
      </c>
      <c r="D237" s="2" t="s">
        <v>11</v>
      </c>
      <c r="E237" s="2" t="s">
        <v>11</v>
      </c>
      <c r="F237" s="2" t="s">
        <v>11</v>
      </c>
      <c r="G237" s="4">
        <v>828</v>
      </c>
    </row>
    <row r="238" spans="1:7" x14ac:dyDescent="0.35">
      <c r="A238" s="1" t="s">
        <v>25</v>
      </c>
      <c r="B238" s="1">
        <v>5</v>
      </c>
      <c r="C238" s="1" t="s">
        <v>10</v>
      </c>
      <c r="D238" s="2" t="s">
        <v>11</v>
      </c>
      <c r="E238" s="2" t="s">
        <v>11</v>
      </c>
      <c r="F238" s="2" t="s">
        <v>11</v>
      </c>
      <c r="G238" s="4">
        <v>863</v>
      </c>
    </row>
    <row r="239" spans="1:7" x14ac:dyDescent="0.35">
      <c r="A239" s="1" t="s">
        <v>25</v>
      </c>
      <c r="B239" s="1">
        <v>6</v>
      </c>
      <c r="C239" s="1" t="s">
        <v>12</v>
      </c>
      <c r="D239" s="2" t="s">
        <v>11</v>
      </c>
      <c r="E239" s="2" t="s">
        <v>11</v>
      </c>
      <c r="F239" s="2" t="s">
        <v>11</v>
      </c>
      <c r="G239" s="4">
        <v>957</v>
      </c>
    </row>
    <row r="240" spans="1:7" x14ac:dyDescent="0.35">
      <c r="A240" s="1" t="s">
        <v>25</v>
      </c>
      <c r="B240" s="1">
        <v>7</v>
      </c>
      <c r="C240" s="1" t="s">
        <v>13</v>
      </c>
      <c r="D240" s="2" t="s">
        <v>9</v>
      </c>
      <c r="E240" s="2" t="s">
        <v>11</v>
      </c>
      <c r="F240" s="2" t="s">
        <v>11</v>
      </c>
      <c r="G240" s="4">
        <v>1585</v>
      </c>
    </row>
    <row r="241" spans="1:7" x14ac:dyDescent="0.35">
      <c r="A241" s="1" t="s">
        <v>25</v>
      </c>
      <c r="B241" s="1">
        <v>10</v>
      </c>
      <c r="C241" s="1" t="s">
        <v>14</v>
      </c>
      <c r="D241" s="2" t="s">
        <v>11</v>
      </c>
      <c r="E241" s="2" t="s">
        <v>11</v>
      </c>
      <c r="F241" s="2" t="s">
        <v>11</v>
      </c>
      <c r="G241" s="4">
        <v>1126</v>
      </c>
    </row>
    <row r="242" spans="1:7" x14ac:dyDescent="0.35">
      <c r="A242" s="1" t="s">
        <v>25</v>
      </c>
      <c r="B242" s="1">
        <v>11</v>
      </c>
      <c r="C242" s="1" t="s">
        <v>8</v>
      </c>
      <c r="D242" s="2" t="s">
        <v>11</v>
      </c>
      <c r="E242" s="2" t="s">
        <v>11</v>
      </c>
      <c r="F242" s="2" t="s">
        <v>11</v>
      </c>
      <c r="G242" s="4">
        <v>896</v>
      </c>
    </row>
    <row r="243" spans="1:7" x14ac:dyDescent="0.35">
      <c r="A243" s="1" t="s">
        <v>25</v>
      </c>
      <c r="B243" s="1">
        <v>12</v>
      </c>
      <c r="C243" s="1" t="s">
        <v>10</v>
      </c>
      <c r="D243" s="2" t="s">
        <v>11</v>
      </c>
      <c r="E243" s="2" t="s">
        <v>11</v>
      </c>
      <c r="F243" s="2" t="s">
        <v>11</v>
      </c>
      <c r="G243" s="4">
        <v>870</v>
      </c>
    </row>
    <row r="244" spans="1:7" x14ac:dyDescent="0.35">
      <c r="A244" s="1" t="s">
        <v>25</v>
      </c>
      <c r="B244" s="1">
        <v>13</v>
      </c>
      <c r="C244" s="1" t="s">
        <v>12</v>
      </c>
      <c r="D244" s="2" t="s">
        <v>11</v>
      </c>
      <c r="E244" s="2" t="s">
        <v>11</v>
      </c>
      <c r="F244" s="2" t="s">
        <v>11</v>
      </c>
      <c r="G244" s="4">
        <v>873</v>
      </c>
    </row>
    <row r="245" spans="1:7" x14ac:dyDescent="0.35">
      <c r="A245" s="1" t="s">
        <v>25</v>
      </c>
      <c r="B245" s="1">
        <v>14</v>
      </c>
      <c r="C245" s="1" t="s">
        <v>13</v>
      </c>
      <c r="D245" s="2" t="s">
        <v>11</v>
      </c>
      <c r="E245" s="2" t="s">
        <v>11</v>
      </c>
      <c r="F245" s="2" t="s">
        <v>11</v>
      </c>
      <c r="G245" s="4">
        <v>1471</v>
      </c>
    </row>
    <row r="246" spans="1:7" x14ac:dyDescent="0.35">
      <c r="A246" s="1" t="s">
        <v>25</v>
      </c>
      <c r="B246" s="1">
        <v>17</v>
      </c>
      <c r="C246" s="1" t="s">
        <v>14</v>
      </c>
      <c r="D246" s="2" t="s">
        <v>11</v>
      </c>
      <c r="E246" s="2" t="s">
        <v>11</v>
      </c>
      <c r="F246" s="2" t="s">
        <v>11</v>
      </c>
      <c r="G246" s="4">
        <v>1299</v>
      </c>
    </row>
    <row r="247" spans="1:7" x14ac:dyDescent="0.35">
      <c r="A247" s="1" t="s">
        <v>25</v>
      </c>
      <c r="B247" s="1">
        <v>18</v>
      </c>
      <c r="C247" s="1" t="s">
        <v>8</v>
      </c>
      <c r="D247" s="2" t="s">
        <v>11</v>
      </c>
      <c r="E247" s="2" t="s">
        <v>11</v>
      </c>
      <c r="F247" s="2" t="s">
        <v>11</v>
      </c>
      <c r="G247" s="4">
        <v>1058</v>
      </c>
    </row>
    <row r="248" spans="1:7" x14ac:dyDescent="0.35">
      <c r="A248" s="1" t="s">
        <v>25</v>
      </c>
      <c r="B248" s="1">
        <v>19</v>
      </c>
      <c r="C248" s="1" t="s">
        <v>10</v>
      </c>
      <c r="D248" s="2" t="s">
        <v>11</v>
      </c>
      <c r="E248" s="2" t="s">
        <v>11</v>
      </c>
      <c r="F248" s="2" t="s">
        <v>11</v>
      </c>
      <c r="G248" s="4">
        <v>1104</v>
      </c>
    </row>
    <row r="249" spans="1:7" x14ac:dyDescent="0.35">
      <c r="A249" s="1" t="s">
        <v>25</v>
      </c>
      <c r="B249" s="1">
        <v>20</v>
      </c>
      <c r="C249" s="1" t="s">
        <v>12</v>
      </c>
      <c r="D249" s="2" t="s">
        <v>11</v>
      </c>
      <c r="E249" s="2" t="s">
        <v>11</v>
      </c>
      <c r="F249" s="2" t="s">
        <v>11</v>
      </c>
      <c r="G249" s="4">
        <v>1018</v>
      </c>
    </row>
    <row r="250" spans="1:7" x14ac:dyDescent="0.35">
      <c r="A250" s="1" t="s">
        <v>25</v>
      </c>
      <c r="B250" s="1">
        <v>21</v>
      </c>
      <c r="C250" s="1" t="s">
        <v>13</v>
      </c>
      <c r="D250" s="2" t="s">
        <v>9</v>
      </c>
      <c r="E250" s="2" t="s">
        <v>11</v>
      </c>
      <c r="F250" s="2" t="s">
        <v>11</v>
      </c>
      <c r="G250" s="4">
        <v>1955</v>
      </c>
    </row>
    <row r="251" spans="1:7" x14ac:dyDescent="0.35">
      <c r="A251" s="1" t="s">
        <v>25</v>
      </c>
      <c r="B251" s="1">
        <v>24</v>
      </c>
      <c r="C251" s="1" t="s">
        <v>14</v>
      </c>
      <c r="D251" s="2" t="s">
        <v>11</v>
      </c>
      <c r="E251" s="2" t="s">
        <v>11</v>
      </c>
      <c r="F251" s="2" t="s">
        <v>9</v>
      </c>
      <c r="G251" s="4">
        <v>941</v>
      </c>
    </row>
    <row r="252" spans="1:7" x14ac:dyDescent="0.35">
      <c r="A252" s="1" t="s">
        <v>25</v>
      </c>
      <c r="B252" s="1">
        <v>26</v>
      </c>
      <c r="C252" s="1" t="s">
        <v>10</v>
      </c>
      <c r="D252" s="2" t="s">
        <v>11</v>
      </c>
      <c r="E252" s="2" t="s">
        <v>11</v>
      </c>
      <c r="F252" s="2" t="s">
        <v>9</v>
      </c>
      <c r="G252" s="4">
        <v>999</v>
      </c>
    </row>
    <row r="253" spans="1:7" x14ac:dyDescent="0.35">
      <c r="A253" s="1" t="s">
        <v>25</v>
      </c>
      <c r="B253" s="1">
        <v>27</v>
      </c>
      <c r="C253" s="1" t="s">
        <v>12</v>
      </c>
      <c r="D253" s="2" t="s">
        <v>11</v>
      </c>
      <c r="E253" s="2" t="s">
        <v>11</v>
      </c>
      <c r="F253" s="2" t="s">
        <v>11</v>
      </c>
      <c r="G253" s="4">
        <v>619</v>
      </c>
    </row>
    <row r="254" spans="1:7" x14ac:dyDescent="0.35">
      <c r="A254" s="1" t="s">
        <v>25</v>
      </c>
      <c r="B254" s="1">
        <v>28</v>
      </c>
      <c r="C254" s="1" t="s">
        <v>13</v>
      </c>
      <c r="D254" s="2" t="s">
        <v>11</v>
      </c>
      <c r="E254" s="2" t="s">
        <v>11</v>
      </c>
      <c r="F254" s="2" t="s">
        <v>11</v>
      </c>
      <c r="G254" s="4">
        <v>937</v>
      </c>
    </row>
    <row r="255" spans="1:7" x14ac:dyDescent="0.35">
      <c r="A255" s="1" t="s">
        <v>25</v>
      </c>
      <c r="B255" s="1">
        <v>31</v>
      </c>
      <c r="C255" s="1" t="s">
        <v>14</v>
      </c>
      <c r="D255" s="2" t="s">
        <v>11</v>
      </c>
      <c r="E255" s="2" t="s">
        <v>11</v>
      </c>
      <c r="F255" s="2" t="s">
        <v>11</v>
      </c>
      <c r="G255" s="4">
        <v>1146</v>
      </c>
    </row>
    <row r="256" spans="1:7" x14ac:dyDescent="0.35">
      <c r="A256" s="1"/>
      <c r="B256" s="1"/>
      <c r="C256" s="1"/>
      <c r="D256" s="2"/>
      <c r="E256" s="2"/>
      <c r="F256" s="2"/>
      <c r="G256" s="4"/>
    </row>
    <row r="257" spans="1:7" x14ac:dyDescent="0.35">
      <c r="A257" s="1"/>
      <c r="B257" s="1"/>
      <c r="C257" s="1"/>
      <c r="D257" s="2"/>
      <c r="E257" s="2"/>
      <c r="F257" s="2"/>
      <c r="G257" s="4"/>
    </row>
    <row r="258" spans="1:7" x14ac:dyDescent="0.35">
      <c r="A258" s="1"/>
      <c r="B258" s="1"/>
      <c r="C258" s="1"/>
      <c r="D258" s="2"/>
      <c r="E258" s="2"/>
      <c r="F258" s="2"/>
      <c r="G258" s="4"/>
    </row>
    <row r="259" spans="1:7" x14ac:dyDescent="0.35">
      <c r="A259" s="1"/>
      <c r="B259" s="1"/>
      <c r="C259" s="1"/>
      <c r="D259" s="2"/>
      <c r="E259" s="2"/>
      <c r="F259" s="2"/>
      <c r="G259" s="4"/>
    </row>
    <row r="260" spans="1:7" x14ac:dyDescent="0.35">
      <c r="A260" s="1"/>
      <c r="B260" s="1"/>
      <c r="C260" s="1"/>
      <c r="D260" s="2"/>
      <c r="E260" s="2"/>
      <c r="F260" s="2"/>
      <c r="G260" s="4"/>
    </row>
    <row r="261" spans="1:7" x14ac:dyDescent="0.35">
      <c r="A261" s="1"/>
      <c r="B261" s="1"/>
      <c r="C261" s="1"/>
      <c r="D261" s="2"/>
      <c r="E261" s="2"/>
      <c r="F261" s="2"/>
      <c r="G261" s="4"/>
    </row>
  </sheetData>
  <autoFilter ref="A1:G255" xr:uid="{28B191CA-180D-493B-B519-607B57CA627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E10BA-BF79-465A-8E7D-17790066CA7C}">
  <dimension ref="A1:AD256"/>
  <sheetViews>
    <sheetView tabSelected="1" topLeftCell="E1" zoomScale="95" zoomScaleNormal="95" workbookViewId="0">
      <selection activeCell="AE5" sqref="AE5"/>
    </sheetView>
  </sheetViews>
  <sheetFormatPr defaultRowHeight="14.5" x14ac:dyDescent="0.35"/>
  <cols>
    <col min="1" max="1" width="6.453125" bestFit="1" customWidth="1"/>
    <col min="2" max="2" width="12.1796875" bestFit="1" customWidth="1"/>
    <col min="3" max="3" width="11" bestFit="1" customWidth="1"/>
    <col min="4" max="4" width="11.08984375" bestFit="1" customWidth="1"/>
    <col min="5" max="5" width="13.1796875" bestFit="1" customWidth="1"/>
    <col min="6" max="6" width="20" bestFit="1" customWidth="1"/>
    <col min="7" max="7" width="7.08984375" bestFit="1" customWidth="1"/>
    <col min="8" max="8" width="10.54296875" bestFit="1" customWidth="1"/>
    <col min="9" max="9" width="10.81640625" bestFit="1" customWidth="1"/>
    <col min="10" max="10" width="11" bestFit="1" customWidth="1"/>
    <col min="11" max="11" width="10.81640625" bestFit="1" customWidth="1"/>
    <col min="12" max="12" width="10.453125" bestFit="1" customWidth="1"/>
    <col min="13" max="13" width="9.90625" bestFit="1" customWidth="1"/>
    <col min="14" max="14" width="10.54296875" bestFit="1" customWidth="1"/>
    <col min="15" max="15" width="10.81640625" bestFit="1" customWidth="1"/>
    <col min="16" max="17" width="11.08984375" bestFit="1" customWidth="1"/>
    <col min="18" max="18" width="10.7265625" bestFit="1" customWidth="1"/>
    <col min="19" max="19" width="10.90625" bestFit="1" customWidth="1"/>
    <col min="20" max="20" width="14.36328125" bestFit="1" customWidth="1"/>
    <col min="21" max="21" width="15.90625" bestFit="1" customWidth="1"/>
    <col min="22" max="22" width="15.26953125" bestFit="1" customWidth="1"/>
    <col min="23" max="23" width="15.1796875" bestFit="1" customWidth="1"/>
    <col min="24" max="24" width="16" bestFit="1" customWidth="1"/>
    <col min="25" max="25" width="15" bestFit="1" customWidth="1"/>
    <col min="26" max="26" width="15.36328125" bestFit="1" customWidth="1"/>
    <col min="27" max="27" width="17.08984375" bestFit="1" customWidth="1"/>
    <col min="28" max="28" width="17.54296875" bestFit="1" customWidth="1"/>
    <col min="29" max="29" width="23" bestFit="1" customWidth="1"/>
    <col min="30" max="30" width="23.36328125" bestFit="1" customWidth="1"/>
  </cols>
  <sheetData>
    <row r="1" spans="1:30" ht="15" thickTop="1" x14ac:dyDescent="0.35">
      <c r="A1" s="21" t="s">
        <v>0</v>
      </c>
      <c r="B1" s="22" t="s">
        <v>1</v>
      </c>
      <c r="C1" s="22" t="s">
        <v>2</v>
      </c>
      <c r="D1" s="23" t="s">
        <v>3</v>
      </c>
      <c r="E1" s="23" t="s">
        <v>4</v>
      </c>
      <c r="F1" s="23" t="s">
        <v>5</v>
      </c>
      <c r="G1" s="34" t="s">
        <v>6</v>
      </c>
      <c r="H1" s="42" t="s">
        <v>238</v>
      </c>
      <c r="I1" s="42" t="s">
        <v>239</v>
      </c>
      <c r="J1" s="42" t="s">
        <v>240</v>
      </c>
      <c r="K1" s="42" t="s">
        <v>241</v>
      </c>
      <c r="L1" s="42" t="s">
        <v>242</v>
      </c>
      <c r="M1" s="42" t="s">
        <v>243</v>
      </c>
      <c r="N1" s="42" t="s">
        <v>244</v>
      </c>
      <c r="O1" s="42" t="s">
        <v>245</v>
      </c>
      <c r="P1" s="42" t="s">
        <v>246</v>
      </c>
      <c r="Q1" s="42" t="s">
        <v>247</v>
      </c>
      <c r="R1" s="42" t="s">
        <v>248</v>
      </c>
      <c r="S1" s="42" t="s">
        <v>249</v>
      </c>
      <c r="T1" s="42" t="s">
        <v>274</v>
      </c>
      <c r="U1" s="42" t="s">
        <v>275</v>
      </c>
      <c r="V1" s="42" t="s">
        <v>276</v>
      </c>
      <c r="W1" s="42" t="s">
        <v>277</v>
      </c>
      <c r="X1" s="42" t="s">
        <v>278</v>
      </c>
      <c r="Y1" s="42" t="s">
        <v>301</v>
      </c>
      <c r="Z1" s="42" t="s">
        <v>302</v>
      </c>
      <c r="AA1" s="42" t="s">
        <v>313</v>
      </c>
      <c r="AB1" s="42" t="s">
        <v>314</v>
      </c>
      <c r="AC1" s="42" t="s">
        <v>325</v>
      </c>
      <c r="AD1" s="35" t="s">
        <v>326</v>
      </c>
    </row>
    <row r="2" spans="1:30" x14ac:dyDescent="0.35">
      <c r="A2" s="24" t="s">
        <v>7</v>
      </c>
      <c r="B2" s="25">
        <v>2</v>
      </c>
      <c r="C2" s="25" t="s">
        <v>8</v>
      </c>
      <c r="D2" s="26" t="s">
        <v>9</v>
      </c>
      <c r="E2" s="26" t="s">
        <v>9</v>
      </c>
      <c r="F2" s="26" t="s">
        <v>9</v>
      </c>
      <c r="G2" s="36">
        <v>1825</v>
      </c>
      <c r="H2" s="43">
        <v>0</v>
      </c>
      <c r="I2" s="43">
        <v>0</v>
      </c>
      <c r="J2" s="43">
        <v>0</v>
      </c>
      <c r="K2" s="43">
        <v>0</v>
      </c>
      <c r="L2" s="43">
        <v>1</v>
      </c>
      <c r="M2" s="43">
        <v>0</v>
      </c>
      <c r="N2" s="43">
        <v>0</v>
      </c>
      <c r="O2" s="43">
        <v>0</v>
      </c>
      <c r="P2" s="43">
        <v>0</v>
      </c>
      <c r="Q2" s="43">
        <v>0</v>
      </c>
      <c r="R2" s="43">
        <v>0</v>
      </c>
      <c r="S2" s="43">
        <v>0</v>
      </c>
      <c r="T2" s="43">
        <v>0</v>
      </c>
      <c r="U2" s="43">
        <v>0</v>
      </c>
      <c r="V2" s="43">
        <v>0</v>
      </c>
      <c r="W2" s="43">
        <v>1</v>
      </c>
      <c r="X2" s="43">
        <v>0</v>
      </c>
      <c r="Y2" s="43">
        <v>0</v>
      </c>
      <c r="Z2" s="43">
        <v>1</v>
      </c>
      <c r="AA2" s="43">
        <v>0</v>
      </c>
      <c r="AB2" s="43">
        <v>1</v>
      </c>
      <c r="AC2" s="43">
        <v>0</v>
      </c>
      <c r="AD2" s="37">
        <v>1</v>
      </c>
    </row>
    <row r="3" spans="1:30" x14ac:dyDescent="0.35">
      <c r="A3" s="27" t="s">
        <v>7</v>
      </c>
      <c r="B3" s="28">
        <v>3</v>
      </c>
      <c r="C3" s="28" t="s">
        <v>10</v>
      </c>
      <c r="D3" s="29" t="s">
        <v>11</v>
      </c>
      <c r="E3" s="29" t="s">
        <v>11</v>
      </c>
      <c r="F3" s="29" t="s">
        <v>11</v>
      </c>
      <c r="G3" s="38">
        <v>1257</v>
      </c>
      <c r="H3" s="44">
        <v>0</v>
      </c>
      <c r="I3" s="44">
        <v>0</v>
      </c>
      <c r="J3" s="44">
        <v>0</v>
      </c>
      <c r="K3" s="44">
        <v>0</v>
      </c>
      <c r="L3" s="44">
        <v>1</v>
      </c>
      <c r="M3" s="44">
        <v>0</v>
      </c>
      <c r="N3" s="44">
        <v>0</v>
      </c>
      <c r="O3" s="44">
        <v>0</v>
      </c>
      <c r="P3" s="44">
        <v>0</v>
      </c>
      <c r="Q3" s="44">
        <v>0</v>
      </c>
      <c r="R3" s="44">
        <v>0</v>
      </c>
      <c r="S3" s="44">
        <v>0</v>
      </c>
      <c r="T3" s="44">
        <v>0</v>
      </c>
      <c r="U3" s="44">
        <v>0</v>
      </c>
      <c r="V3" s="44">
        <v>0</v>
      </c>
      <c r="W3" s="44">
        <v>0</v>
      </c>
      <c r="X3" s="44">
        <v>1</v>
      </c>
      <c r="Y3" s="44">
        <v>1</v>
      </c>
      <c r="Z3" s="44">
        <v>0</v>
      </c>
      <c r="AA3" s="44">
        <v>1</v>
      </c>
      <c r="AB3" s="44">
        <v>0</v>
      </c>
      <c r="AC3" s="44">
        <v>1</v>
      </c>
      <c r="AD3" s="39">
        <v>0</v>
      </c>
    </row>
    <row r="4" spans="1:30" x14ac:dyDescent="0.35">
      <c r="A4" s="27" t="s">
        <v>7</v>
      </c>
      <c r="B4" s="28">
        <v>4</v>
      </c>
      <c r="C4" s="28" t="s">
        <v>12</v>
      </c>
      <c r="D4" s="29" t="s">
        <v>11</v>
      </c>
      <c r="E4" s="29" t="s">
        <v>11</v>
      </c>
      <c r="F4" s="29" t="s">
        <v>11</v>
      </c>
      <c r="G4" s="38">
        <v>969</v>
      </c>
      <c r="H4" s="44">
        <v>0</v>
      </c>
      <c r="I4" s="44">
        <v>0</v>
      </c>
      <c r="J4" s="44">
        <v>0</v>
      </c>
      <c r="K4" s="44">
        <v>0</v>
      </c>
      <c r="L4" s="44">
        <v>1</v>
      </c>
      <c r="M4" s="44">
        <v>0</v>
      </c>
      <c r="N4" s="44">
        <v>0</v>
      </c>
      <c r="O4" s="44">
        <v>0</v>
      </c>
      <c r="P4" s="44">
        <v>0</v>
      </c>
      <c r="Q4" s="44">
        <v>0</v>
      </c>
      <c r="R4" s="44">
        <v>0</v>
      </c>
      <c r="S4" s="44">
        <v>0</v>
      </c>
      <c r="T4" s="44">
        <v>0</v>
      </c>
      <c r="U4" s="44">
        <v>0</v>
      </c>
      <c r="V4" s="44">
        <v>1</v>
      </c>
      <c r="W4" s="44">
        <v>0</v>
      </c>
      <c r="X4" s="44">
        <v>0</v>
      </c>
      <c r="Y4" s="44">
        <v>1</v>
      </c>
      <c r="Z4" s="44">
        <v>0</v>
      </c>
      <c r="AA4" s="44">
        <v>1</v>
      </c>
      <c r="AB4" s="44">
        <v>0</v>
      </c>
      <c r="AC4" s="44">
        <v>1</v>
      </c>
      <c r="AD4" s="39">
        <v>0</v>
      </c>
    </row>
    <row r="5" spans="1:30" x14ac:dyDescent="0.35">
      <c r="A5" s="27" t="s">
        <v>7</v>
      </c>
      <c r="B5" s="28">
        <v>5</v>
      </c>
      <c r="C5" s="28" t="s">
        <v>13</v>
      </c>
      <c r="D5" s="29" t="s">
        <v>9</v>
      </c>
      <c r="E5" s="29" t="s">
        <v>11</v>
      </c>
      <c r="F5" s="29" t="s">
        <v>11</v>
      </c>
      <c r="G5" s="38">
        <v>1672</v>
      </c>
      <c r="H5" s="44">
        <v>0</v>
      </c>
      <c r="I5" s="44">
        <v>0</v>
      </c>
      <c r="J5" s="44">
        <v>0</v>
      </c>
      <c r="K5" s="44">
        <v>0</v>
      </c>
      <c r="L5" s="44">
        <v>1</v>
      </c>
      <c r="M5" s="44">
        <v>0</v>
      </c>
      <c r="N5" s="44">
        <v>0</v>
      </c>
      <c r="O5" s="44">
        <v>0</v>
      </c>
      <c r="P5" s="44">
        <v>0</v>
      </c>
      <c r="Q5" s="44">
        <v>0</v>
      </c>
      <c r="R5" s="44">
        <v>0</v>
      </c>
      <c r="S5" s="44">
        <v>0</v>
      </c>
      <c r="T5" s="44">
        <v>1</v>
      </c>
      <c r="U5" s="44">
        <v>0</v>
      </c>
      <c r="V5" s="44">
        <v>0</v>
      </c>
      <c r="W5" s="44">
        <v>0</v>
      </c>
      <c r="X5" s="44">
        <v>0</v>
      </c>
      <c r="Y5" s="44">
        <v>0</v>
      </c>
      <c r="Z5" s="44">
        <v>1</v>
      </c>
      <c r="AA5" s="44">
        <v>1</v>
      </c>
      <c r="AB5" s="44">
        <v>0</v>
      </c>
      <c r="AC5" s="44">
        <v>1</v>
      </c>
      <c r="AD5" s="39">
        <v>0</v>
      </c>
    </row>
    <row r="6" spans="1:30" x14ac:dyDescent="0.35">
      <c r="A6" s="27" t="s">
        <v>7</v>
      </c>
      <c r="B6" s="28">
        <v>8</v>
      </c>
      <c r="C6" s="28" t="s">
        <v>14</v>
      </c>
      <c r="D6" s="29" t="s">
        <v>11</v>
      </c>
      <c r="E6" s="29" t="s">
        <v>11</v>
      </c>
      <c r="F6" s="29" t="s">
        <v>11</v>
      </c>
      <c r="G6" s="38">
        <v>1098</v>
      </c>
      <c r="H6" s="44">
        <v>0</v>
      </c>
      <c r="I6" s="44">
        <v>0</v>
      </c>
      <c r="J6" s="44">
        <v>0</v>
      </c>
      <c r="K6" s="44">
        <v>0</v>
      </c>
      <c r="L6" s="44">
        <v>1</v>
      </c>
      <c r="M6" s="44">
        <v>0</v>
      </c>
      <c r="N6" s="44">
        <v>0</v>
      </c>
      <c r="O6" s="44">
        <v>0</v>
      </c>
      <c r="P6" s="44">
        <v>0</v>
      </c>
      <c r="Q6" s="44">
        <v>0</v>
      </c>
      <c r="R6" s="44">
        <v>0</v>
      </c>
      <c r="S6" s="44">
        <v>0</v>
      </c>
      <c r="T6" s="44">
        <v>0</v>
      </c>
      <c r="U6" s="44">
        <v>1</v>
      </c>
      <c r="V6" s="44">
        <v>0</v>
      </c>
      <c r="W6" s="44">
        <v>0</v>
      </c>
      <c r="X6" s="44">
        <v>0</v>
      </c>
      <c r="Y6" s="44">
        <v>1</v>
      </c>
      <c r="Z6" s="44">
        <v>0</v>
      </c>
      <c r="AA6" s="44">
        <v>1</v>
      </c>
      <c r="AB6" s="44">
        <v>0</v>
      </c>
      <c r="AC6" s="44">
        <v>1</v>
      </c>
      <c r="AD6" s="39">
        <v>0</v>
      </c>
    </row>
    <row r="7" spans="1:30" x14ac:dyDescent="0.35">
      <c r="A7" s="27" t="s">
        <v>7</v>
      </c>
      <c r="B7" s="28">
        <v>9</v>
      </c>
      <c r="C7" s="28" t="s">
        <v>8</v>
      </c>
      <c r="D7" s="29" t="s">
        <v>11</v>
      </c>
      <c r="E7" s="29" t="s">
        <v>11</v>
      </c>
      <c r="F7" s="29" t="s">
        <v>11</v>
      </c>
      <c r="G7" s="38">
        <v>691</v>
      </c>
      <c r="H7" s="44">
        <v>0</v>
      </c>
      <c r="I7" s="44">
        <v>0</v>
      </c>
      <c r="J7" s="44">
        <v>0</v>
      </c>
      <c r="K7" s="44">
        <v>0</v>
      </c>
      <c r="L7" s="44">
        <v>1</v>
      </c>
      <c r="M7" s="44">
        <v>0</v>
      </c>
      <c r="N7" s="44">
        <v>0</v>
      </c>
      <c r="O7" s="44">
        <v>0</v>
      </c>
      <c r="P7" s="44">
        <v>0</v>
      </c>
      <c r="Q7" s="44">
        <v>0</v>
      </c>
      <c r="R7" s="44">
        <v>0</v>
      </c>
      <c r="S7" s="44">
        <v>0</v>
      </c>
      <c r="T7" s="44">
        <v>0</v>
      </c>
      <c r="U7" s="44">
        <v>0</v>
      </c>
      <c r="V7" s="44">
        <v>0</v>
      </c>
      <c r="W7" s="44">
        <v>1</v>
      </c>
      <c r="X7" s="44">
        <v>0</v>
      </c>
      <c r="Y7" s="44">
        <v>1</v>
      </c>
      <c r="Z7" s="44">
        <v>0</v>
      </c>
      <c r="AA7" s="44">
        <v>1</v>
      </c>
      <c r="AB7" s="44">
        <v>0</v>
      </c>
      <c r="AC7" s="44">
        <v>1</v>
      </c>
      <c r="AD7" s="39">
        <v>0</v>
      </c>
    </row>
    <row r="8" spans="1:30" x14ac:dyDescent="0.35">
      <c r="A8" s="27" t="s">
        <v>7</v>
      </c>
      <c r="B8" s="28">
        <v>10</v>
      </c>
      <c r="C8" s="28" t="s">
        <v>10</v>
      </c>
      <c r="D8" s="29" t="s">
        <v>11</v>
      </c>
      <c r="E8" s="29" t="s">
        <v>11</v>
      </c>
      <c r="F8" s="29" t="s">
        <v>11</v>
      </c>
      <c r="G8" s="38">
        <v>672</v>
      </c>
      <c r="H8" s="44">
        <v>0</v>
      </c>
      <c r="I8" s="44">
        <v>0</v>
      </c>
      <c r="J8" s="44">
        <v>0</v>
      </c>
      <c r="K8" s="44">
        <v>0</v>
      </c>
      <c r="L8" s="44">
        <v>1</v>
      </c>
      <c r="M8" s="44">
        <v>0</v>
      </c>
      <c r="N8" s="44">
        <v>0</v>
      </c>
      <c r="O8" s="44">
        <v>0</v>
      </c>
      <c r="P8" s="44">
        <v>0</v>
      </c>
      <c r="Q8" s="44">
        <v>0</v>
      </c>
      <c r="R8" s="44">
        <v>0</v>
      </c>
      <c r="S8" s="44">
        <v>0</v>
      </c>
      <c r="T8" s="44">
        <v>0</v>
      </c>
      <c r="U8" s="44">
        <v>0</v>
      </c>
      <c r="V8" s="44">
        <v>0</v>
      </c>
      <c r="W8" s="44">
        <v>0</v>
      </c>
      <c r="X8" s="44">
        <v>1</v>
      </c>
      <c r="Y8" s="44">
        <v>1</v>
      </c>
      <c r="Z8" s="44">
        <v>0</v>
      </c>
      <c r="AA8" s="44">
        <v>1</v>
      </c>
      <c r="AB8" s="44">
        <v>0</v>
      </c>
      <c r="AC8" s="44">
        <v>1</v>
      </c>
      <c r="AD8" s="39">
        <v>0</v>
      </c>
    </row>
    <row r="9" spans="1:30" x14ac:dyDescent="0.35">
      <c r="A9" s="27" t="s">
        <v>7</v>
      </c>
      <c r="B9" s="28">
        <v>11</v>
      </c>
      <c r="C9" s="28" t="s">
        <v>12</v>
      </c>
      <c r="D9" s="29" t="s">
        <v>11</v>
      </c>
      <c r="E9" s="29" t="s">
        <v>11</v>
      </c>
      <c r="F9" s="29" t="s">
        <v>11</v>
      </c>
      <c r="G9" s="38">
        <v>754</v>
      </c>
      <c r="H9" s="44">
        <v>0</v>
      </c>
      <c r="I9" s="44">
        <v>0</v>
      </c>
      <c r="J9" s="44">
        <v>0</v>
      </c>
      <c r="K9" s="44">
        <v>0</v>
      </c>
      <c r="L9" s="44">
        <v>1</v>
      </c>
      <c r="M9" s="44">
        <v>0</v>
      </c>
      <c r="N9" s="44">
        <v>0</v>
      </c>
      <c r="O9" s="44">
        <v>0</v>
      </c>
      <c r="P9" s="44">
        <v>0</v>
      </c>
      <c r="Q9" s="44">
        <v>0</v>
      </c>
      <c r="R9" s="44">
        <v>0</v>
      </c>
      <c r="S9" s="44">
        <v>0</v>
      </c>
      <c r="T9" s="44">
        <v>0</v>
      </c>
      <c r="U9" s="44">
        <v>0</v>
      </c>
      <c r="V9" s="44">
        <v>1</v>
      </c>
      <c r="W9" s="44">
        <v>0</v>
      </c>
      <c r="X9" s="44">
        <v>0</v>
      </c>
      <c r="Y9" s="44">
        <v>1</v>
      </c>
      <c r="Z9" s="44">
        <v>0</v>
      </c>
      <c r="AA9" s="44">
        <v>1</v>
      </c>
      <c r="AB9" s="44">
        <v>0</v>
      </c>
      <c r="AC9" s="44">
        <v>1</v>
      </c>
      <c r="AD9" s="39">
        <v>0</v>
      </c>
    </row>
    <row r="10" spans="1:30" x14ac:dyDescent="0.35">
      <c r="A10" s="27" t="s">
        <v>7</v>
      </c>
      <c r="B10" s="28">
        <v>12</v>
      </c>
      <c r="C10" s="28" t="s">
        <v>13</v>
      </c>
      <c r="D10" s="29" t="s">
        <v>11</v>
      </c>
      <c r="E10" s="29" t="s">
        <v>11</v>
      </c>
      <c r="F10" s="29" t="s">
        <v>11</v>
      </c>
      <c r="G10" s="38">
        <v>972</v>
      </c>
      <c r="H10" s="44">
        <v>0</v>
      </c>
      <c r="I10" s="44">
        <v>0</v>
      </c>
      <c r="J10" s="44">
        <v>0</v>
      </c>
      <c r="K10" s="44">
        <v>0</v>
      </c>
      <c r="L10" s="44">
        <v>1</v>
      </c>
      <c r="M10" s="44">
        <v>0</v>
      </c>
      <c r="N10" s="44">
        <v>0</v>
      </c>
      <c r="O10" s="44">
        <v>0</v>
      </c>
      <c r="P10" s="44">
        <v>0</v>
      </c>
      <c r="Q10" s="44">
        <v>0</v>
      </c>
      <c r="R10" s="44">
        <v>0</v>
      </c>
      <c r="S10" s="44">
        <v>0</v>
      </c>
      <c r="T10" s="44">
        <v>1</v>
      </c>
      <c r="U10" s="44">
        <v>0</v>
      </c>
      <c r="V10" s="44">
        <v>0</v>
      </c>
      <c r="W10" s="44">
        <v>0</v>
      </c>
      <c r="X10" s="44">
        <v>0</v>
      </c>
      <c r="Y10" s="44">
        <v>1</v>
      </c>
      <c r="Z10" s="44">
        <v>0</v>
      </c>
      <c r="AA10" s="44">
        <v>1</v>
      </c>
      <c r="AB10" s="44">
        <v>0</v>
      </c>
      <c r="AC10" s="44">
        <v>1</v>
      </c>
      <c r="AD10" s="39">
        <v>0</v>
      </c>
    </row>
    <row r="11" spans="1:30" x14ac:dyDescent="0.35">
      <c r="A11" s="27" t="s">
        <v>7</v>
      </c>
      <c r="B11" s="28">
        <v>15</v>
      </c>
      <c r="C11" s="28" t="s">
        <v>14</v>
      </c>
      <c r="D11" s="29" t="s">
        <v>11</v>
      </c>
      <c r="E11" s="29" t="s">
        <v>11</v>
      </c>
      <c r="F11" s="29" t="s">
        <v>11</v>
      </c>
      <c r="G11" s="38">
        <v>816</v>
      </c>
      <c r="H11" s="44">
        <v>0</v>
      </c>
      <c r="I11" s="44">
        <v>0</v>
      </c>
      <c r="J11" s="44">
        <v>0</v>
      </c>
      <c r="K11" s="44">
        <v>0</v>
      </c>
      <c r="L11" s="44">
        <v>1</v>
      </c>
      <c r="M11" s="44">
        <v>0</v>
      </c>
      <c r="N11" s="44">
        <v>0</v>
      </c>
      <c r="O11" s="44">
        <v>0</v>
      </c>
      <c r="P11" s="44">
        <v>0</v>
      </c>
      <c r="Q11" s="44">
        <v>0</v>
      </c>
      <c r="R11" s="44">
        <v>0</v>
      </c>
      <c r="S11" s="44">
        <v>0</v>
      </c>
      <c r="T11" s="44">
        <v>0</v>
      </c>
      <c r="U11" s="44">
        <v>1</v>
      </c>
      <c r="V11" s="44">
        <v>0</v>
      </c>
      <c r="W11" s="44">
        <v>0</v>
      </c>
      <c r="X11" s="44">
        <v>0</v>
      </c>
      <c r="Y11" s="44">
        <v>1</v>
      </c>
      <c r="Z11" s="44">
        <v>0</v>
      </c>
      <c r="AA11" s="44">
        <v>1</v>
      </c>
      <c r="AB11" s="44">
        <v>0</v>
      </c>
      <c r="AC11" s="44">
        <v>1</v>
      </c>
      <c r="AD11" s="39">
        <v>0</v>
      </c>
    </row>
    <row r="12" spans="1:30" x14ac:dyDescent="0.35">
      <c r="A12" s="27" t="s">
        <v>7</v>
      </c>
      <c r="B12" s="28">
        <v>16</v>
      </c>
      <c r="C12" s="28" t="s">
        <v>8</v>
      </c>
      <c r="D12" s="29" t="s">
        <v>11</v>
      </c>
      <c r="E12" s="29" t="s">
        <v>11</v>
      </c>
      <c r="F12" s="29" t="s">
        <v>11</v>
      </c>
      <c r="G12" s="38">
        <v>717</v>
      </c>
      <c r="H12" s="44">
        <v>0</v>
      </c>
      <c r="I12" s="44">
        <v>0</v>
      </c>
      <c r="J12" s="44">
        <v>0</v>
      </c>
      <c r="K12" s="44">
        <v>0</v>
      </c>
      <c r="L12" s="44">
        <v>1</v>
      </c>
      <c r="M12" s="44">
        <v>0</v>
      </c>
      <c r="N12" s="44">
        <v>0</v>
      </c>
      <c r="O12" s="44">
        <v>0</v>
      </c>
      <c r="P12" s="44">
        <v>0</v>
      </c>
      <c r="Q12" s="44">
        <v>0</v>
      </c>
      <c r="R12" s="44">
        <v>0</v>
      </c>
      <c r="S12" s="44">
        <v>0</v>
      </c>
      <c r="T12" s="44">
        <v>0</v>
      </c>
      <c r="U12" s="44">
        <v>0</v>
      </c>
      <c r="V12" s="44">
        <v>0</v>
      </c>
      <c r="W12" s="44">
        <v>1</v>
      </c>
      <c r="X12" s="44">
        <v>0</v>
      </c>
      <c r="Y12" s="44">
        <v>1</v>
      </c>
      <c r="Z12" s="44">
        <v>0</v>
      </c>
      <c r="AA12" s="44">
        <v>1</v>
      </c>
      <c r="AB12" s="44">
        <v>0</v>
      </c>
      <c r="AC12" s="44">
        <v>1</v>
      </c>
      <c r="AD12" s="39">
        <v>0</v>
      </c>
    </row>
    <row r="13" spans="1:30" x14ac:dyDescent="0.35">
      <c r="A13" s="27" t="s">
        <v>7</v>
      </c>
      <c r="B13" s="28">
        <v>17</v>
      </c>
      <c r="C13" s="28" t="s">
        <v>10</v>
      </c>
      <c r="D13" s="29" t="s">
        <v>11</v>
      </c>
      <c r="E13" s="29" t="s">
        <v>11</v>
      </c>
      <c r="F13" s="29" t="s">
        <v>11</v>
      </c>
      <c r="G13" s="38">
        <v>728</v>
      </c>
      <c r="H13" s="44">
        <v>0</v>
      </c>
      <c r="I13" s="44">
        <v>0</v>
      </c>
      <c r="J13" s="44">
        <v>0</v>
      </c>
      <c r="K13" s="44">
        <v>0</v>
      </c>
      <c r="L13" s="44">
        <v>1</v>
      </c>
      <c r="M13" s="44">
        <v>0</v>
      </c>
      <c r="N13" s="44">
        <v>0</v>
      </c>
      <c r="O13" s="44">
        <v>0</v>
      </c>
      <c r="P13" s="44">
        <v>0</v>
      </c>
      <c r="Q13" s="44">
        <v>0</v>
      </c>
      <c r="R13" s="44">
        <v>0</v>
      </c>
      <c r="S13" s="44">
        <v>0</v>
      </c>
      <c r="T13" s="44">
        <v>0</v>
      </c>
      <c r="U13" s="44">
        <v>0</v>
      </c>
      <c r="V13" s="44">
        <v>0</v>
      </c>
      <c r="W13" s="44">
        <v>0</v>
      </c>
      <c r="X13" s="44">
        <v>1</v>
      </c>
      <c r="Y13" s="44">
        <v>1</v>
      </c>
      <c r="Z13" s="44">
        <v>0</v>
      </c>
      <c r="AA13" s="44">
        <v>1</v>
      </c>
      <c r="AB13" s="44">
        <v>0</v>
      </c>
      <c r="AC13" s="44">
        <v>1</v>
      </c>
      <c r="AD13" s="39">
        <v>0</v>
      </c>
    </row>
    <row r="14" spans="1:30" x14ac:dyDescent="0.35">
      <c r="A14" s="27" t="s">
        <v>7</v>
      </c>
      <c r="B14" s="28">
        <v>18</v>
      </c>
      <c r="C14" s="28" t="s">
        <v>12</v>
      </c>
      <c r="D14" s="29" t="s">
        <v>11</v>
      </c>
      <c r="E14" s="29" t="s">
        <v>11</v>
      </c>
      <c r="F14" s="29" t="s">
        <v>11</v>
      </c>
      <c r="G14" s="38">
        <v>711</v>
      </c>
      <c r="H14" s="44">
        <v>0</v>
      </c>
      <c r="I14" s="44">
        <v>0</v>
      </c>
      <c r="J14" s="44">
        <v>0</v>
      </c>
      <c r="K14" s="44">
        <v>0</v>
      </c>
      <c r="L14" s="44">
        <v>1</v>
      </c>
      <c r="M14" s="44">
        <v>0</v>
      </c>
      <c r="N14" s="44">
        <v>0</v>
      </c>
      <c r="O14" s="44">
        <v>0</v>
      </c>
      <c r="P14" s="44">
        <v>0</v>
      </c>
      <c r="Q14" s="44">
        <v>0</v>
      </c>
      <c r="R14" s="44">
        <v>0</v>
      </c>
      <c r="S14" s="44">
        <v>0</v>
      </c>
      <c r="T14" s="44">
        <v>0</v>
      </c>
      <c r="U14" s="44">
        <v>0</v>
      </c>
      <c r="V14" s="44">
        <v>1</v>
      </c>
      <c r="W14" s="44">
        <v>0</v>
      </c>
      <c r="X14" s="44">
        <v>0</v>
      </c>
      <c r="Y14" s="44">
        <v>1</v>
      </c>
      <c r="Z14" s="44">
        <v>0</v>
      </c>
      <c r="AA14" s="44">
        <v>1</v>
      </c>
      <c r="AB14" s="44">
        <v>0</v>
      </c>
      <c r="AC14" s="44">
        <v>1</v>
      </c>
      <c r="AD14" s="39">
        <v>0</v>
      </c>
    </row>
    <row r="15" spans="1:30" x14ac:dyDescent="0.35">
      <c r="A15" s="27" t="s">
        <v>7</v>
      </c>
      <c r="B15" s="28">
        <v>19</v>
      </c>
      <c r="C15" s="28" t="s">
        <v>13</v>
      </c>
      <c r="D15" s="29" t="s">
        <v>9</v>
      </c>
      <c r="E15" s="29" t="s">
        <v>11</v>
      </c>
      <c r="F15" s="29" t="s">
        <v>11</v>
      </c>
      <c r="G15" s="38">
        <v>1545</v>
      </c>
      <c r="H15" s="44">
        <v>0</v>
      </c>
      <c r="I15" s="44">
        <v>0</v>
      </c>
      <c r="J15" s="44">
        <v>0</v>
      </c>
      <c r="K15" s="44">
        <v>0</v>
      </c>
      <c r="L15" s="44">
        <v>1</v>
      </c>
      <c r="M15" s="44">
        <v>0</v>
      </c>
      <c r="N15" s="44">
        <v>0</v>
      </c>
      <c r="O15" s="44">
        <v>0</v>
      </c>
      <c r="P15" s="44">
        <v>0</v>
      </c>
      <c r="Q15" s="44">
        <v>0</v>
      </c>
      <c r="R15" s="44">
        <v>0</v>
      </c>
      <c r="S15" s="44">
        <v>0</v>
      </c>
      <c r="T15" s="44">
        <v>1</v>
      </c>
      <c r="U15" s="44">
        <v>0</v>
      </c>
      <c r="V15" s="44">
        <v>0</v>
      </c>
      <c r="W15" s="44">
        <v>0</v>
      </c>
      <c r="X15" s="44">
        <v>0</v>
      </c>
      <c r="Y15" s="44">
        <v>0</v>
      </c>
      <c r="Z15" s="44">
        <v>1</v>
      </c>
      <c r="AA15" s="44">
        <v>1</v>
      </c>
      <c r="AB15" s="44">
        <v>0</v>
      </c>
      <c r="AC15" s="44">
        <v>1</v>
      </c>
      <c r="AD15" s="39">
        <v>0</v>
      </c>
    </row>
    <row r="16" spans="1:30" x14ac:dyDescent="0.35">
      <c r="A16" s="27" t="s">
        <v>7</v>
      </c>
      <c r="B16" s="28">
        <v>22</v>
      </c>
      <c r="C16" s="28" t="s">
        <v>14</v>
      </c>
      <c r="D16" s="29" t="s">
        <v>11</v>
      </c>
      <c r="E16" s="29" t="s">
        <v>11</v>
      </c>
      <c r="F16" s="29" t="s">
        <v>11</v>
      </c>
      <c r="G16" s="38">
        <v>873</v>
      </c>
      <c r="H16" s="44">
        <v>0</v>
      </c>
      <c r="I16" s="44">
        <v>0</v>
      </c>
      <c r="J16" s="44">
        <v>0</v>
      </c>
      <c r="K16" s="44">
        <v>0</v>
      </c>
      <c r="L16" s="44">
        <v>1</v>
      </c>
      <c r="M16" s="44">
        <v>0</v>
      </c>
      <c r="N16" s="44">
        <v>0</v>
      </c>
      <c r="O16" s="44">
        <v>0</v>
      </c>
      <c r="P16" s="44">
        <v>0</v>
      </c>
      <c r="Q16" s="44">
        <v>0</v>
      </c>
      <c r="R16" s="44">
        <v>0</v>
      </c>
      <c r="S16" s="44">
        <v>0</v>
      </c>
      <c r="T16" s="44">
        <v>0</v>
      </c>
      <c r="U16" s="44">
        <v>1</v>
      </c>
      <c r="V16" s="44">
        <v>0</v>
      </c>
      <c r="W16" s="44">
        <v>0</v>
      </c>
      <c r="X16" s="44">
        <v>0</v>
      </c>
      <c r="Y16" s="44">
        <v>1</v>
      </c>
      <c r="Z16" s="44">
        <v>0</v>
      </c>
      <c r="AA16" s="44">
        <v>1</v>
      </c>
      <c r="AB16" s="44">
        <v>0</v>
      </c>
      <c r="AC16" s="44">
        <v>1</v>
      </c>
      <c r="AD16" s="39">
        <v>0</v>
      </c>
    </row>
    <row r="17" spans="1:30" x14ac:dyDescent="0.35">
      <c r="A17" s="27" t="s">
        <v>7</v>
      </c>
      <c r="B17" s="28">
        <v>23</v>
      </c>
      <c r="C17" s="28" t="s">
        <v>8</v>
      </c>
      <c r="D17" s="29" t="s">
        <v>11</v>
      </c>
      <c r="E17" s="29" t="s">
        <v>11</v>
      </c>
      <c r="F17" s="29" t="s">
        <v>11</v>
      </c>
      <c r="G17" s="38">
        <v>713</v>
      </c>
      <c r="H17" s="44">
        <v>0</v>
      </c>
      <c r="I17" s="44">
        <v>0</v>
      </c>
      <c r="J17" s="44">
        <v>0</v>
      </c>
      <c r="K17" s="44">
        <v>0</v>
      </c>
      <c r="L17" s="44">
        <v>1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4">
        <v>1</v>
      </c>
      <c r="X17" s="44">
        <v>0</v>
      </c>
      <c r="Y17" s="44">
        <v>1</v>
      </c>
      <c r="Z17" s="44">
        <v>0</v>
      </c>
      <c r="AA17" s="44">
        <v>1</v>
      </c>
      <c r="AB17" s="44">
        <v>0</v>
      </c>
      <c r="AC17" s="44">
        <v>1</v>
      </c>
      <c r="AD17" s="39">
        <v>0</v>
      </c>
    </row>
    <row r="18" spans="1:30" x14ac:dyDescent="0.35">
      <c r="A18" s="27" t="s">
        <v>7</v>
      </c>
      <c r="B18" s="28">
        <v>24</v>
      </c>
      <c r="C18" s="28" t="s">
        <v>10</v>
      </c>
      <c r="D18" s="29" t="s">
        <v>11</v>
      </c>
      <c r="E18" s="29" t="s">
        <v>11</v>
      </c>
      <c r="F18" s="29" t="s">
        <v>11</v>
      </c>
      <c r="G18" s="38">
        <v>626</v>
      </c>
      <c r="H18" s="44">
        <v>0</v>
      </c>
      <c r="I18" s="44">
        <v>0</v>
      </c>
      <c r="J18" s="44">
        <v>0</v>
      </c>
      <c r="K18" s="44">
        <v>0</v>
      </c>
      <c r="L18" s="44">
        <v>1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4">
        <v>0</v>
      </c>
      <c r="X18" s="44">
        <v>1</v>
      </c>
      <c r="Y18" s="44">
        <v>1</v>
      </c>
      <c r="Z18" s="44">
        <v>0</v>
      </c>
      <c r="AA18" s="44">
        <v>1</v>
      </c>
      <c r="AB18" s="44">
        <v>0</v>
      </c>
      <c r="AC18" s="44">
        <v>1</v>
      </c>
      <c r="AD18" s="39">
        <v>0</v>
      </c>
    </row>
    <row r="19" spans="1:30" x14ac:dyDescent="0.35">
      <c r="A19" s="27" t="s">
        <v>7</v>
      </c>
      <c r="B19" s="28">
        <v>25</v>
      </c>
      <c r="C19" s="28" t="s">
        <v>12</v>
      </c>
      <c r="D19" s="29" t="s">
        <v>11</v>
      </c>
      <c r="E19" s="29" t="s">
        <v>11</v>
      </c>
      <c r="F19" s="29" t="s">
        <v>11</v>
      </c>
      <c r="G19" s="38">
        <v>653</v>
      </c>
      <c r="H19" s="44">
        <v>0</v>
      </c>
      <c r="I19" s="44">
        <v>0</v>
      </c>
      <c r="J19" s="44">
        <v>0</v>
      </c>
      <c r="K19" s="44">
        <v>0</v>
      </c>
      <c r="L19" s="44">
        <v>1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1</v>
      </c>
      <c r="W19" s="44">
        <v>0</v>
      </c>
      <c r="X19" s="44">
        <v>0</v>
      </c>
      <c r="Y19" s="44">
        <v>1</v>
      </c>
      <c r="Z19" s="44">
        <v>0</v>
      </c>
      <c r="AA19" s="44">
        <v>1</v>
      </c>
      <c r="AB19" s="44">
        <v>0</v>
      </c>
      <c r="AC19" s="44">
        <v>1</v>
      </c>
      <c r="AD19" s="39">
        <v>0</v>
      </c>
    </row>
    <row r="20" spans="1:30" x14ac:dyDescent="0.35">
      <c r="A20" s="27" t="s">
        <v>7</v>
      </c>
      <c r="B20" s="28">
        <v>26</v>
      </c>
      <c r="C20" s="28" t="s">
        <v>13</v>
      </c>
      <c r="D20" s="29" t="s">
        <v>11</v>
      </c>
      <c r="E20" s="29" t="s">
        <v>11</v>
      </c>
      <c r="F20" s="29" t="s">
        <v>11</v>
      </c>
      <c r="G20" s="38">
        <v>1080</v>
      </c>
      <c r="H20" s="44">
        <v>0</v>
      </c>
      <c r="I20" s="44">
        <v>0</v>
      </c>
      <c r="J20" s="44">
        <v>0</v>
      </c>
      <c r="K20" s="44">
        <v>0</v>
      </c>
      <c r="L20" s="44">
        <v>1</v>
      </c>
      <c r="M20" s="44">
        <v>0</v>
      </c>
      <c r="N20" s="44">
        <v>0</v>
      </c>
      <c r="O20" s="44">
        <v>0</v>
      </c>
      <c r="P20" s="44">
        <v>0</v>
      </c>
      <c r="Q20" s="44">
        <v>0</v>
      </c>
      <c r="R20" s="44">
        <v>0</v>
      </c>
      <c r="S20" s="44">
        <v>0</v>
      </c>
      <c r="T20" s="44">
        <v>1</v>
      </c>
      <c r="U20" s="44">
        <v>0</v>
      </c>
      <c r="V20" s="44">
        <v>0</v>
      </c>
      <c r="W20" s="44">
        <v>0</v>
      </c>
      <c r="X20" s="44">
        <v>0</v>
      </c>
      <c r="Y20" s="44">
        <v>1</v>
      </c>
      <c r="Z20" s="44">
        <v>0</v>
      </c>
      <c r="AA20" s="44">
        <v>1</v>
      </c>
      <c r="AB20" s="44">
        <v>0</v>
      </c>
      <c r="AC20" s="44">
        <v>1</v>
      </c>
      <c r="AD20" s="39">
        <v>0</v>
      </c>
    </row>
    <row r="21" spans="1:30" x14ac:dyDescent="0.35">
      <c r="A21" s="27" t="s">
        <v>7</v>
      </c>
      <c r="B21" s="28">
        <v>29</v>
      </c>
      <c r="C21" s="28" t="s">
        <v>14</v>
      </c>
      <c r="D21" s="29" t="s">
        <v>11</v>
      </c>
      <c r="E21" s="29" t="s">
        <v>11</v>
      </c>
      <c r="F21" s="29" t="s">
        <v>11</v>
      </c>
      <c r="G21" s="38">
        <v>650</v>
      </c>
      <c r="H21" s="44">
        <v>0</v>
      </c>
      <c r="I21" s="44">
        <v>0</v>
      </c>
      <c r="J21" s="44">
        <v>0</v>
      </c>
      <c r="K21" s="44">
        <v>0</v>
      </c>
      <c r="L21" s="44">
        <v>1</v>
      </c>
      <c r="M21" s="44">
        <v>0</v>
      </c>
      <c r="N21" s="44">
        <v>0</v>
      </c>
      <c r="O21" s="44">
        <v>0</v>
      </c>
      <c r="P21" s="44">
        <v>0</v>
      </c>
      <c r="Q21" s="44">
        <v>0</v>
      </c>
      <c r="R21" s="44">
        <v>0</v>
      </c>
      <c r="S21" s="44">
        <v>0</v>
      </c>
      <c r="T21" s="44">
        <v>0</v>
      </c>
      <c r="U21" s="44">
        <v>1</v>
      </c>
      <c r="V21" s="44">
        <v>0</v>
      </c>
      <c r="W21" s="44">
        <v>0</v>
      </c>
      <c r="X21" s="44">
        <v>0</v>
      </c>
      <c r="Y21" s="44">
        <v>1</v>
      </c>
      <c r="Z21" s="44">
        <v>0</v>
      </c>
      <c r="AA21" s="44">
        <v>1</v>
      </c>
      <c r="AB21" s="44">
        <v>0</v>
      </c>
      <c r="AC21" s="44">
        <v>1</v>
      </c>
      <c r="AD21" s="39">
        <v>0</v>
      </c>
    </row>
    <row r="22" spans="1:30" x14ac:dyDescent="0.35">
      <c r="A22" s="27" t="s">
        <v>7</v>
      </c>
      <c r="B22" s="28">
        <v>30</v>
      </c>
      <c r="C22" s="28" t="s">
        <v>8</v>
      </c>
      <c r="D22" s="29" t="s">
        <v>11</v>
      </c>
      <c r="E22" s="29" t="s">
        <v>11</v>
      </c>
      <c r="F22" s="29" t="s">
        <v>11</v>
      </c>
      <c r="G22" s="38">
        <v>644</v>
      </c>
      <c r="H22" s="44">
        <v>0</v>
      </c>
      <c r="I22" s="44">
        <v>0</v>
      </c>
      <c r="J22" s="44">
        <v>0</v>
      </c>
      <c r="K22" s="44">
        <v>0</v>
      </c>
      <c r="L22" s="44">
        <v>1</v>
      </c>
      <c r="M22" s="44">
        <v>0</v>
      </c>
      <c r="N22" s="44">
        <v>0</v>
      </c>
      <c r="O22" s="44">
        <v>0</v>
      </c>
      <c r="P22" s="44">
        <v>0</v>
      </c>
      <c r="Q22" s="44">
        <v>0</v>
      </c>
      <c r="R22" s="44">
        <v>0</v>
      </c>
      <c r="S22" s="44">
        <v>0</v>
      </c>
      <c r="T22" s="44">
        <v>0</v>
      </c>
      <c r="U22" s="44">
        <v>0</v>
      </c>
      <c r="V22" s="44">
        <v>0</v>
      </c>
      <c r="W22" s="44">
        <v>1</v>
      </c>
      <c r="X22" s="44">
        <v>0</v>
      </c>
      <c r="Y22" s="44">
        <v>1</v>
      </c>
      <c r="Z22" s="44">
        <v>0</v>
      </c>
      <c r="AA22" s="44">
        <v>1</v>
      </c>
      <c r="AB22" s="44">
        <v>0</v>
      </c>
      <c r="AC22" s="44">
        <v>1</v>
      </c>
      <c r="AD22" s="39">
        <v>0</v>
      </c>
    </row>
    <row r="23" spans="1:30" x14ac:dyDescent="0.35">
      <c r="A23" s="27" t="s">
        <v>7</v>
      </c>
      <c r="B23" s="28">
        <v>31</v>
      </c>
      <c r="C23" s="28" t="s">
        <v>10</v>
      </c>
      <c r="D23" s="29" t="s">
        <v>11</v>
      </c>
      <c r="E23" s="29" t="s">
        <v>11</v>
      </c>
      <c r="F23" s="29" t="s">
        <v>11</v>
      </c>
      <c r="G23" s="38">
        <v>803</v>
      </c>
      <c r="H23" s="44">
        <v>0</v>
      </c>
      <c r="I23" s="44">
        <v>0</v>
      </c>
      <c r="J23" s="44">
        <v>0</v>
      </c>
      <c r="K23" s="44">
        <v>0</v>
      </c>
      <c r="L23" s="44">
        <v>1</v>
      </c>
      <c r="M23" s="44">
        <v>0</v>
      </c>
      <c r="N23" s="44">
        <v>0</v>
      </c>
      <c r="O23" s="44">
        <v>0</v>
      </c>
      <c r="P23" s="44">
        <v>0</v>
      </c>
      <c r="Q23" s="44">
        <v>0</v>
      </c>
      <c r="R23" s="44">
        <v>0</v>
      </c>
      <c r="S23" s="44">
        <v>0</v>
      </c>
      <c r="T23" s="44">
        <v>0</v>
      </c>
      <c r="U23" s="44">
        <v>0</v>
      </c>
      <c r="V23" s="44">
        <v>0</v>
      </c>
      <c r="W23" s="44">
        <v>0</v>
      </c>
      <c r="X23" s="44">
        <v>1</v>
      </c>
      <c r="Y23" s="44">
        <v>1</v>
      </c>
      <c r="Z23" s="44">
        <v>0</v>
      </c>
      <c r="AA23" s="44">
        <v>1</v>
      </c>
      <c r="AB23" s="44">
        <v>0</v>
      </c>
      <c r="AC23" s="44">
        <v>1</v>
      </c>
      <c r="AD23" s="39">
        <v>0</v>
      </c>
    </row>
    <row r="24" spans="1:30" x14ac:dyDescent="0.35">
      <c r="A24" s="27" t="s">
        <v>15</v>
      </c>
      <c r="B24" s="28">
        <v>1</v>
      </c>
      <c r="C24" s="28" t="s">
        <v>12</v>
      </c>
      <c r="D24" s="29" t="s">
        <v>11</v>
      </c>
      <c r="E24" s="29" t="s">
        <v>9</v>
      </c>
      <c r="F24" s="29" t="s">
        <v>11</v>
      </c>
      <c r="G24" s="38">
        <v>1282</v>
      </c>
      <c r="H24" s="44">
        <v>0</v>
      </c>
      <c r="I24" s="44">
        <v>0</v>
      </c>
      <c r="J24" s="44">
        <v>0</v>
      </c>
      <c r="K24" s="44">
        <v>1</v>
      </c>
      <c r="L24" s="44">
        <v>0</v>
      </c>
      <c r="M24" s="44">
        <v>0</v>
      </c>
      <c r="N24" s="44">
        <v>0</v>
      </c>
      <c r="O24" s="44">
        <v>0</v>
      </c>
      <c r="P24" s="44">
        <v>0</v>
      </c>
      <c r="Q24" s="44">
        <v>0</v>
      </c>
      <c r="R24" s="44">
        <v>0</v>
      </c>
      <c r="S24" s="44">
        <v>0</v>
      </c>
      <c r="T24" s="44">
        <v>0</v>
      </c>
      <c r="U24" s="44">
        <v>0</v>
      </c>
      <c r="V24" s="44">
        <v>1</v>
      </c>
      <c r="W24" s="44">
        <v>0</v>
      </c>
      <c r="X24" s="44">
        <v>0</v>
      </c>
      <c r="Y24" s="44">
        <v>1</v>
      </c>
      <c r="Z24" s="44">
        <v>0</v>
      </c>
      <c r="AA24" s="44">
        <v>0</v>
      </c>
      <c r="AB24" s="44">
        <v>1</v>
      </c>
      <c r="AC24" s="44">
        <v>1</v>
      </c>
      <c r="AD24" s="39">
        <v>0</v>
      </c>
    </row>
    <row r="25" spans="1:30" x14ac:dyDescent="0.35">
      <c r="A25" s="27" t="s">
        <v>15</v>
      </c>
      <c r="B25" s="28">
        <v>2</v>
      </c>
      <c r="C25" s="28" t="s">
        <v>13</v>
      </c>
      <c r="D25" s="29" t="s">
        <v>9</v>
      </c>
      <c r="E25" s="29" t="s">
        <v>11</v>
      </c>
      <c r="F25" s="29" t="s">
        <v>11</v>
      </c>
      <c r="G25" s="38">
        <v>2043</v>
      </c>
      <c r="H25" s="44">
        <v>0</v>
      </c>
      <c r="I25" s="44">
        <v>0</v>
      </c>
      <c r="J25" s="44">
        <v>0</v>
      </c>
      <c r="K25" s="44">
        <v>1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1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  <c r="Z25" s="44">
        <v>1</v>
      </c>
      <c r="AA25" s="44">
        <v>1</v>
      </c>
      <c r="AB25" s="44">
        <v>0</v>
      </c>
      <c r="AC25" s="44">
        <v>1</v>
      </c>
      <c r="AD25" s="39">
        <v>0</v>
      </c>
    </row>
    <row r="26" spans="1:30" x14ac:dyDescent="0.35">
      <c r="A26" s="27" t="s">
        <v>15</v>
      </c>
      <c r="B26" s="28">
        <v>5</v>
      </c>
      <c r="C26" s="28" t="s">
        <v>14</v>
      </c>
      <c r="D26" s="29" t="s">
        <v>11</v>
      </c>
      <c r="E26" s="29" t="s">
        <v>11</v>
      </c>
      <c r="F26" s="29" t="s">
        <v>11</v>
      </c>
      <c r="G26" s="38">
        <v>1146</v>
      </c>
      <c r="H26" s="44">
        <v>0</v>
      </c>
      <c r="I26" s="44">
        <v>0</v>
      </c>
      <c r="J26" s="44">
        <v>0</v>
      </c>
      <c r="K26" s="44">
        <v>1</v>
      </c>
      <c r="L26" s="44">
        <v>0</v>
      </c>
      <c r="M26" s="44">
        <v>0</v>
      </c>
      <c r="N26" s="44">
        <v>0</v>
      </c>
      <c r="O26" s="44">
        <v>0</v>
      </c>
      <c r="P26" s="44">
        <v>0</v>
      </c>
      <c r="Q26" s="44">
        <v>0</v>
      </c>
      <c r="R26" s="44">
        <v>0</v>
      </c>
      <c r="S26" s="44">
        <v>0</v>
      </c>
      <c r="T26" s="44">
        <v>0</v>
      </c>
      <c r="U26" s="44">
        <v>1</v>
      </c>
      <c r="V26" s="44">
        <v>0</v>
      </c>
      <c r="W26" s="44">
        <v>0</v>
      </c>
      <c r="X26" s="44">
        <v>0</v>
      </c>
      <c r="Y26" s="44">
        <v>1</v>
      </c>
      <c r="Z26" s="44">
        <v>0</v>
      </c>
      <c r="AA26" s="44">
        <v>1</v>
      </c>
      <c r="AB26" s="44">
        <v>0</v>
      </c>
      <c r="AC26" s="44">
        <v>1</v>
      </c>
      <c r="AD26" s="39">
        <v>0</v>
      </c>
    </row>
    <row r="27" spans="1:30" x14ac:dyDescent="0.35">
      <c r="A27" s="27" t="s">
        <v>15</v>
      </c>
      <c r="B27" s="28">
        <v>6</v>
      </c>
      <c r="C27" s="28" t="s">
        <v>8</v>
      </c>
      <c r="D27" s="29" t="s">
        <v>11</v>
      </c>
      <c r="E27" s="29" t="s">
        <v>11</v>
      </c>
      <c r="F27" s="29" t="s">
        <v>11</v>
      </c>
      <c r="G27" s="38">
        <v>740</v>
      </c>
      <c r="H27" s="44">
        <v>0</v>
      </c>
      <c r="I27" s="44">
        <v>0</v>
      </c>
      <c r="J27" s="44">
        <v>0</v>
      </c>
      <c r="K27" s="44">
        <v>1</v>
      </c>
      <c r="L27" s="44">
        <v>0</v>
      </c>
      <c r="M27" s="44">
        <v>0</v>
      </c>
      <c r="N27" s="44">
        <v>0</v>
      </c>
      <c r="O27" s="44">
        <v>0</v>
      </c>
      <c r="P27" s="44">
        <v>0</v>
      </c>
      <c r="Q27" s="44">
        <v>0</v>
      </c>
      <c r="R27" s="44">
        <v>0</v>
      </c>
      <c r="S27" s="44">
        <v>0</v>
      </c>
      <c r="T27" s="44">
        <v>0</v>
      </c>
      <c r="U27" s="44">
        <v>0</v>
      </c>
      <c r="V27" s="44">
        <v>0</v>
      </c>
      <c r="W27" s="44">
        <v>1</v>
      </c>
      <c r="X27" s="44">
        <v>0</v>
      </c>
      <c r="Y27" s="44">
        <v>1</v>
      </c>
      <c r="Z27" s="44">
        <v>0</v>
      </c>
      <c r="AA27" s="44">
        <v>1</v>
      </c>
      <c r="AB27" s="44">
        <v>0</v>
      </c>
      <c r="AC27" s="44">
        <v>1</v>
      </c>
      <c r="AD27" s="39">
        <v>0</v>
      </c>
    </row>
    <row r="28" spans="1:30" x14ac:dyDescent="0.35">
      <c r="A28" s="27" t="s">
        <v>15</v>
      </c>
      <c r="B28" s="28">
        <v>7</v>
      </c>
      <c r="C28" s="28" t="s">
        <v>10</v>
      </c>
      <c r="D28" s="29" t="s">
        <v>11</v>
      </c>
      <c r="E28" s="29" t="s">
        <v>11</v>
      </c>
      <c r="F28" s="29" t="s">
        <v>11</v>
      </c>
      <c r="G28" s="38">
        <v>698</v>
      </c>
      <c r="H28" s="44">
        <v>0</v>
      </c>
      <c r="I28" s="44">
        <v>0</v>
      </c>
      <c r="J28" s="44">
        <v>0</v>
      </c>
      <c r="K28" s="44">
        <v>1</v>
      </c>
      <c r="L28" s="44">
        <v>0</v>
      </c>
      <c r="M28" s="44">
        <v>0</v>
      </c>
      <c r="N28" s="44">
        <v>0</v>
      </c>
      <c r="O28" s="44">
        <v>0</v>
      </c>
      <c r="P28" s="44">
        <v>0</v>
      </c>
      <c r="Q28" s="44">
        <v>0</v>
      </c>
      <c r="R28" s="44">
        <v>0</v>
      </c>
      <c r="S28" s="44">
        <v>0</v>
      </c>
      <c r="T28" s="44">
        <v>0</v>
      </c>
      <c r="U28" s="44">
        <v>0</v>
      </c>
      <c r="V28" s="44">
        <v>0</v>
      </c>
      <c r="W28" s="44">
        <v>0</v>
      </c>
      <c r="X28" s="44">
        <v>1</v>
      </c>
      <c r="Y28" s="44">
        <v>1</v>
      </c>
      <c r="Z28" s="44">
        <v>0</v>
      </c>
      <c r="AA28" s="44">
        <v>1</v>
      </c>
      <c r="AB28" s="44">
        <v>0</v>
      </c>
      <c r="AC28" s="44">
        <v>1</v>
      </c>
      <c r="AD28" s="39">
        <v>0</v>
      </c>
    </row>
    <row r="29" spans="1:30" x14ac:dyDescent="0.35">
      <c r="A29" s="27" t="s">
        <v>15</v>
      </c>
      <c r="B29" s="28">
        <v>8</v>
      </c>
      <c r="C29" s="28" t="s">
        <v>12</v>
      </c>
      <c r="D29" s="29" t="s">
        <v>11</v>
      </c>
      <c r="E29" s="29" t="s">
        <v>11</v>
      </c>
      <c r="F29" s="29" t="s">
        <v>11</v>
      </c>
      <c r="G29" s="38">
        <v>695</v>
      </c>
      <c r="H29" s="44">
        <v>0</v>
      </c>
      <c r="I29" s="44">
        <v>0</v>
      </c>
      <c r="J29" s="44">
        <v>0</v>
      </c>
      <c r="K29" s="44">
        <v>1</v>
      </c>
      <c r="L29" s="44">
        <v>0</v>
      </c>
      <c r="M29" s="44">
        <v>0</v>
      </c>
      <c r="N29" s="44">
        <v>0</v>
      </c>
      <c r="O29" s="44">
        <v>0</v>
      </c>
      <c r="P29" s="44">
        <v>0</v>
      </c>
      <c r="Q29" s="44">
        <v>0</v>
      </c>
      <c r="R29" s="44">
        <v>0</v>
      </c>
      <c r="S29" s="44">
        <v>0</v>
      </c>
      <c r="T29" s="44">
        <v>0</v>
      </c>
      <c r="U29" s="44">
        <v>0</v>
      </c>
      <c r="V29" s="44">
        <v>1</v>
      </c>
      <c r="W29" s="44">
        <v>0</v>
      </c>
      <c r="X29" s="44">
        <v>0</v>
      </c>
      <c r="Y29" s="44">
        <v>1</v>
      </c>
      <c r="Z29" s="44">
        <v>0</v>
      </c>
      <c r="AA29" s="44">
        <v>1</v>
      </c>
      <c r="AB29" s="44">
        <v>0</v>
      </c>
      <c r="AC29" s="44">
        <v>1</v>
      </c>
      <c r="AD29" s="39">
        <v>0</v>
      </c>
    </row>
    <row r="30" spans="1:30" x14ac:dyDescent="0.35">
      <c r="A30" s="27" t="s">
        <v>15</v>
      </c>
      <c r="B30" s="28">
        <v>9</v>
      </c>
      <c r="C30" s="28" t="s">
        <v>13</v>
      </c>
      <c r="D30" s="29" t="s">
        <v>11</v>
      </c>
      <c r="E30" s="29" t="s">
        <v>11</v>
      </c>
      <c r="F30" s="29" t="s">
        <v>11</v>
      </c>
      <c r="G30" s="38">
        <v>1159</v>
      </c>
      <c r="H30" s="44">
        <v>0</v>
      </c>
      <c r="I30" s="44">
        <v>0</v>
      </c>
      <c r="J30" s="44">
        <v>0</v>
      </c>
      <c r="K30" s="44">
        <v>1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1</v>
      </c>
      <c r="U30" s="44">
        <v>0</v>
      </c>
      <c r="V30" s="44">
        <v>0</v>
      </c>
      <c r="W30" s="44">
        <v>0</v>
      </c>
      <c r="X30" s="44">
        <v>0</v>
      </c>
      <c r="Y30" s="44">
        <v>1</v>
      </c>
      <c r="Z30" s="44">
        <v>0</v>
      </c>
      <c r="AA30" s="44">
        <v>1</v>
      </c>
      <c r="AB30" s="44">
        <v>0</v>
      </c>
      <c r="AC30" s="44">
        <v>1</v>
      </c>
      <c r="AD30" s="39">
        <v>0</v>
      </c>
    </row>
    <row r="31" spans="1:30" x14ac:dyDescent="0.35">
      <c r="A31" s="27" t="s">
        <v>15</v>
      </c>
      <c r="B31" s="28">
        <v>12</v>
      </c>
      <c r="C31" s="28" t="s">
        <v>14</v>
      </c>
      <c r="D31" s="29" t="s">
        <v>11</v>
      </c>
      <c r="E31" s="29" t="s">
        <v>11</v>
      </c>
      <c r="F31" s="29" t="s">
        <v>11</v>
      </c>
      <c r="G31" s="38">
        <v>881</v>
      </c>
      <c r="H31" s="44">
        <v>0</v>
      </c>
      <c r="I31" s="44">
        <v>0</v>
      </c>
      <c r="J31" s="44">
        <v>0</v>
      </c>
      <c r="K31" s="44">
        <v>1</v>
      </c>
      <c r="L31" s="44">
        <v>0</v>
      </c>
      <c r="M31" s="44">
        <v>0</v>
      </c>
      <c r="N31" s="44">
        <v>0</v>
      </c>
      <c r="O31" s="44">
        <v>0</v>
      </c>
      <c r="P31" s="44">
        <v>0</v>
      </c>
      <c r="Q31" s="44">
        <v>0</v>
      </c>
      <c r="R31" s="44">
        <v>0</v>
      </c>
      <c r="S31" s="44">
        <v>0</v>
      </c>
      <c r="T31" s="44">
        <v>0</v>
      </c>
      <c r="U31" s="44">
        <v>1</v>
      </c>
      <c r="V31" s="44">
        <v>0</v>
      </c>
      <c r="W31" s="44">
        <v>0</v>
      </c>
      <c r="X31" s="44">
        <v>0</v>
      </c>
      <c r="Y31" s="44">
        <v>1</v>
      </c>
      <c r="Z31" s="44">
        <v>0</v>
      </c>
      <c r="AA31" s="44">
        <v>1</v>
      </c>
      <c r="AB31" s="44">
        <v>0</v>
      </c>
      <c r="AC31" s="44">
        <v>1</v>
      </c>
      <c r="AD31" s="39">
        <v>0</v>
      </c>
    </row>
    <row r="32" spans="1:30" x14ac:dyDescent="0.35">
      <c r="A32" s="27" t="s">
        <v>15</v>
      </c>
      <c r="B32" s="28">
        <v>13</v>
      </c>
      <c r="C32" s="28" t="s">
        <v>8</v>
      </c>
      <c r="D32" s="29" t="s">
        <v>11</v>
      </c>
      <c r="E32" s="29" t="s">
        <v>11</v>
      </c>
      <c r="F32" s="29" t="s">
        <v>11</v>
      </c>
      <c r="G32" s="38">
        <v>768</v>
      </c>
      <c r="H32" s="44">
        <v>0</v>
      </c>
      <c r="I32" s="44">
        <v>0</v>
      </c>
      <c r="J32" s="44">
        <v>0</v>
      </c>
      <c r="K32" s="44">
        <v>1</v>
      </c>
      <c r="L32" s="44">
        <v>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  <c r="S32" s="44">
        <v>0</v>
      </c>
      <c r="T32" s="44">
        <v>0</v>
      </c>
      <c r="U32" s="44">
        <v>0</v>
      </c>
      <c r="V32" s="44">
        <v>0</v>
      </c>
      <c r="W32" s="44">
        <v>1</v>
      </c>
      <c r="X32" s="44">
        <v>0</v>
      </c>
      <c r="Y32" s="44">
        <v>1</v>
      </c>
      <c r="Z32" s="44">
        <v>0</v>
      </c>
      <c r="AA32" s="44">
        <v>1</v>
      </c>
      <c r="AB32" s="44">
        <v>0</v>
      </c>
      <c r="AC32" s="44">
        <v>1</v>
      </c>
      <c r="AD32" s="39">
        <v>0</v>
      </c>
    </row>
    <row r="33" spans="1:30" x14ac:dyDescent="0.35">
      <c r="A33" s="27" t="s">
        <v>15</v>
      </c>
      <c r="B33" s="28">
        <v>14</v>
      </c>
      <c r="C33" s="28" t="s">
        <v>10</v>
      </c>
      <c r="D33" s="29" t="s">
        <v>11</v>
      </c>
      <c r="E33" s="29" t="s">
        <v>11</v>
      </c>
      <c r="F33" s="29" t="s">
        <v>11</v>
      </c>
      <c r="G33" s="38">
        <v>654</v>
      </c>
      <c r="H33" s="44">
        <v>0</v>
      </c>
      <c r="I33" s="44">
        <v>0</v>
      </c>
      <c r="J33" s="44">
        <v>0</v>
      </c>
      <c r="K33" s="44">
        <v>1</v>
      </c>
      <c r="L33" s="44">
        <v>0</v>
      </c>
      <c r="M33" s="44">
        <v>0</v>
      </c>
      <c r="N33" s="44">
        <v>0</v>
      </c>
      <c r="O33" s="44">
        <v>0</v>
      </c>
      <c r="P33" s="44">
        <v>0</v>
      </c>
      <c r="Q33" s="44">
        <v>0</v>
      </c>
      <c r="R33" s="44">
        <v>0</v>
      </c>
      <c r="S33" s="44">
        <v>0</v>
      </c>
      <c r="T33" s="44">
        <v>0</v>
      </c>
      <c r="U33" s="44">
        <v>0</v>
      </c>
      <c r="V33" s="44">
        <v>0</v>
      </c>
      <c r="W33" s="44">
        <v>0</v>
      </c>
      <c r="X33" s="44">
        <v>1</v>
      </c>
      <c r="Y33" s="44">
        <v>1</v>
      </c>
      <c r="Z33" s="44">
        <v>0</v>
      </c>
      <c r="AA33" s="44">
        <v>1</v>
      </c>
      <c r="AB33" s="44">
        <v>0</v>
      </c>
      <c r="AC33" s="44">
        <v>1</v>
      </c>
      <c r="AD33" s="39">
        <v>0</v>
      </c>
    </row>
    <row r="34" spans="1:30" x14ac:dyDescent="0.35">
      <c r="A34" s="27" t="s">
        <v>15</v>
      </c>
      <c r="B34" s="28">
        <v>15</v>
      </c>
      <c r="C34" s="28" t="s">
        <v>12</v>
      </c>
      <c r="D34" s="29" t="s">
        <v>11</v>
      </c>
      <c r="E34" s="29" t="s">
        <v>11</v>
      </c>
      <c r="F34" s="29" t="s">
        <v>11</v>
      </c>
      <c r="G34" s="38">
        <v>858</v>
      </c>
      <c r="H34" s="44">
        <v>0</v>
      </c>
      <c r="I34" s="44">
        <v>0</v>
      </c>
      <c r="J34" s="44">
        <v>0</v>
      </c>
      <c r="K34" s="44">
        <v>1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4">
        <v>0</v>
      </c>
      <c r="U34" s="44">
        <v>0</v>
      </c>
      <c r="V34" s="44">
        <v>1</v>
      </c>
      <c r="W34" s="44">
        <v>0</v>
      </c>
      <c r="X34" s="44">
        <v>0</v>
      </c>
      <c r="Y34" s="44">
        <v>1</v>
      </c>
      <c r="Z34" s="44">
        <v>0</v>
      </c>
      <c r="AA34" s="44">
        <v>1</v>
      </c>
      <c r="AB34" s="44">
        <v>0</v>
      </c>
      <c r="AC34" s="44">
        <v>1</v>
      </c>
      <c r="AD34" s="39">
        <v>0</v>
      </c>
    </row>
    <row r="35" spans="1:30" x14ac:dyDescent="0.35">
      <c r="A35" s="27" t="s">
        <v>15</v>
      </c>
      <c r="B35" s="28">
        <v>16</v>
      </c>
      <c r="C35" s="28" t="s">
        <v>13</v>
      </c>
      <c r="D35" s="29" t="s">
        <v>9</v>
      </c>
      <c r="E35" s="29" t="s">
        <v>11</v>
      </c>
      <c r="F35" s="29" t="s">
        <v>11</v>
      </c>
      <c r="G35" s="38">
        <v>1647</v>
      </c>
      <c r="H35" s="44">
        <v>0</v>
      </c>
      <c r="I35" s="44">
        <v>0</v>
      </c>
      <c r="J35" s="44">
        <v>0</v>
      </c>
      <c r="K35" s="44">
        <v>1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1</v>
      </c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4">
        <v>1</v>
      </c>
      <c r="AA35" s="44">
        <v>1</v>
      </c>
      <c r="AB35" s="44">
        <v>0</v>
      </c>
      <c r="AC35" s="44">
        <v>1</v>
      </c>
      <c r="AD35" s="39">
        <v>0</v>
      </c>
    </row>
    <row r="36" spans="1:30" x14ac:dyDescent="0.35">
      <c r="A36" s="27" t="s">
        <v>15</v>
      </c>
      <c r="B36" s="28">
        <v>19</v>
      </c>
      <c r="C36" s="28" t="s">
        <v>14</v>
      </c>
      <c r="D36" s="29" t="s">
        <v>11</v>
      </c>
      <c r="E36" s="29" t="s">
        <v>11</v>
      </c>
      <c r="F36" s="29" t="s">
        <v>11</v>
      </c>
      <c r="G36" s="38">
        <v>773</v>
      </c>
      <c r="H36" s="44">
        <v>0</v>
      </c>
      <c r="I36" s="44">
        <v>0</v>
      </c>
      <c r="J36" s="44">
        <v>0</v>
      </c>
      <c r="K36" s="44">
        <v>1</v>
      </c>
      <c r="L36" s="44">
        <v>0</v>
      </c>
      <c r="M36" s="44">
        <v>0</v>
      </c>
      <c r="N36" s="44">
        <v>0</v>
      </c>
      <c r="O36" s="44">
        <v>0</v>
      </c>
      <c r="P36" s="44">
        <v>0</v>
      </c>
      <c r="Q36" s="44">
        <v>0</v>
      </c>
      <c r="R36" s="44">
        <v>0</v>
      </c>
      <c r="S36" s="44">
        <v>0</v>
      </c>
      <c r="T36" s="44">
        <v>0</v>
      </c>
      <c r="U36" s="44">
        <v>1</v>
      </c>
      <c r="V36" s="44">
        <v>0</v>
      </c>
      <c r="W36" s="44">
        <v>0</v>
      </c>
      <c r="X36" s="44">
        <v>0</v>
      </c>
      <c r="Y36" s="44">
        <v>1</v>
      </c>
      <c r="Z36" s="44">
        <v>0</v>
      </c>
      <c r="AA36" s="44">
        <v>1</v>
      </c>
      <c r="AB36" s="44">
        <v>0</v>
      </c>
      <c r="AC36" s="44">
        <v>1</v>
      </c>
      <c r="AD36" s="39">
        <v>0</v>
      </c>
    </row>
    <row r="37" spans="1:30" x14ac:dyDescent="0.35">
      <c r="A37" s="27" t="s">
        <v>15</v>
      </c>
      <c r="B37" s="28">
        <v>20</v>
      </c>
      <c r="C37" s="28" t="s">
        <v>8</v>
      </c>
      <c r="D37" s="29" t="s">
        <v>11</v>
      </c>
      <c r="E37" s="29" t="s">
        <v>11</v>
      </c>
      <c r="F37" s="29" t="s">
        <v>11</v>
      </c>
      <c r="G37" s="38">
        <v>755</v>
      </c>
      <c r="H37" s="44">
        <v>0</v>
      </c>
      <c r="I37" s="44">
        <v>0</v>
      </c>
      <c r="J37" s="44">
        <v>0</v>
      </c>
      <c r="K37" s="44">
        <v>1</v>
      </c>
      <c r="L37" s="44">
        <v>0</v>
      </c>
      <c r="M37" s="44">
        <v>0</v>
      </c>
      <c r="N37" s="44">
        <v>0</v>
      </c>
      <c r="O37" s="44">
        <v>0</v>
      </c>
      <c r="P37" s="44">
        <v>0</v>
      </c>
      <c r="Q37" s="44">
        <v>0</v>
      </c>
      <c r="R37" s="44">
        <v>0</v>
      </c>
      <c r="S37" s="44">
        <v>0</v>
      </c>
      <c r="T37" s="44">
        <v>0</v>
      </c>
      <c r="U37" s="44">
        <v>0</v>
      </c>
      <c r="V37" s="44">
        <v>0</v>
      </c>
      <c r="W37" s="44">
        <v>1</v>
      </c>
      <c r="X37" s="44">
        <v>0</v>
      </c>
      <c r="Y37" s="44">
        <v>1</v>
      </c>
      <c r="Z37" s="44">
        <v>0</v>
      </c>
      <c r="AA37" s="44">
        <v>1</v>
      </c>
      <c r="AB37" s="44">
        <v>0</v>
      </c>
      <c r="AC37" s="44">
        <v>1</v>
      </c>
      <c r="AD37" s="39">
        <v>0</v>
      </c>
    </row>
    <row r="38" spans="1:30" x14ac:dyDescent="0.35">
      <c r="A38" s="27" t="s">
        <v>15</v>
      </c>
      <c r="B38" s="28">
        <v>21</v>
      </c>
      <c r="C38" s="28" t="s">
        <v>10</v>
      </c>
      <c r="D38" s="29" t="s">
        <v>11</v>
      </c>
      <c r="E38" s="29" t="s">
        <v>11</v>
      </c>
      <c r="F38" s="29" t="s">
        <v>11</v>
      </c>
      <c r="G38" s="38">
        <v>788</v>
      </c>
      <c r="H38" s="44">
        <v>0</v>
      </c>
      <c r="I38" s="44">
        <v>0</v>
      </c>
      <c r="J38" s="44">
        <v>0</v>
      </c>
      <c r="K38" s="44">
        <v>1</v>
      </c>
      <c r="L38" s="44">
        <v>0</v>
      </c>
      <c r="M38" s="44">
        <v>0</v>
      </c>
      <c r="N38" s="44">
        <v>0</v>
      </c>
      <c r="O38" s="44">
        <v>0</v>
      </c>
      <c r="P38" s="44">
        <v>0</v>
      </c>
      <c r="Q38" s="44">
        <v>0</v>
      </c>
      <c r="R38" s="44">
        <v>0</v>
      </c>
      <c r="S38" s="44">
        <v>0</v>
      </c>
      <c r="T38" s="44">
        <v>0</v>
      </c>
      <c r="U38" s="44">
        <v>0</v>
      </c>
      <c r="V38" s="44">
        <v>0</v>
      </c>
      <c r="W38" s="44">
        <v>0</v>
      </c>
      <c r="X38" s="44">
        <v>1</v>
      </c>
      <c r="Y38" s="44">
        <v>1</v>
      </c>
      <c r="Z38" s="44">
        <v>0</v>
      </c>
      <c r="AA38" s="44">
        <v>1</v>
      </c>
      <c r="AB38" s="44">
        <v>0</v>
      </c>
      <c r="AC38" s="44">
        <v>1</v>
      </c>
      <c r="AD38" s="39">
        <v>0</v>
      </c>
    </row>
    <row r="39" spans="1:30" x14ac:dyDescent="0.35">
      <c r="A39" s="27" t="s">
        <v>15</v>
      </c>
      <c r="B39" s="28">
        <v>22</v>
      </c>
      <c r="C39" s="28" t="s">
        <v>12</v>
      </c>
      <c r="D39" s="29" t="s">
        <v>11</v>
      </c>
      <c r="E39" s="29" t="s">
        <v>11</v>
      </c>
      <c r="F39" s="29" t="s">
        <v>11</v>
      </c>
      <c r="G39" s="38">
        <v>702</v>
      </c>
      <c r="H39" s="44">
        <v>0</v>
      </c>
      <c r="I39" s="44">
        <v>0</v>
      </c>
      <c r="J39" s="44">
        <v>0</v>
      </c>
      <c r="K39" s="44">
        <v>1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4">
        <v>0</v>
      </c>
      <c r="S39" s="44">
        <v>0</v>
      </c>
      <c r="T39" s="44">
        <v>0</v>
      </c>
      <c r="U39" s="44">
        <v>0</v>
      </c>
      <c r="V39" s="44">
        <v>1</v>
      </c>
      <c r="W39" s="44">
        <v>0</v>
      </c>
      <c r="X39" s="44">
        <v>0</v>
      </c>
      <c r="Y39" s="44">
        <v>1</v>
      </c>
      <c r="Z39" s="44">
        <v>0</v>
      </c>
      <c r="AA39" s="44">
        <v>1</v>
      </c>
      <c r="AB39" s="44">
        <v>0</v>
      </c>
      <c r="AC39" s="44">
        <v>1</v>
      </c>
      <c r="AD39" s="39">
        <v>0</v>
      </c>
    </row>
    <row r="40" spans="1:30" x14ac:dyDescent="0.35">
      <c r="A40" s="27" t="s">
        <v>15</v>
      </c>
      <c r="B40" s="28">
        <v>23</v>
      </c>
      <c r="C40" s="28" t="s">
        <v>13</v>
      </c>
      <c r="D40" s="29" t="s">
        <v>11</v>
      </c>
      <c r="E40" s="29" t="s">
        <v>11</v>
      </c>
      <c r="F40" s="29" t="s">
        <v>11</v>
      </c>
      <c r="G40" s="38">
        <v>1037</v>
      </c>
      <c r="H40" s="44">
        <v>0</v>
      </c>
      <c r="I40" s="44">
        <v>0</v>
      </c>
      <c r="J40" s="44">
        <v>0</v>
      </c>
      <c r="K40" s="44">
        <v>1</v>
      </c>
      <c r="L40" s="44">
        <v>0</v>
      </c>
      <c r="M40" s="44">
        <v>0</v>
      </c>
      <c r="N40" s="44">
        <v>0</v>
      </c>
      <c r="O40" s="44">
        <v>0</v>
      </c>
      <c r="P40" s="44">
        <v>0</v>
      </c>
      <c r="Q40" s="44">
        <v>0</v>
      </c>
      <c r="R40" s="44">
        <v>0</v>
      </c>
      <c r="S40" s="44">
        <v>0</v>
      </c>
      <c r="T40" s="44">
        <v>1</v>
      </c>
      <c r="U40" s="44">
        <v>0</v>
      </c>
      <c r="V40" s="44">
        <v>0</v>
      </c>
      <c r="W40" s="44">
        <v>0</v>
      </c>
      <c r="X40" s="44">
        <v>0</v>
      </c>
      <c r="Y40" s="44">
        <v>1</v>
      </c>
      <c r="Z40" s="44">
        <v>0</v>
      </c>
      <c r="AA40" s="44">
        <v>1</v>
      </c>
      <c r="AB40" s="44">
        <v>0</v>
      </c>
      <c r="AC40" s="44">
        <v>1</v>
      </c>
      <c r="AD40" s="39">
        <v>0</v>
      </c>
    </row>
    <row r="41" spans="1:30" x14ac:dyDescent="0.35">
      <c r="A41" s="27" t="s">
        <v>15</v>
      </c>
      <c r="B41" s="28">
        <v>26</v>
      </c>
      <c r="C41" s="28" t="s">
        <v>14</v>
      </c>
      <c r="D41" s="29" t="s">
        <v>11</v>
      </c>
      <c r="E41" s="29" t="s">
        <v>11</v>
      </c>
      <c r="F41" s="29" t="s">
        <v>11</v>
      </c>
      <c r="G41" s="38">
        <v>931</v>
      </c>
      <c r="H41" s="44">
        <v>0</v>
      </c>
      <c r="I41" s="44">
        <v>0</v>
      </c>
      <c r="J41" s="44">
        <v>0</v>
      </c>
      <c r="K41" s="44">
        <v>1</v>
      </c>
      <c r="L41" s="44">
        <v>0</v>
      </c>
      <c r="M41" s="44">
        <v>0</v>
      </c>
      <c r="N41" s="44">
        <v>0</v>
      </c>
      <c r="O41" s="44">
        <v>0</v>
      </c>
      <c r="P41" s="44">
        <v>0</v>
      </c>
      <c r="Q41" s="44">
        <v>0</v>
      </c>
      <c r="R41" s="44">
        <v>0</v>
      </c>
      <c r="S41" s="44">
        <v>0</v>
      </c>
      <c r="T41" s="44">
        <v>0</v>
      </c>
      <c r="U41" s="44">
        <v>1</v>
      </c>
      <c r="V41" s="44">
        <v>0</v>
      </c>
      <c r="W41" s="44">
        <v>0</v>
      </c>
      <c r="X41" s="44">
        <v>0</v>
      </c>
      <c r="Y41" s="44">
        <v>1</v>
      </c>
      <c r="Z41" s="44">
        <v>0</v>
      </c>
      <c r="AA41" s="44">
        <v>1</v>
      </c>
      <c r="AB41" s="44">
        <v>0</v>
      </c>
      <c r="AC41" s="44">
        <v>1</v>
      </c>
      <c r="AD41" s="39">
        <v>0</v>
      </c>
    </row>
    <row r="42" spans="1:30" x14ac:dyDescent="0.35">
      <c r="A42" s="27" t="s">
        <v>15</v>
      </c>
      <c r="B42" s="28">
        <v>27</v>
      </c>
      <c r="C42" s="28" t="s">
        <v>8</v>
      </c>
      <c r="D42" s="29" t="s">
        <v>11</v>
      </c>
      <c r="E42" s="29" t="s">
        <v>11</v>
      </c>
      <c r="F42" s="29" t="s">
        <v>11</v>
      </c>
      <c r="G42" s="38">
        <v>719</v>
      </c>
      <c r="H42" s="44">
        <v>0</v>
      </c>
      <c r="I42" s="44">
        <v>0</v>
      </c>
      <c r="J42" s="44">
        <v>0</v>
      </c>
      <c r="K42" s="44">
        <v>1</v>
      </c>
      <c r="L42" s="44">
        <v>0</v>
      </c>
      <c r="M42" s="44">
        <v>0</v>
      </c>
      <c r="N42" s="44">
        <v>0</v>
      </c>
      <c r="O42" s="44">
        <v>0</v>
      </c>
      <c r="P42" s="44">
        <v>0</v>
      </c>
      <c r="Q42" s="44">
        <v>0</v>
      </c>
      <c r="R42" s="44">
        <v>0</v>
      </c>
      <c r="S42" s="44">
        <v>0</v>
      </c>
      <c r="T42" s="44">
        <v>0</v>
      </c>
      <c r="U42" s="44">
        <v>0</v>
      </c>
      <c r="V42" s="44">
        <v>0</v>
      </c>
      <c r="W42" s="44">
        <v>1</v>
      </c>
      <c r="X42" s="44">
        <v>0</v>
      </c>
      <c r="Y42" s="44">
        <v>1</v>
      </c>
      <c r="Z42" s="44">
        <v>0</v>
      </c>
      <c r="AA42" s="44">
        <v>1</v>
      </c>
      <c r="AB42" s="44">
        <v>0</v>
      </c>
      <c r="AC42" s="44">
        <v>1</v>
      </c>
      <c r="AD42" s="39">
        <v>0</v>
      </c>
    </row>
    <row r="43" spans="1:30" x14ac:dyDescent="0.35">
      <c r="A43" s="27" t="s">
        <v>15</v>
      </c>
      <c r="B43" s="28">
        <v>28</v>
      </c>
      <c r="C43" s="28" t="s">
        <v>10</v>
      </c>
      <c r="D43" s="29" t="s">
        <v>11</v>
      </c>
      <c r="E43" s="29" t="s">
        <v>11</v>
      </c>
      <c r="F43" s="29" t="s">
        <v>11</v>
      </c>
      <c r="G43" s="38">
        <v>811</v>
      </c>
      <c r="H43" s="44">
        <v>0</v>
      </c>
      <c r="I43" s="44">
        <v>0</v>
      </c>
      <c r="J43" s="44">
        <v>0</v>
      </c>
      <c r="K43" s="44">
        <v>1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4">
        <v>0</v>
      </c>
      <c r="S43" s="44">
        <v>0</v>
      </c>
      <c r="T43" s="44">
        <v>0</v>
      </c>
      <c r="U43" s="44">
        <v>0</v>
      </c>
      <c r="V43" s="44">
        <v>0</v>
      </c>
      <c r="W43" s="44">
        <v>0</v>
      </c>
      <c r="X43" s="44">
        <v>1</v>
      </c>
      <c r="Y43" s="44">
        <v>1</v>
      </c>
      <c r="Z43" s="44">
        <v>0</v>
      </c>
      <c r="AA43" s="44">
        <v>1</v>
      </c>
      <c r="AB43" s="44">
        <v>0</v>
      </c>
      <c r="AC43" s="44">
        <v>1</v>
      </c>
      <c r="AD43" s="39">
        <v>0</v>
      </c>
    </row>
    <row r="44" spans="1:30" x14ac:dyDescent="0.35">
      <c r="A44" s="27" t="s">
        <v>16</v>
      </c>
      <c r="B44" s="28">
        <v>1</v>
      </c>
      <c r="C44" s="28" t="s">
        <v>12</v>
      </c>
      <c r="D44" s="29" t="s">
        <v>11</v>
      </c>
      <c r="E44" s="29" t="s">
        <v>9</v>
      </c>
      <c r="F44" s="29" t="s">
        <v>11</v>
      </c>
      <c r="G44" s="38">
        <v>1383</v>
      </c>
      <c r="H44" s="44">
        <v>0</v>
      </c>
      <c r="I44" s="44">
        <v>0</v>
      </c>
      <c r="J44" s="44">
        <v>0</v>
      </c>
      <c r="K44" s="44">
        <v>0</v>
      </c>
      <c r="L44" s="44">
        <v>0</v>
      </c>
      <c r="M44" s="44">
        <v>0</v>
      </c>
      <c r="N44" s="44">
        <v>0</v>
      </c>
      <c r="O44" s="44">
        <v>1</v>
      </c>
      <c r="P44" s="44">
        <v>0</v>
      </c>
      <c r="Q44" s="44">
        <v>0</v>
      </c>
      <c r="R44" s="44">
        <v>0</v>
      </c>
      <c r="S44" s="44">
        <v>0</v>
      </c>
      <c r="T44" s="44">
        <v>0</v>
      </c>
      <c r="U44" s="44">
        <v>0</v>
      </c>
      <c r="V44" s="44">
        <v>1</v>
      </c>
      <c r="W44" s="44">
        <v>0</v>
      </c>
      <c r="X44" s="44">
        <v>0</v>
      </c>
      <c r="Y44" s="44">
        <v>1</v>
      </c>
      <c r="Z44" s="44">
        <v>0</v>
      </c>
      <c r="AA44" s="44">
        <v>0</v>
      </c>
      <c r="AB44" s="44">
        <v>1</v>
      </c>
      <c r="AC44" s="44">
        <v>1</v>
      </c>
      <c r="AD44" s="39">
        <v>0</v>
      </c>
    </row>
    <row r="45" spans="1:30" x14ac:dyDescent="0.35">
      <c r="A45" s="27" t="s">
        <v>16</v>
      </c>
      <c r="B45" s="28">
        <v>2</v>
      </c>
      <c r="C45" s="28" t="s">
        <v>13</v>
      </c>
      <c r="D45" s="29" t="s">
        <v>9</v>
      </c>
      <c r="E45" s="29" t="s">
        <v>11</v>
      </c>
      <c r="F45" s="29" t="s">
        <v>11</v>
      </c>
      <c r="G45" s="38">
        <v>2022</v>
      </c>
      <c r="H45" s="44">
        <v>0</v>
      </c>
      <c r="I45" s="44">
        <v>0</v>
      </c>
      <c r="J45" s="44">
        <v>0</v>
      </c>
      <c r="K45" s="44">
        <v>0</v>
      </c>
      <c r="L45" s="44">
        <v>0</v>
      </c>
      <c r="M45" s="44">
        <v>0</v>
      </c>
      <c r="N45" s="44">
        <v>0</v>
      </c>
      <c r="O45" s="44">
        <v>1</v>
      </c>
      <c r="P45" s="44">
        <v>0</v>
      </c>
      <c r="Q45" s="44">
        <v>0</v>
      </c>
      <c r="R45" s="44">
        <v>0</v>
      </c>
      <c r="S45" s="44">
        <v>0</v>
      </c>
      <c r="T45" s="44">
        <v>1</v>
      </c>
      <c r="U45" s="44">
        <v>0</v>
      </c>
      <c r="V45" s="44">
        <v>0</v>
      </c>
      <c r="W45" s="44">
        <v>0</v>
      </c>
      <c r="X45" s="44">
        <v>0</v>
      </c>
      <c r="Y45" s="44">
        <v>0</v>
      </c>
      <c r="Z45" s="44">
        <v>1</v>
      </c>
      <c r="AA45" s="44">
        <v>1</v>
      </c>
      <c r="AB45" s="44">
        <v>0</v>
      </c>
      <c r="AC45" s="44">
        <v>1</v>
      </c>
      <c r="AD45" s="39">
        <v>0</v>
      </c>
    </row>
    <row r="46" spans="1:30" x14ac:dyDescent="0.35">
      <c r="A46" s="27" t="s">
        <v>16</v>
      </c>
      <c r="B46" s="28">
        <v>5</v>
      </c>
      <c r="C46" s="28" t="s">
        <v>14</v>
      </c>
      <c r="D46" s="29" t="s">
        <v>11</v>
      </c>
      <c r="E46" s="29" t="s">
        <v>11</v>
      </c>
      <c r="F46" s="29" t="s">
        <v>11</v>
      </c>
      <c r="G46" s="38">
        <v>1130</v>
      </c>
      <c r="H46" s="44">
        <v>0</v>
      </c>
      <c r="I46" s="44">
        <v>0</v>
      </c>
      <c r="J46" s="44">
        <v>0</v>
      </c>
      <c r="K46" s="44">
        <v>0</v>
      </c>
      <c r="L46" s="44">
        <v>0</v>
      </c>
      <c r="M46" s="44">
        <v>0</v>
      </c>
      <c r="N46" s="44">
        <v>0</v>
      </c>
      <c r="O46" s="44">
        <v>1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1</v>
      </c>
      <c r="V46" s="44">
        <v>0</v>
      </c>
      <c r="W46" s="44">
        <v>0</v>
      </c>
      <c r="X46" s="44">
        <v>0</v>
      </c>
      <c r="Y46" s="44">
        <v>1</v>
      </c>
      <c r="Z46" s="44">
        <v>0</v>
      </c>
      <c r="AA46" s="44">
        <v>1</v>
      </c>
      <c r="AB46" s="44">
        <v>0</v>
      </c>
      <c r="AC46" s="44">
        <v>1</v>
      </c>
      <c r="AD46" s="39">
        <v>0</v>
      </c>
    </row>
    <row r="47" spans="1:30" x14ac:dyDescent="0.35">
      <c r="A47" s="27" t="s">
        <v>16</v>
      </c>
      <c r="B47" s="28">
        <v>6</v>
      </c>
      <c r="C47" s="28" t="s">
        <v>8</v>
      </c>
      <c r="D47" s="29" t="s">
        <v>11</v>
      </c>
      <c r="E47" s="29" t="s">
        <v>11</v>
      </c>
      <c r="F47" s="29" t="s">
        <v>11</v>
      </c>
      <c r="G47" s="38">
        <v>798</v>
      </c>
      <c r="H47" s="44">
        <v>0</v>
      </c>
      <c r="I47" s="44">
        <v>0</v>
      </c>
      <c r="J47" s="44">
        <v>0</v>
      </c>
      <c r="K47" s="44">
        <v>0</v>
      </c>
      <c r="L47" s="44">
        <v>0</v>
      </c>
      <c r="M47" s="44">
        <v>0</v>
      </c>
      <c r="N47" s="44">
        <v>0</v>
      </c>
      <c r="O47" s="44">
        <v>1</v>
      </c>
      <c r="P47" s="44">
        <v>0</v>
      </c>
      <c r="Q47" s="44">
        <v>0</v>
      </c>
      <c r="R47" s="44">
        <v>0</v>
      </c>
      <c r="S47" s="44">
        <v>0</v>
      </c>
      <c r="T47" s="44">
        <v>0</v>
      </c>
      <c r="U47" s="44">
        <v>0</v>
      </c>
      <c r="V47" s="44">
        <v>0</v>
      </c>
      <c r="W47" s="44">
        <v>1</v>
      </c>
      <c r="X47" s="44">
        <v>0</v>
      </c>
      <c r="Y47" s="44">
        <v>1</v>
      </c>
      <c r="Z47" s="44">
        <v>0</v>
      </c>
      <c r="AA47" s="44">
        <v>1</v>
      </c>
      <c r="AB47" s="44">
        <v>0</v>
      </c>
      <c r="AC47" s="44">
        <v>1</v>
      </c>
      <c r="AD47" s="39">
        <v>0</v>
      </c>
    </row>
    <row r="48" spans="1:30" x14ac:dyDescent="0.35">
      <c r="A48" s="27" t="s">
        <v>16</v>
      </c>
      <c r="B48" s="28">
        <v>7</v>
      </c>
      <c r="C48" s="28" t="s">
        <v>10</v>
      </c>
      <c r="D48" s="29" t="s">
        <v>11</v>
      </c>
      <c r="E48" s="29" t="s">
        <v>11</v>
      </c>
      <c r="F48" s="29" t="s">
        <v>11</v>
      </c>
      <c r="G48" s="38">
        <v>885</v>
      </c>
      <c r="H48" s="44">
        <v>0</v>
      </c>
      <c r="I48" s="44">
        <v>0</v>
      </c>
      <c r="J48" s="44">
        <v>0</v>
      </c>
      <c r="K48" s="44">
        <v>0</v>
      </c>
      <c r="L48" s="44">
        <v>0</v>
      </c>
      <c r="M48" s="44">
        <v>0</v>
      </c>
      <c r="N48" s="44">
        <v>0</v>
      </c>
      <c r="O48" s="44">
        <v>1</v>
      </c>
      <c r="P48" s="44">
        <v>0</v>
      </c>
      <c r="Q48" s="44">
        <v>0</v>
      </c>
      <c r="R48" s="44">
        <v>0</v>
      </c>
      <c r="S48" s="44">
        <v>0</v>
      </c>
      <c r="T48" s="44">
        <v>0</v>
      </c>
      <c r="U48" s="44">
        <v>0</v>
      </c>
      <c r="V48" s="44">
        <v>0</v>
      </c>
      <c r="W48" s="44">
        <v>0</v>
      </c>
      <c r="X48" s="44">
        <v>1</v>
      </c>
      <c r="Y48" s="44">
        <v>1</v>
      </c>
      <c r="Z48" s="44">
        <v>0</v>
      </c>
      <c r="AA48" s="44">
        <v>1</v>
      </c>
      <c r="AB48" s="44">
        <v>0</v>
      </c>
      <c r="AC48" s="44">
        <v>1</v>
      </c>
      <c r="AD48" s="39">
        <v>0</v>
      </c>
    </row>
    <row r="49" spans="1:30" x14ac:dyDescent="0.35">
      <c r="A49" s="27" t="s">
        <v>16</v>
      </c>
      <c r="B49" s="28">
        <v>8</v>
      </c>
      <c r="C49" s="28" t="s">
        <v>12</v>
      </c>
      <c r="D49" s="29" t="s">
        <v>11</v>
      </c>
      <c r="E49" s="29" t="s">
        <v>11</v>
      </c>
      <c r="F49" s="29" t="s">
        <v>11</v>
      </c>
      <c r="G49" s="38">
        <v>983</v>
      </c>
      <c r="H49" s="44">
        <v>0</v>
      </c>
      <c r="I49" s="44">
        <v>0</v>
      </c>
      <c r="J49" s="44">
        <v>0</v>
      </c>
      <c r="K49" s="44">
        <v>0</v>
      </c>
      <c r="L49" s="44">
        <v>0</v>
      </c>
      <c r="M49" s="44">
        <v>0</v>
      </c>
      <c r="N49" s="44">
        <v>0</v>
      </c>
      <c r="O49" s="44">
        <v>1</v>
      </c>
      <c r="P49" s="44">
        <v>0</v>
      </c>
      <c r="Q49" s="44">
        <v>0</v>
      </c>
      <c r="R49" s="44">
        <v>0</v>
      </c>
      <c r="S49" s="44">
        <v>0</v>
      </c>
      <c r="T49" s="44">
        <v>0</v>
      </c>
      <c r="U49" s="44">
        <v>0</v>
      </c>
      <c r="V49" s="44">
        <v>1</v>
      </c>
      <c r="W49" s="44">
        <v>0</v>
      </c>
      <c r="X49" s="44">
        <v>0</v>
      </c>
      <c r="Y49" s="44">
        <v>1</v>
      </c>
      <c r="Z49" s="44">
        <v>0</v>
      </c>
      <c r="AA49" s="44">
        <v>1</v>
      </c>
      <c r="AB49" s="44">
        <v>0</v>
      </c>
      <c r="AC49" s="44">
        <v>1</v>
      </c>
      <c r="AD49" s="39">
        <v>0</v>
      </c>
    </row>
    <row r="50" spans="1:30" x14ac:dyDescent="0.35">
      <c r="A50" s="27" t="s">
        <v>16</v>
      </c>
      <c r="B50" s="28">
        <v>9</v>
      </c>
      <c r="C50" s="28" t="s">
        <v>13</v>
      </c>
      <c r="D50" s="29" t="s">
        <v>11</v>
      </c>
      <c r="E50" s="29" t="s">
        <v>11</v>
      </c>
      <c r="F50" s="29" t="s">
        <v>11</v>
      </c>
      <c r="G50" s="38">
        <v>1439</v>
      </c>
      <c r="H50" s="44">
        <v>0</v>
      </c>
      <c r="I50" s="44">
        <v>0</v>
      </c>
      <c r="J50" s="44">
        <v>0</v>
      </c>
      <c r="K50" s="44">
        <v>0</v>
      </c>
      <c r="L50" s="44">
        <v>0</v>
      </c>
      <c r="M50" s="44">
        <v>0</v>
      </c>
      <c r="N50" s="44">
        <v>0</v>
      </c>
      <c r="O50" s="44">
        <v>1</v>
      </c>
      <c r="P50" s="44">
        <v>0</v>
      </c>
      <c r="Q50" s="44">
        <v>0</v>
      </c>
      <c r="R50" s="44">
        <v>0</v>
      </c>
      <c r="S50" s="44">
        <v>0</v>
      </c>
      <c r="T50" s="44">
        <v>1</v>
      </c>
      <c r="U50" s="44">
        <v>0</v>
      </c>
      <c r="V50" s="44">
        <v>0</v>
      </c>
      <c r="W50" s="44">
        <v>0</v>
      </c>
      <c r="X50" s="44">
        <v>0</v>
      </c>
      <c r="Y50" s="44">
        <v>1</v>
      </c>
      <c r="Z50" s="44">
        <v>0</v>
      </c>
      <c r="AA50" s="44">
        <v>1</v>
      </c>
      <c r="AB50" s="44">
        <v>0</v>
      </c>
      <c r="AC50" s="44">
        <v>1</v>
      </c>
      <c r="AD50" s="39">
        <v>0</v>
      </c>
    </row>
    <row r="51" spans="1:30" x14ac:dyDescent="0.35">
      <c r="A51" s="27" t="s">
        <v>16</v>
      </c>
      <c r="B51" s="28">
        <v>12</v>
      </c>
      <c r="C51" s="28" t="s">
        <v>14</v>
      </c>
      <c r="D51" s="29" t="s">
        <v>11</v>
      </c>
      <c r="E51" s="29" t="s">
        <v>11</v>
      </c>
      <c r="F51" s="29" t="s">
        <v>11</v>
      </c>
      <c r="G51" s="38">
        <v>973</v>
      </c>
      <c r="H51" s="44">
        <v>0</v>
      </c>
      <c r="I51" s="44">
        <v>0</v>
      </c>
      <c r="J51" s="44">
        <v>0</v>
      </c>
      <c r="K51" s="44">
        <v>0</v>
      </c>
      <c r="L51" s="44">
        <v>0</v>
      </c>
      <c r="M51" s="44">
        <v>0</v>
      </c>
      <c r="N51" s="44">
        <v>0</v>
      </c>
      <c r="O51" s="44">
        <v>1</v>
      </c>
      <c r="P51" s="44">
        <v>0</v>
      </c>
      <c r="Q51" s="44">
        <v>0</v>
      </c>
      <c r="R51" s="44">
        <v>0</v>
      </c>
      <c r="S51" s="44">
        <v>0</v>
      </c>
      <c r="T51" s="44">
        <v>0</v>
      </c>
      <c r="U51" s="44">
        <v>1</v>
      </c>
      <c r="V51" s="44">
        <v>0</v>
      </c>
      <c r="W51" s="44">
        <v>0</v>
      </c>
      <c r="X51" s="44">
        <v>0</v>
      </c>
      <c r="Y51" s="44">
        <v>1</v>
      </c>
      <c r="Z51" s="44">
        <v>0</v>
      </c>
      <c r="AA51" s="44">
        <v>1</v>
      </c>
      <c r="AB51" s="44">
        <v>0</v>
      </c>
      <c r="AC51" s="44">
        <v>1</v>
      </c>
      <c r="AD51" s="39">
        <v>0</v>
      </c>
    </row>
    <row r="52" spans="1:30" x14ac:dyDescent="0.35">
      <c r="A52" s="27" t="s">
        <v>16</v>
      </c>
      <c r="B52" s="28">
        <v>13</v>
      </c>
      <c r="C52" s="28" t="s">
        <v>8</v>
      </c>
      <c r="D52" s="29" t="s">
        <v>11</v>
      </c>
      <c r="E52" s="29" t="s">
        <v>11</v>
      </c>
      <c r="F52" s="29" t="s">
        <v>11</v>
      </c>
      <c r="G52" s="38">
        <v>725</v>
      </c>
      <c r="H52" s="44">
        <v>0</v>
      </c>
      <c r="I52" s="44">
        <v>0</v>
      </c>
      <c r="J52" s="44">
        <v>0</v>
      </c>
      <c r="K52" s="44">
        <v>0</v>
      </c>
      <c r="L52" s="44">
        <v>0</v>
      </c>
      <c r="M52" s="44">
        <v>0</v>
      </c>
      <c r="N52" s="44">
        <v>0</v>
      </c>
      <c r="O52" s="44">
        <v>1</v>
      </c>
      <c r="P52" s="44">
        <v>0</v>
      </c>
      <c r="Q52" s="44">
        <v>0</v>
      </c>
      <c r="R52" s="44">
        <v>0</v>
      </c>
      <c r="S52" s="44">
        <v>0</v>
      </c>
      <c r="T52" s="44">
        <v>0</v>
      </c>
      <c r="U52" s="44">
        <v>0</v>
      </c>
      <c r="V52" s="44">
        <v>0</v>
      </c>
      <c r="W52" s="44">
        <v>1</v>
      </c>
      <c r="X52" s="44">
        <v>0</v>
      </c>
      <c r="Y52" s="44">
        <v>1</v>
      </c>
      <c r="Z52" s="44">
        <v>0</v>
      </c>
      <c r="AA52" s="44">
        <v>1</v>
      </c>
      <c r="AB52" s="44">
        <v>0</v>
      </c>
      <c r="AC52" s="44">
        <v>1</v>
      </c>
      <c r="AD52" s="39">
        <v>0</v>
      </c>
    </row>
    <row r="53" spans="1:30" x14ac:dyDescent="0.35">
      <c r="A53" s="27" t="s">
        <v>16</v>
      </c>
      <c r="B53" s="28">
        <v>14</v>
      </c>
      <c r="C53" s="28" t="s">
        <v>10</v>
      </c>
      <c r="D53" s="29" t="s">
        <v>11</v>
      </c>
      <c r="E53" s="29" t="s">
        <v>11</v>
      </c>
      <c r="F53" s="29" t="s">
        <v>11</v>
      </c>
      <c r="G53" s="38">
        <v>681</v>
      </c>
      <c r="H53" s="44">
        <v>0</v>
      </c>
      <c r="I53" s="44">
        <v>0</v>
      </c>
      <c r="J53" s="44">
        <v>0</v>
      </c>
      <c r="K53" s="44">
        <v>0</v>
      </c>
      <c r="L53" s="44">
        <v>0</v>
      </c>
      <c r="M53" s="44">
        <v>0</v>
      </c>
      <c r="N53" s="44">
        <v>0</v>
      </c>
      <c r="O53" s="44">
        <v>1</v>
      </c>
      <c r="P53" s="44">
        <v>0</v>
      </c>
      <c r="Q53" s="44">
        <v>0</v>
      </c>
      <c r="R53" s="44">
        <v>0</v>
      </c>
      <c r="S53" s="44">
        <v>0</v>
      </c>
      <c r="T53" s="44">
        <v>0</v>
      </c>
      <c r="U53" s="44">
        <v>0</v>
      </c>
      <c r="V53" s="44">
        <v>0</v>
      </c>
      <c r="W53" s="44">
        <v>0</v>
      </c>
      <c r="X53" s="44">
        <v>1</v>
      </c>
      <c r="Y53" s="44">
        <v>1</v>
      </c>
      <c r="Z53" s="44">
        <v>0</v>
      </c>
      <c r="AA53" s="44">
        <v>1</v>
      </c>
      <c r="AB53" s="44">
        <v>0</v>
      </c>
      <c r="AC53" s="44">
        <v>1</v>
      </c>
      <c r="AD53" s="39">
        <v>0</v>
      </c>
    </row>
    <row r="54" spans="1:30" x14ac:dyDescent="0.35">
      <c r="A54" s="27" t="s">
        <v>16</v>
      </c>
      <c r="B54" s="28">
        <v>15</v>
      </c>
      <c r="C54" s="28" t="s">
        <v>12</v>
      </c>
      <c r="D54" s="29" t="s">
        <v>11</v>
      </c>
      <c r="E54" s="29" t="s">
        <v>11</v>
      </c>
      <c r="F54" s="29" t="s">
        <v>11</v>
      </c>
      <c r="G54" s="38">
        <v>840</v>
      </c>
      <c r="H54" s="44">
        <v>0</v>
      </c>
      <c r="I54" s="44">
        <v>0</v>
      </c>
      <c r="J54" s="44">
        <v>0</v>
      </c>
      <c r="K54" s="44">
        <v>0</v>
      </c>
      <c r="L54" s="44">
        <v>0</v>
      </c>
      <c r="M54" s="44">
        <v>0</v>
      </c>
      <c r="N54" s="44">
        <v>0</v>
      </c>
      <c r="O54" s="44">
        <v>1</v>
      </c>
      <c r="P54" s="44">
        <v>0</v>
      </c>
      <c r="Q54" s="44">
        <v>0</v>
      </c>
      <c r="R54" s="44">
        <v>0</v>
      </c>
      <c r="S54" s="44">
        <v>0</v>
      </c>
      <c r="T54" s="44">
        <v>0</v>
      </c>
      <c r="U54" s="44">
        <v>0</v>
      </c>
      <c r="V54" s="44">
        <v>1</v>
      </c>
      <c r="W54" s="44">
        <v>0</v>
      </c>
      <c r="X54" s="44">
        <v>0</v>
      </c>
      <c r="Y54" s="44">
        <v>1</v>
      </c>
      <c r="Z54" s="44">
        <v>0</v>
      </c>
      <c r="AA54" s="44">
        <v>1</v>
      </c>
      <c r="AB54" s="44">
        <v>0</v>
      </c>
      <c r="AC54" s="44">
        <v>1</v>
      </c>
      <c r="AD54" s="39">
        <v>0</v>
      </c>
    </row>
    <row r="55" spans="1:30" x14ac:dyDescent="0.35">
      <c r="A55" s="27" t="s">
        <v>16</v>
      </c>
      <c r="B55" s="28">
        <v>16</v>
      </c>
      <c r="C55" s="28" t="s">
        <v>13</v>
      </c>
      <c r="D55" s="29" t="s">
        <v>9</v>
      </c>
      <c r="E55" s="29" t="s">
        <v>11</v>
      </c>
      <c r="F55" s="29" t="s">
        <v>11</v>
      </c>
      <c r="G55" s="38">
        <v>1491</v>
      </c>
      <c r="H55" s="44">
        <v>0</v>
      </c>
      <c r="I55" s="44">
        <v>0</v>
      </c>
      <c r="J55" s="44">
        <v>0</v>
      </c>
      <c r="K55" s="44">
        <v>0</v>
      </c>
      <c r="L55" s="44">
        <v>0</v>
      </c>
      <c r="M55" s="44">
        <v>0</v>
      </c>
      <c r="N55" s="44">
        <v>0</v>
      </c>
      <c r="O55" s="44">
        <v>1</v>
      </c>
      <c r="P55" s="44">
        <v>0</v>
      </c>
      <c r="Q55" s="44">
        <v>0</v>
      </c>
      <c r="R55" s="44">
        <v>0</v>
      </c>
      <c r="S55" s="44">
        <v>0</v>
      </c>
      <c r="T55" s="44">
        <v>1</v>
      </c>
      <c r="U55" s="44">
        <v>0</v>
      </c>
      <c r="V55" s="44">
        <v>0</v>
      </c>
      <c r="W55" s="44">
        <v>0</v>
      </c>
      <c r="X55" s="44">
        <v>0</v>
      </c>
      <c r="Y55" s="44">
        <v>0</v>
      </c>
      <c r="Z55" s="44">
        <v>1</v>
      </c>
      <c r="AA55" s="44">
        <v>1</v>
      </c>
      <c r="AB55" s="44">
        <v>0</v>
      </c>
      <c r="AC55" s="44">
        <v>1</v>
      </c>
      <c r="AD55" s="39">
        <v>0</v>
      </c>
    </row>
    <row r="56" spans="1:30" x14ac:dyDescent="0.35">
      <c r="A56" s="27" t="s">
        <v>16</v>
      </c>
      <c r="B56" s="28">
        <v>19</v>
      </c>
      <c r="C56" s="28" t="s">
        <v>14</v>
      </c>
      <c r="D56" s="29" t="s">
        <v>11</v>
      </c>
      <c r="E56" s="29" t="s">
        <v>11</v>
      </c>
      <c r="F56" s="29" t="s">
        <v>11</v>
      </c>
      <c r="G56" s="38">
        <v>1050</v>
      </c>
      <c r="H56" s="44">
        <v>0</v>
      </c>
      <c r="I56" s="44">
        <v>0</v>
      </c>
      <c r="J56" s="44">
        <v>0</v>
      </c>
      <c r="K56" s="44">
        <v>0</v>
      </c>
      <c r="L56" s="44">
        <v>0</v>
      </c>
      <c r="M56" s="44">
        <v>0</v>
      </c>
      <c r="N56" s="44">
        <v>0</v>
      </c>
      <c r="O56" s="44">
        <v>1</v>
      </c>
      <c r="P56" s="44">
        <v>0</v>
      </c>
      <c r="Q56" s="44">
        <v>0</v>
      </c>
      <c r="R56" s="44">
        <v>0</v>
      </c>
      <c r="S56" s="44">
        <v>0</v>
      </c>
      <c r="T56" s="44">
        <v>0</v>
      </c>
      <c r="U56" s="44">
        <v>1</v>
      </c>
      <c r="V56" s="44">
        <v>0</v>
      </c>
      <c r="W56" s="44">
        <v>0</v>
      </c>
      <c r="X56" s="44">
        <v>0</v>
      </c>
      <c r="Y56" s="44">
        <v>1</v>
      </c>
      <c r="Z56" s="44">
        <v>0</v>
      </c>
      <c r="AA56" s="44">
        <v>1</v>
      </c>
      <c r="AB56" s="44">
        <v>0</v>
      </c>
      <c r="AC56" s="44">
        <v>1</v>
      </c>
      <c r="AD56" s="39">
        <v>0</v>
      </c>
    </row>
    <row r="57" spans="1:30" x14ac:dyDescent="0.35">
      <c r="A57" s="27" t="s">
        <v>16</v>
      </c>
      <c r="B57" s="28">
        <v>20</v>
      </c>
      <c r="C57" s="28" t="s">
        <v>8</v>
      </c>
      <c r="D57" s="29" t="s">
        <v>11</v>
      </c>
      <c r="E57" s="29" t="s">
        <v>11</v>
      </c>
      <c r="F57" s="29" t="s">
        <v>11</v>
      </c>
      <c r="G57" s="38">
        <v>779</v>
      </c>
      <c r="H57" s="44">
        <v>0</v>
      </c>
      <c r="I57" s="44">
        <v>0</v>
      </c>
      <c r="J57" s="44">
        <v>0</v>
      </c>
      <c r="K57" s="44">
        <v>0</v>
      </c>
      <c r="L57" s="44">
        <v>0</v>
      </c>
      <c r="M57" s="44">
        <v>0</v>
      </c>
      <c r="N57" s="44">
        <v>0</v>
      </c>
      <c r="O57" s="44">
        <v>1</v>
      </c>
      <c r="P57" s="44">
        <v>0</v>
      </c>
      <c r="Q57" s="44">
        <v>0</v>
      </c>
      <c r="R57" s="44">
        <v>0</v>
      </c>
      <c r="S57" s="44">
        <v>0</v>
      </c>
      <c r="T57" s="44">
        <v>0</v>
      </c>
      <c r="U57" s="44">
        <v>0</v>
      </c>
      <c r="V57" s="44">
        <v>0</v>
      </c>
      <c r="W57" s="44">
        <v>1</v>
      </c>
      <c r="X57" s="44">
        <v>0</v>
      </c>
      <c r="Y57" s="44">
        <v>1</v>
      </c>
      <c r="Z57" s="44">
        <v>0</v>
      </c>
      <c r="AA57" s="44">
        <v>1</v>
      </c>
      <c r="AB57" s="44">
        <v>0</v>
      </c>
      <c r="AC57" s="44">
        <v>1</v>
      </c>
      <c r="AD57" s="39">
        <v>0</v>
      </c>
    </row>
    <row r="58" spans="1:30" x14ac:dyDescent="0.35">
      <c r="A58" s="27" t="s">
        <v>16</v>
      </c>
      <c r="B58" s="28">
        <v>21</v>
      </c>
      <c r="C58" s="28" t="s">
        <v>10</v>
      </c>
      <c r="D58" s="29" t="s">
        <v>11</v>
      </c>
      <c r="E58" s="29" t="s">
        <v>11</v>
      </c>
      <c r="F58" s="29" t="s">
        <v>11</v>
      </c>
      <c r="G58" s="38">
        <v>686</v>
      </c>
      <c r="H58" s="44">
        <v>0</v>
      </c>
      <c r="I58" s="44">
        <v>0</v>
      </c>
      <c r="J58" s="44">
        <v>0</v>
      </c>
      <c r="K58" s="44">
        <v>0</v>
      </c>
      <c r="L58" s="44">
        <v>0</v>
      </c>
      <c r="M58" s="44">
        <v>0</v>
      </c>
      <c r="N58" s="44">
        <v>0</v>
      </c>
      <c r="O58" s="44">
        <v>1</v>
      </c>
      <c r="P58" s="44">
        <v>0</v>
      </c>
      <c r="Q58" s="44">
        <v>0</v>
      </c>
      <c r="R58" s="44">
        <v>0</v>
      </c>
      <c r="S58" s="44">
        <v>0</v>
      </c>
      <c r="T58" s="44">
        <v>0</v>
      </c>
      <c r="U58" s="44">
        <v>0</v>
      </c>
      <c r="V58" s="44">
        <v>0</v>
      </c>
      <c r="W58" s="44">
        <v>0</v>
      </c>
      <c r="X58" s="44">
        <v>1</v>
      </c>
      <c r="Y58" s="44">
        <v>1</v>
      </c>
      <c r="Z58" s="44">
        <v>0</v>
      </c>
      <c r="AA58" s="44">
        <v>1</v>
      </c>
      <c r="AB58" s="44">
        <v>0</v>
      </c>
      <c r="AC58" s="44">
        <v>1</v>
      </c>
      <c r="AD58" s="39">
        <v>0</v>
      </c>
    </row>
    <row r="59" spans="1:30" x14ac:dyDescent="0.35">
      <c r="A59" s="27" t="s">
        <v>16</v>
      </c>
      <c r="B59" s="28">
        <v>22</v>
      </c>
      <c r="C59" s="28" t="s">
        <v>12</v>
      </c>
      <c r="D59" s="29" t="s">
        <v>11</v>
      </c>
      <c r="E59" s="29" t="s">
        <v>11</v>
      </c>
      <c r="F59" s="29" t="s">
        <v>11</v>
      </c>
      <c r="G59" s="38">
        <v>663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1</v>
      </c>
      <c r="P59" s="44">
        <v>0</v>
      </c>
      <c r="Q59" s="44">
        <v>0</v>
      </c>
      <c r="R59" s="44">
        <v>0</v>
      </c>
      <c r="S59" s="44">
        <v>0</v>
      </c>
      <c r="T59" s="44">
        <v>0</v>
      </c>
      <c r="U59" s="44">
        <v>0</v>
      </c>
      <c r="V59" s="44">
        <v>1</v>
      </c>
      <c r="W59" s="44">
        <v>0</v>
      </c>
      <c r="X59" s="44">
        <v>0</v>
      </c>
      <c r="Y59" s="44">
        <v>1</v>
      </c>
      <c r="Z59" s="44">
        <v>0</v>
      </c>
      <c r="AA59" s="44">
        <v>1</v>
      </c>
      <c r="AB59" s="44">
        <v>0</v>
      </c>
      <c r="AC59" s="44">
        <v>1</v>
      </c>
      <c r="AD59" s="39">
        <v>0</v>
      </c>
    </row>
    <row r="60" spans="1:30" x14ac:dyDescent="0.35">
      <c r="A60" s="27" t="s">
        <v>16</v>
      </c>
      <c r="B60" s="28">
        <v>23</v>
      </c>
      <c r="C60" s="28" t="s">
        <v>13</v>
      </c>
      <c r="D60" s="29" t="s">
        <v>11</v>
      </c>
      <c r="E60" s="29" t="s">
        <v>11</v>
      </c>
      <c r="F60" s="29" t="s">
        <v>11</v>
      </c>
      <c r="G60" s="38">
        <v>1059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1</v>
      </c>
      <c r="P60" s="44">
        <v>0</v>
      </c>
      <c r="Q60" s="44">
        <v>0</v>
      </c>
      <c r="R60" s="44">
        <v>0</v>
      </c>
      <c r="S60" s="44">
        <v>0</v>
      </c>
      <c r="T60" s="44">
        <v>1</v>
      </c>
      <c r="U60" s="44">
        <v>0</v>
      </c>
      <c r="V60" s="44">
        <v>0</v>
      </c>
      <c r="W60" s="44">
        <v>0</v>
      </c>
      <c r="X60" s="44">
        <v>0</v>
      </c>
      <c r="Y60" s="44">
        <v>1</v>
      </c>
      <c r="Z60" s="44">
        <v>0</v>
      </c>
      <c r="AA60" s="44">
        <v>1</v>
      </c>
      <c r="AB60" s="44">
        <v>0</v>
      </c>
      <c r="AC60" s="44">
        <v>1</v>
      </c>
      <c r="AD60" s="39">
        <v>0</v>
      </c>
    </row>
    <row r="61" spans="1:30" x14ac:dyDescent="0.35">
      <c r="A61" s="27" t="s">
        <v>16</v>
      </c>
      <c r="B61" s="28">
        <v>26</v>
      </c>
      <c r="C61" s="28" t="s">
        <v>14</v>
      </c>
      <c r="D61" s="29" t="s">
        <v>11</v>
      </c>
      <c r="E61" s="29" t="s">
        <v>11</v>
      </c>
      <c r="F61" s="29" t="s">
        <v>11</v>
      </c>
      <c r="G61" s="38">
        <v>1005</v>
      </c>
      <c r="H61" s="44">
        <v>0</v>
      </c>
      <c r="I61" s="44">
        <v>0</v>
      </c>
      <c r="J61" s="44">
        <v>0</v>
      </c>
      <c r="K61" s="44">
        <v>0</v>
      </c>
      <c r="L61" s="44">
        <v>0</v>
      </c>
      <c r="M61" s="44">
        <v>0</v>
      </c>
      <c r="N61" s="44">
        <v>0</v>
      </c>
      <c r="O61" s="44">
        <v>1</v>
      </c>
      <c r="P61" s="44">
        <v>0</v>
      </c>
      <c r="Q61" s="44">
        <v>0</v>
      </c>
      <c r="R61" s="44">
        <v>0</v>
      </c>
      <c r="S61" s="44">
        <v>0</v>
      </c>
      <c r="T61" s="44">
        <v>0</v>
      </c>
      <c r="U61" s="44">
        <v>1</v>
      </c>
      <c r="V61" s="44">
        <v>0</v>
      </c>
      <c r="W61" s="44">
        <v>0</v>
      </c>
      <c r="X61" s="44">
        <v>0</v>
      </c>
      <c r="Y61" s="44">
        <v>1</v>
      </c>
      <c r="Z61" s="44">
        <v>0</v>
      </c>
      <c r="AA61" s="44">
        <v>1</v>
      </c>
      <c r="AB61" s="44">
        <v>0</v>
      </c>
      <c r="AC61" s="44">
        <v>1</v>
      </c>
      <c r="AD61" s="39">
        <v>0</v>
      </c>
    </row>
    <row r="62" spans="1:30" x14ac:dyDescent="0.35">
      <c r="A62" s="27" t="s">
        <v>16</v>
      </c>
      <c r="B62" s="28">
        <v>27</v>
      </c>
      <c r="C62" s="28" t="s">
        <v>8</v>
      </c>
      <c r="D62" s="29" t="s">
        <v>11</v>
      </c>
      <c r="E62" s="29" t="s">
        <v>11</v>
      </c>
      <c r="F62" s="29" t="s">
        <v>11</v>
      </c>
      <c r="G62" s="38">
        <v>704</v>
      </c>
      <c r="H62" s="44">
        <v>0</v>
      </c>
      <c r="I62" s="44">
        <v>0</v>
      </c>
      <c r="J62" s="44">
        <v>0</v>
      </c>
      <c r="K62" s="44">
        <v>0</v>
      </c>
      <c r="L62" s="44">
        <v>0</v>
      </c>
      <c r="M62" s="44">
        <v>0</v>
      </c>
      <c r="N62" s="44">
        <v>0</v>
      </c>
      <c r="O62" s="44">
        <v>1</v>
      </c>
      <c r="P62" s="44">
        <v>0</v>
      </c>
      <c r="Q62" s="44">
        <v>0</v>
      </c>
      <c r="R62" s="44">
        <v>0</v>
      </c>
      <c r="S62" s="44">
        <v>0</v>
      </c>
      <c r="T62" s="44">
        <v>0</v>
      </c>
      <c r="U62" s="44">
        <v>0</v>
      </c>
      <c r="V62" s="44">
        <v>0</v>
      </c>
      <c r="W62" s="44">
        <v>1</v>
      </c>
      <c r="X62" s="44">
        <v>0</v>
      </c>
      <c r="Y62" s="44">
        <v>1</v>
      </c>
      <c r="Z62" s="44">
        <v>0</v>
      </c>
      <c r="AA62" s="44">
        <v>1</v>
      </c>
      <c r="AB62" s="44">
        <v>0</v>
      </c>
      <c r="AC62" s="44">
        <v>1</v>
      </c>
      <c r="AD62" s="39">
        <v>0</v>
      </c>
    </row>
    <row r="63" spans="1:30" x14ac:dyDescent="0.35">
      <c r="A63" s="27" t="s">
        <v>16</v>
      </c>
      <c r="B63" s="28">
        <v>28</v>
      </c>
      <c r="C63" s="28" t="s">
        <v>10</v>
      </c>
      <c r="D63" s="29" t="s">
        <v>11</v>
      </c>
      <c r="E63" s="29" t="s">
        <v>11</v>
      </c>
      <c r="F63" s="29" t="s">
        <v>11</v>
      </c>
      <c r="G63" s="38">
        <v>732</v>
      </c>
      <c r="H63" s="44">
        <v>0</v>
      </c>
      <c r="I63" s="44">
        <v>0</v>
      </c>
      <c r="J63" s="44">
        <v>0</v>
      </c>
      <c r="K63" s="44">
        <v>0</v>
      </c>
      <c r="L63" s="44">
        <v>0</v>
      </c>
      <c r="M63" s="44">
        <v>0</v>
      </c>
      <c r="N63" s="44">
        <v>0</v>
      </c>
      <c r="O63" s="44">
        <v>1</v>
      </c>
      <c r="P63" s="44">
        <v>0</v>
      </c>
      <c r="Q63" s="44">
        <v>0</v>
      </c>
      <c r="R63" s="44">
        <v>0</v>
      </c>
      <c r="S63" s="44">
        <v>0</v>
      </c>
      <c r="T63" s="44">
        <v>0</v>
      </c>
      <c r="U63" s="44">
        <v>0</v>
      </c>
      <c r="V63" s="44">
        <v>0</v>
      </c>
      <c r="W63" s="44">
        <v>0</v>
      </c>
      <c r="X63" s="44">
        <v>1</v>
      </c>
      <c r="Y63" s="44">
        <v>1</v>
      </c>
      <c r="Z63" s="44">
        <v>0</v>
      </c>
      <c r="AA63" s="44">
        <v>1</v>
      </c>
      <c r="AB63" s="44">
        <v>0</v>
      </c>
      <c r="AC63" s="44">
        <v>1</v>
      </c>
      <c r="AD63" s="39">
        <v>0</v>
      </c>
    </row>
    <row r="64" spans="1:30" x14ac:dyDescent="0.35">
      <c r="A64" s="27" t="s">
        <v>16</v>
      </c>
      <c r="B64" s="28">
        <v>29</v>
      </c>
      <c r="C64" s="28" t="s">
        <v>12</v>
      </c>
      <c r="D64" s="29" t="s">
        <v>11</v>
      </c>
      <c r="E64" s="29" t="s">
        <v>11</v>
      </c>
      <c r="F64" s="29" t="s">
        <v>11</v>
      </c>
      <c r="G64" s="38">
        <v>738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1</v>
      </c>
      <c r="P64" s="44">
        <v>0</v>
      </c>
      <c r="Q64" s="44">
        <v>0</v>
      </c>
      <c r="R64" s="44">
        <v>0</v>
      </c>
      <c r="S64" s="44">
        <v>0</v>
      </c>
      <c r="T64" s="44">
        <v>0</v>
      </c>
      <c r="U64" s="44">
        <v>0</v>
      </c>
      <c r="V64" s="44">
        <v>1</v>
      </c>
      <c r="W64" s="44">
        <v>0</v>
      </c>
      <c r="X64" s="44">
        <v>0</v>
      </c>
      <c r="Y64" s="44">
        <v>1</v>
      </c>
      <c r="Z64" s="44">
        <v>0</v>
      </c>
      <c r="AA64" s="44">
        <v>1</v>
      </c>
      <c r="AB64" s="44">
        <v>0</v>
      </c>
      <c r="AC64" s="44">
        <v>1</v>
      </c>
      <c r="AD64" s="39">
        <v>0</v>
      </c>
    </row>
    <row r="65" spans="1:30" x14ac:dyDescent="0.35">
      <c r="A65" s="27" t="s">
        <v>16</v>
      </c>
      <c r="B65" s="28">
        <v>30</v>
      </c>
      <c r="C65" s="28" t="s">
        <v>13</v>
      </c>
      <c r="D65" s="29" t="s">
        <v>9</v>
      </c>
      <c r="E65" s="29" t="s">
        <v>9</v>
      </c>
      <c r="F65" s="29" t="s">
        <v>11</v>
      </c>
      <c r="G65" s="38">
        <v>1867</v>
      </c>
      <c r="H65" s="44">
        <v>0</v>
      </c>
      <c r="I65" s="44">
        <v>0</v>
      </c>
      <c r="J65" s="44">
        <v>0</v>
      </c>
      <c r="K65" s="44">
        <v>0</v>
      </c>
      <c r="L65" s="44">
        <v>0</v>
      </c>
      <c r="M65" s="44">
        <v>0</v>
      </c>
      <c r="N65" s="44">
        <v>0</v>
      </c>
      <c r="O65" s="44">
        <v>1</v>
      </c>
      <c r="P65" s="44">
        <v>0</v>
      </c>
      <c r="Q65" s="44">
        <v>0</v>
      </c>
      <c r="R65" s="44">
        <v>0</v>
      </c>
      <c r="S65" s="44">
        <v>0</v>
      </c>
      <c r="T65" s="44">
        <v>1</v>
      </c>
      <c r="U65" s="44">
        <v>0</v>
      </c>
      <c r="V65" s="44">
        <v>0</v>
      </c>
      <c r="W65" s="44">
        <v>0</v>
      </c>
      <c r="X65" s="44">
        <v>0</v>
      </c>
      <c r="Y65" s="44">
        <v>0</v>
      </c>
      <c r="Z65" s="44">
        <v>1</v>
      </c>
      <c r="AA65" s="44">
        <v>0</v>
      </c>
      <c r="AB65" s="44">
        <v>1</v>
      </c>
      <c r="AC65" s="44">
        <v>1</v>
      </c>
      <c r="AD65" s="39">
        <v>0</v>
      </c>
    </row>
    <row r="66" spans="1:30" x14ac:dyDescent="0.35">
      <c r="A66" s="27" t="s">
        <v>17</v>
      </c>
      <c r="B66" s="28">
        <v>2</v>
      </c>
      <c r="C66" s="28" t="s">
        <v>14</v>
      </c>
      <c r="D66" s="29" t="s">
        <v>11</v>
      </c>
      <c r="E66" s="29" t="s">
        <v>11</v>
      </c>
      <c r="F66" s="29" t="s">
        <v>11</v>
      </c>
      <c r="G66" s="38">
        <v>1486</v>
      </c>
      <c r="H66" s="44">
        <v>1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44">
        <v>0</v>
      </c>
      <c r="Q66" s="44">
        <v>0</v>
      </c>
      <c r="R66" s="44">
        <v>0</v>
      </c>
      <c r="S66" s="44">
        <v>0</v>
      </c>
      <c r="T66" s="44">
        <v>0</v>
      </c>
      <c r="U66" s="44">
        <v>1</v>
      </c>
      <c r="V66" s="44">
        <v>0</v>
      </c>
      <c r="W66" s="44">
        <v>0</v>
      </c>
      <c r="X66" s="44">
        <v>0</v>
      </c>
      <c r="Y66" s="44">
        <v>1</v>
      </c>
      <c r="Z66" s="44">
        <v>0</v>
      </c>
      <c r="AA66" s="44">
        <v>1</v>
      </c>
      <c r="AB66" s="44">
        <v>0</v>
      </c>
      <c r="AC66" s="44">
        <v>1</v>
      </c>
      <c r="AD66" s="39">
        <v>0</v>
      </c>
    </row>
    <row r="67" spans="1:30" x14ac:dyDescent="0.35">
      <c r="A67" s="27" t="s">
        <v>17</v>
      </c>
      <c r="B67" s="28">
        <v>3</v>
      </c>
      <c r="C67" s="28" t="s">
        <v>8</v>
      </c>
      <c r="D67" s="29" t="s">
        <v>11</v>
      </c>
      <c r="E67" s="29" t="s">
        <v>11</v>
      </c>
      <c r="F67" s="29" t="s">
        <v>11</v>
      </c>
      <c r="G67" s="38">
        <v>1155</v>
      </c>
      <c r="H67" s="44">
        <v>1</v>
      </c>
      <c r="I67" s="44">
        <v>0</v>
      </c>
      <c r="J67" s="44">
        <v>0</v>
      </c>
      <c r="K67" s="44">
        <v>0</v>
      </c>
      <c r="L67" s="44">
        <v>0</v>
      </c>
      <c r="M67" s="44">
        <v>0</v>
      </c>
      <c r="N67" s="44">
        <v>0</v>
      </c>
      <c r="O67" s="44">
        <v>0</v>
      </c>
      <c r="P67" s="44">
        <v>0</v>
      </c>
      <c r="Q67" s="44">
        <v>0</v>
      </c>
      <c r="R67" s="44">
        <v>0</v>
      </c>
      <c r="S67" s="44">
        <v>0</v>
      </c>
      <c r="T67" s="44">
        <v>0</v>
      </c>
      <c r="U67" s="44">
        <v>0</v>
      </c>
      <c r="V67" s="44">
        <v>0</v>
      </c>
      <c r="W67" s="44">
        <v>1</v>
      </c>
      <c r="X67" s="44">
        <v>0</v>
      </c>
      <c r="Y67" s="44">
        <v>1</v>
      </c>
      <c r="Z67" s="44">
        <v>0</v>
      </c>
      <c r="AA67" s="44">
        <v>1</v>
      </c>
      <c r="AB67" s="44">
        <v>0</v>
      </c>
      <c r="AC67" s="44">
        <v>1</v>
      </c>
      <c r="AD67" s="39">
        <v>0</v>
      </c>
    </row>
    <row r="68" spans="1:30" x14ac:dyDescent="0.35">
      <c r="A68" s="27" t="s">
        <v>17</v>
      </c>
      <c r="B68" s="28">
        <v>4</v>
      </c>
      <c r="C68" s="28" t="s">
        <v>10</v>
      </c>
      <c r="D68" s="29" t="s">
        <v>11</v>
      </c>
      <c r="E68" s="29" t="s">
        <v>11</v>
      </c>
      <c r="F68" s="29" t="s">
        <v>11</v>
      </c>
      <c r="G68" s="38">
        <v>871</v>
      </c>
      <c r="H68" s="44">
        <v>1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44">
        <v>0</v>
      </c>
      <c r="Q68" s="44">
        <v>0</v>
      </c>
      <c r="R68" s="44">
        <v>0</v>
      </c>
      <c r="S68" s="44">
        <v>0</v>
      </c>
      <c r="T68" s="44">
        <v>0</v>
      </c>
      <c r="U68" s="44">
        <v>0</v>
      </c>
      <c r="V68" s="44">
        <v>0</v>
      </c>
      <c r="W68" s="44">
        <v>0</v>
      </c>
      <c r="X68" s="44">
        <v>1</v>
      </c>
      <c r="Y68" s="44">
        <v>1</v>
      </c>
      <c r="Z68" s="44">
        <v>0</v>
      </c>
      <c r="AA68" s="44">
        <v>1</v>
      </c>
      <c r="AB68" s="44">
        <v>0</v>
      </c>
      <c r="AC68" s="44">
        <v>1</v>
      </c>
      <c r="AD68" s="39">
        <v>0</v>
      </c>
    </row>
    <row r="69" spans="1:30" x14ac:dyDescent="0.35">
      <c r="A69" s="27" t="s">
        <v>17</v>
      </c>
      <c r="B69" s="28">
        <v>5</v>
      </c>
      <c r="C69" s="28" t="s">
        <v>12</v>
      </c>
      <c r="D69" s="29" t="s">
        <v>11</v>
      </c>
      <c r="E69" s="29" t="s">
        <v>11</v>
      </c>
      <c r="F69" s="29" t="s">
        <v>11</v>
      </c>
      <c r="G69" s="38">
        <v>832</v>
      </c>
      <c r="H69" s="44">
        <v>1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0</v>
      </c>
      <c r="P69" s="44">
        <v>0</v>
      </c>
      <c r="Q69" s="44">
        <v>0</v>
      </c>
      <c r="R69" s="44">
        <v>0</v>
      </c>
      <c r="S69" s="44">
        <v>0</v>
      </c>
      <c r="T69" s="44">
        <v>0</v>
      </c>
      <c r="U69" s="44">
        <v>0</v>
      </c>
      <c r="V69" s="44">
        <v>1</v>
      </c>
      <c r="W69" s="44">
        <v>0</v>
      </c>
      <c r="X69" s="44">
        <v>0</v>
      </c>
      <c r="Y69" s="44">
        <v>1</v>
      </c>
      <c r="Z69" s="44">
        <v>0</v>
      </c>
      <c r="AA69" s="44">
        <v>1</v>
      </c>
      <c r="AB69" s="44">
        <v>0</v>
      </c>
      <c r="AC69" s="44">
        <v>1</v>
      </c>
      <c r="AD69" s="39">
        <v>0</v>
      </c>
    </row>
    <row r="70" spans="1:30" x14ac:dyDescent="0.35">
      <c r="A70" s="27" t="s">
        <v>17</v>
      </c>
      <c r="B70" s="28">
        <v>6</v>
      </c>
      <c r="C70" s="28" t="s">
        <v>13</v>
      </c>
      <c r="D70" s="29" t="s">
        <v>11</v>
      </c>
      <c r="E70" s="29" t="s">
        <v>11</v>
      </c>
      <c r="F70" s="29" t="s">
        <v>11</v>
      </c>
      <c r="G70" s="38">
        <v>1101</v>
      </c>
      <c r="H70" s="44">
        <v>1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0</v>
      </c>
      <c r="P70" s="44">
        <v>0</v>
      </c>
      <c r="Q70" s="44">
        <v>0</v>
      </c>
      <c r="R70" s="44">
        <v>0</v>
      </c>
      <c r="S70" s="44">
        <v>0</v>
      </c>
      <c r="T70" s="44">
        <v>1</v>
      </c>
      <c r="U70" s="44">
        <v>0</v>
      </c>
      <c r="V70" s="44">
        <v>0</v>
      </c>
      <c r="W70" s="44">
        <v>0</v>
      </c>
      <c r="X70" s="44">
        <v>0</v>
      </c>
      <c r="Y70" s="44">
        <v>1</v>
      </c>
      <c r="Z70" s="44">
        <v>0</v>
      </c>
      <c r="AA70" s="44">
        <v>1</v>
      </c>
      <c r="AB70" s="44">
        <v>0</v>
      </c>
      <c r="AC70" s="44">
        <v>1</v>
      </c>
      <c r="AD70" s="39">
        <v>0</v>
      </c>
    </row>
    <row r="71" spans="1:30" x14ac:dyDescent="0.35">
      <c r="A71" s="27" t="s">
        <v>17</v>
      </c>
      <c r="B71" s="28">
        <v>9</v>
      </c>
      <c r="C71" s="28" t="s">
        <v>14</v>
      </c>
      <c r="D71" s="29" t="s">
        <v>11</v>
      </c>
      <c r="E71" s="29" t="s">
        <v>11</v>
      </c>
      <c r="F71" s="29" t="s">
        <v>11</v>
      </c>
      <c r="G71" s="38">
        <v>929</v>
      </c>
      <c r="H71" s="44">
        <v>1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0</v>
      </c>
      <c r="P71" s="44">
        <v>0</v>
      </c>
      <c r="Q71" s="44">
        <v>0</v>
      </c>
      <c r="R71" s="44">
        <v>0</v>
      </c>
      <c r="S71" s="44">
        <v>0</v>
      </c>
      <c r="T71" s="44">
        <v>0</v>
      </c>
      <c r="U71" s="44">
        <v>1</v>
      </c>
      <c r="V71" s="44">
        <v>0</v>
      </c>
      <c r="W71" s="44">
        <v>0</v>
      </c>
      <c r="X71" s="44">
        <v>0</v>
      </c>
      <c r="Y71" s="44">
        <v>1</v>
      </c>
      <c r="Z71" s="44">
        <v>0</v>
      </c>
      <c r="AA71" s="44">
        <v>1</v>
      </c>
      <c r="AB71" s="44">
        <v>0</v>
      </c>
      <c r="AC71" s="44">
        <v>1</v>
      </c>
      <c r="AD71" s="39">
        <v>0</v>
      </c>
    </row>
    <row r="72" spans="1:30" x14ac:dyDescent="0.35">
      <c r="A72" s="27" t="s">
        <v>17</v>
      </c>
      <c r="B72" s="28">
        <v>10</v>
      </c>
      <c r="C72" s="28" t="s">
        <v>8</v>
      </c>
      <c r="D72" s="29" t="s">
        <v>11</v>
      </c>
      <c r="E72" s="29" t="s">
        <v>11</v>
      </c>
      <c r="F72" s="29" t="s">
        <v>11</v>
      </c>
      <c r="G72" s="38">
        <v>672</v>
      </c>
      <c r="H72" s="44">
        <v>1</v>
      </c>
      <c r="I72" s="44">
        <v>0</v>
      </c>
      <c r="J72" s="44">
        <v>0</v>
      </c>
      <c r="K72" s="44">
        <v>0</v>
      </c>
      <c r="L72" s="44">
        <v>0</v>
      </c>
      <c r="M72" s="44">
        <v>0</v>
      </c>
      <c r="N72" s="44">
        <v>0</v>
      </c>
      <c r="O72" s="44">
        <v>0</v>
      </c>
      <c r="P72" s="44">
        <v>0</v>
      </c>
      <c r="Q72" s="44">
        <v>0</v>
      </c>
      <c r="R72" s="44">
        <v>0</v>
      </c>
      <c r="S72" s="44">
        <v>0</v>
      </c>
      <c r="T72" s="44">
        <v>0</v>
      </c>
      <c r="U72" s="44">
        <v>0</v>
      </c>
      <c r="V72" s="44">
        <v>0</v>
      </c>
      <c r="W72" s="44">
        <v>1</v>
      </c>
      <c r="X72" s="44">
        <v>0</v>
      </c>
      <c r="Y72" s="44">
        <v>1</v>
      </c>
      <c r="Z72" s="44">
        <v>0</v>
      </c>
      <c r="AA72" s="44">
        <v>1</v>
      </c>
      <c r="AB72" s="44">
        <v>0</v>
      </c>
      <c r="AC72" s="44">
        <v>1</v>
      </c>
      <c r="AD72" s="39">
        <v>0</v>
      </c>
    </row>
    <row r="73" spans="1:30" x14ac:dyDescent="0.35">
      <c r="A73" s="27" t="s">
        <v>17</v>
      </c>
      <c r="B73" s="28">
        <v>11</v>
      </c>
      <c r="C73" s="28" t="s">
        <v>10</v>
      </c>
      <c r="D73" s="29" t="s">
        <v>11</v>
      </c>
      <c r="E73" s="29" t="s">
        <v>11</v>
      </c>
      <c r="F73" s="29" t="s">
        <v>11</v>
      </c>
      <c r="G73" s="38">
        <v>751</v>
      </c>
      <c r="H73" s="44">
        <v>1</v>
      </c>
      <c r="I73" s="44">
        <v>0</v>
      </c>
      <c r="J73" s="44">
        <v>0</v>
      </c>
      <c r="K73" s="44">
        <v>0</v>
      </c>
      <c r="L73" s="44">
        <v>0</v>
      </c>
      <c r="M73" s="44">
        <v>0</v>
      </c>
      <c r="N73" s="44">
        <v>0</v>
      </c>
      <c r="O73" s="44">
        <v>0</v>
      </c>
      <c r="P73" s="44">
        <v>0</v>
      </c>
      <c r="Q73" s="44">
        <v>0</v>
      </c>
      <c r="R73" s="44">
        <v>0</v>
      </c>
      <c r="S73" s="44">
        <v>0</v>
      </c>
      <c r="T73" s="44">
        <v>0</v>
      </c>
      <c r="U73" s="44">
        <v>0</v>
      </c>
      <c r="V73" s="44">
        <v>0</v>
      </c>
      <c r="W73" s="44">
        <v>0</v>
      </c>
      <c r="X73" s="44">
        <v>1</v>
      </c>
      <c r="Y73" s="44">
        <v>1</v>
      </c>
      <c r="Z73" s="44">
        <v>0</v>
      </c>
      <c r="AA73" s="44">
        <v>1</v>
      </c>
      <c r="AB73" s="44">
        <v>0</v>
      </c>
      <c r="AC73" s="44">
        <v>1</v>
      </c>
      <c r="AD73" s="39">
        <v>0</v>
      </c>
    </row>
    <row r="74" spans="1:30" x14ac:dyDescent="0.35">
      <c r="A74" s="27" t="s">
        <v>17</v>
      </c>
      <c r="B74" s="28">
        <v>12</v>
      </c>
      <c r="C74" s="28" t="s">
        <v>12</v>
      </c>
      <c r="D74" s="29" t="s">
        <v>9</v>
      </c>
      <c r="E74" s="29" t="s">
        <v>11</v>
      </c>
      <c r="F74" s="29" t="s">
        <v>11</v>
      </c>
      <c r="G74" s="38">
        <v>1114</v>
      </c>
      <c r="H74" s="44">
        <v>1</v>
      </c>
      <c r="I74" s="44">
        <v>0</v>
      </c>
      <c r="J74" s="44">
        <v>0</v>
      </c>
      <c r="K74" s="44">
        <v>0</v>
      </c>
      <c r="L74" s="44">
        <v>0</v>
      </c>
      <c r="M74" s="44">
        <v>0</v>
      </c>
      <c r="N74" s="44">
        <v>0</v>
      </c>
      <c r="O74" s="44">
        <v>0</v>
      </c>
      <c r="P74" s="44">
        <v>0</v>
      </c>
      <c r="Q74" s="44">
        <v>0</v>
      </c>
      <c r="R74" s="44">
        <v>0</v>
      </c>
      <c r="S74" s="44">
        <v>0</v>
      </c>
      <c r="T74" s="44">
        <v>0</v>
      </c>
      <c r="U74" s="44">
        <v>0</v>
      </c>
      <c r="V74" s="44">
        <v>1</v>
      </c>
      <c r="W74" s="44">
        <v>0</v>
      </c>
      <c r="X74" s="44">
        <v>0</v>
      </c>
      <c r="Y74" s="44">
        <v>0</v>
      </c>
      <c r="Z74" s="44">
        <v>1</v>
      </c>
      <c r="AA74" s="44">
        <v>1</v>
      </c>
      <c r="AB74" s="44">
        <v>0</v>
      </c>
      <c r="AC74" s="44">
        <v>1</v>
      </c>
      <c r="AD74" s="39">
        <v>0</v>
      </c>
    </row>
    <row r="75" spans="1:30" x14ac:dyDescent="0.35">
      <c r="A75" s="27" t="s">
        <v>17</v>
      </c>
      <c r="B75" s="28">
        <v>13</v>
      </c>
      <c r="C75" s="28" t="s">
        <v>13</v>
      </c>
      <c r="D75" s="29" t="s">
        <v>11</v>
      </c>
      <c r="E75" s="29" t="s">
        <v>11</v>
      </c>
      <c r="F75" s="29" t="s">
        <v>11</v>
      </c>
      <c r="G75" s="38">
        <v>1612</v>
      </c>
      <c r="H75" s="44">
        <v>1</v>
      </c>
      <c r="I75" s="44">
        <v>0</v>
      </c>
      <c r="J75" s="44">
        <v>0</v>
      </c>
      <c r="K75" s="44">
        <v>0</v>
      </c>
      <c r="L75" s="44">
        <v>0</v>
      </c>
      <c r="M75" s="44">
        <v>0</v>
      </c>
      <c r="N75" s="44">
        <v>0</v>
      </c>
      <c r="O75" s="44">
        <v>0</v>
      </c>
      <c r="P75" s="44">
        <v>0</v>
      </c>
      <c r="Q75" s="44">
        <v>0</v>
      </c>
      <c r="R75" s="44">
        <v>0</v>
      </c>
      <c r="S75" s="44">
        <v>0</v>
      </c>
      <c r="T75" s="44">
        <v>1</v>
      </c>
      <c r="U75" s="44">
        <v>0</v>
      </c>
      <c r="V75" s="44">
        <v>0</v>
      </c>
      <c r="W75" s="44">
        <v>0</v>
      </c>
      <c r="X75" s="44">
        <v>0</v>
      </c>
      <c r="Y75" s="44">
        <v>1</v>
      </c>
      <c r="Z75" s="44">
        <v>0</v>
      </c>
      <c r="AA75" s="44">
        <v>1</v>
      </c>
      <c r="AB75" s="44">
        <v>0</v>
      </c>
      <c r="AC75" s="44">
        <v>1</v>
      </c>
      <c r="AD75" s="39">
        <v>0</v>
      </c>
    </row>
    <row r="76" spans="1:30" x14ac:dyDescent="0.35">
      <c r="A76" s="27" t="s">
        <v>17</v>
      </c>
      <c r="B76" s="28">
        <v>16</v>
      </c>
      <c r="C76" s="28" t="s">
        <v>14</v>
      </c>
      <c r="D76" s="29" t="s">
        <v>11</v>
      </c>
      <c r="E76" s="29" t="s">
        <v>11</v>
      </c>
      <c r="F76" s="29" t="s">
        <v>11</v>
      </c>
      <c r="G76" s="38">
        <v>1267</v>
      </c>
      <c r="H76" s="44">
        <v>1</v>
      </c>
      <c r="I76" s="44">
        <v>0</v>
      </c>
      <c r="J76" s="44">
        <v>0</v>
      </c>
      <c r="K76" s="44">
        <v>0</v>
      </c>
      <c r="L76" s="44">
        <v>0</v>
      </c>
      <c r="M76" s="44">
        <v>0</v>
      </c>
      <c r="N76" s="44">
        <v>0</v>
      </c>
      <c r="O76" s="44">
        <v>0</v>
      </c>
      <c r="P76" s="44">
        <v>0</v>
      </c>
      <c r="Q76" s="44">
        <v>0</v>
      </c>
      <c r="R76" s="44">
        <v>0</v>
      </c>
      <c r="S76" s="44">
        <v>0</v>
      </c>
      <c r="T76" s="44">
        <v>0</v>
      </c>
      <c r="U76" s="44">
        <v>1</v>
      </c>
      <c r="V76" s="44">
        <v>0</v>
      </c>
      <c r="W76" s="44">
        <v>0</v>
      </c>
      <c r="X76" s="44">
        <v>0</v>
      </c>
      <c r="Y76" s="44">
        <v>1</v>
      </c>
      <c r="Z76" s="44">
        <v>0</v>
      </c>
      <c r="AA76" s="44">
        <v>1</v>
      </c>
      <c r="AB76" s="44">
        <v>0</v>
      </c>
      <c r="AC76" s="44">
        <v>1</v>
      </c>
      <c r="AD76" s="39">
        <v>0</v>
      </c>
    </row>
    <row r="77" spans="1:30" x14ac:dyDescent="0.35">
      <c r="A77" s="27" t="s">
        <v>17</v>
      </c>
      <c r="B77" s="28">
        <v>17</v>
      </c>
      <c r="C77" s="28" t="s">
        <v>8</v>
      </c>
      <c r="D77" s="29" t="s">
        <v>11</v>
      </c>
      <c r="E77" s="29" t="s">
        <v>11</v>
      </c>
      <c r="F77" s="29" t="s">
        <v>11</v>
      </c>
      <c r="G77" s="38">
        <v>825</v>
      </c>
      <c r="H77" s="44">
        <v>1</v>
      </c>
      <c r="I77" s="44">
        <v>0</v>
      </c>
      <c r="J77" s="44">
        <v>0</v>
      </c>
      <c r="K77" s="44">
        <v>0</v>
      </c>
      <c r="L77" s="44">
        <v>0</v>
      </c>
      <c r="M77" s="44">
        <v>0</v>
      </c>
      <c r="N77" s="44">
        <v>0</v>
      </c>
      <c r="O77" s="44">
        <v>0</v>
      </c>
      <c r="P77" s="44">
        <v>0</v>
      </c>
      <c r="Q77" s="44">
        <v>0</v>
      </c>
      <c r="R77" s="44">
        <v>0</v>
      </c>
      <c r="S77" s="44">
        <v>0</v>
      </c>
      <c r="T77" s="44">
        <v>0</v>
      </c>
      <c r="U77" s="44">
        <v>0</v>
      </c>
      <c r="V77" s="44">
        <v>0</v>
      </c>
      <c r="W77" s="44">
        <v>1</v>
      </c>
      <c r="X77" s="44">
        <v>0</v>
      </c>
      <c r="Y77" s="44">
        <v>1</v>
      </c>
      <c r="Z77" s="44">
        <v>0</v>
      </c>
      <c r="AA77" s="44">
        <v>1</v>
      </c>
      <c r="AB77" s="44">
        <v>0</v>
      </c>
      <c r="AC77" s="44">
        <v>1</v>
      </c>
      <c r="AD77" s="39">
        <v>0</v>
      </c>
    </row>
    <row r="78" spans="1:30" x14ac:dyDescent="0.35">
      <c r="A78" s="27" t="s">
        <v>17</v>
      </c>
      <c r="B78" s="28">
        <v>18</v>
      </c>
      <c r="C78" s="28" t="s">
        <v>10</v>
      </c>
      <c r="D78" s="29" t="s">
        <v>11</v>
      </c>
      <c r="E78" s="29" t="s">
        <v>11</v>
      </c>
      <c r="F78" s="29" t="s">
        <v>11</v>
      </c>
      <c r="G78" s="38">
        <v>729</v>
      </c>
      <c r="H78" s="44">
        <v>1</v>
      </c>
      <c r="I78" s="44">
        <v>0</v>
      </c>
      <c r="J78" s="44">
        <v>0</v>
      </c>
      <c r="K78" s="44">
        <v>0</v>
      </c>
      <c r="L78" s="44">
        <v>0</v>
      </c>
      <c r="M78" s="44">
        <v>0</v>
      </c>
      <c r="N78" s="44">
        <v>0</v>
      </c>
      <c r="O78" s="44">
        <v>0</v>
      </c>
      <c r="P78" s="44">
        <v>0</v>
      </c>
      <c r="Q78" s="44">
        <v>0</v>
      </c>
      <c r="R78" s="44">
        <v>0</v>
      </c>
      <c r="S78" s="44">
        <v>0</v>
      </c>
      <c r="T78" s="44">
        <v>0</v>
      </c>
      <c r="U78" s="44">
        <v>0</v>
      </c>
      <c r="V78" s="44">
        <v>0</v>
      </c>
      <c r="W78" s="44">
        <v>0</v>
      </c>
      <c r="X78" s="44">
        <v>1</v>
      </c>
      <c r="Y78" s="44">
        <v>1</v>
      </c>
      <c r="Z78" s="44">
        <v>0</v>
      </c>
      <c r="AA78" s="44">
        <v>1</v>
      </c>
      <c r="AB78" s="44">
        <v>0</v>
      </c>
      <c r="AC78" s="44">
        <v>1</v>
      </c>
      <c r="AD78" s="39">
        <v>0</v>
      </c>
    </row>
    <row r="79" spans="1:30" x14ac:dyDescent="0.35">
      <c r="A79" s="27" t="s">
        <v>17</v>
      </c>
      <c r="B79" s="28">
        <v>19</v>
      </c>
      <c r="C79" s="28" t="s">
        <v>12</v>
      </c>
      <c r="D79" s="29" t="s">
        <v>11</v>
      </c>
      <c r="E79" s="29" t="s">
        <v>11</v>
      </c>
      <c r="F79" s="29" t="s">
        <v>11</v>
      </c>
      <c r="G79" s="38">
        <v>836</v>
      </c>
      <c r="H79" s="44">
        <v>1</v>
      </c>
      <c r="I79" s="44">
        <v>0</v>
      </c>
      <c r="J79" s="44">
        <v>0</v>
      </c>
      <c r="K79" s="44">
        <v>0</v>
      </c>
      <c r="L79" s="44">
        <v>0</v>
      </c>
      <c r="M79" s="44">
        <v>0</v>
      </c>
      <c r="N79" s="44">
        <v>0</v>
      </c>
      <c r="O79" s="44">
        <v>0</v>
      </c>
      <c r="P79" s="44">
        <v>0</v>
      </c>
      <c r="Q79" s="44">
        <v>0</v>
      </c>
      <c r="R79" s="44">
        <v>0</v>
      </c>
      <c r="S79" s="44">
        <v>0</v>
      </c>
      <c r="T79" s="44">
        <v>0</v>
      </c>
      <c r="U79" s="44">
        <v>0</v>
      </c>
      <c r="V79" s="44">
        <v>1</v>
      </c>
      <c r="W79" s="44">
        <v>0</v>
      </c>
      <c r="X79" s="44">
        <v>0</v>
      </c>
      <c r="Y79" s="44">
        <v>1</v>
      </c>
      <c r="Z79" s="44">
        <v>0</v>
      </c>
      <c r="AA79" s="44">
        <v>1</v>
      </c>
      <c r="AB79" s="44">
        <v>0</v>
      </c>
      <c r="AC79" s="44">
        <v>1</v>
      </c>
      <c r="AD79" s="39">
        <v>0</v>
      </c>
    </row>
    <row r="80" spans="1:30" x14ac:dyDescent="0.35">
      <c r="A80" s="27" t="s">
        <v>17</v>
      </c>
      <c r="B80" s="28">
        <v>20</v>
      </c>
      <c r="C80" s="28" t="s">
        <v>13</v>
      </c>
      <c r="D80" s="29" t="s">
        <v>11</v>
      </c>
      <c r="E80" s="29" t="s">
        <v>11</v>
      </c>
      <c r="F80" s="29" t="s">
        <v>11</v>
      </c>
      <c r="G80" s="38">
        <v>1123</v>
      </c>
      <c r="H80" s="44">
        <v>1</v>
      </c>
      <c r="I80" s="44">
        <v>0</v>
      </c>
      <c r="J80" s="44">
        <v>0</v>
      </c>
      <c r="K80" s="44">
        <v>0</v>
      </c>
      <c r="L80" s="44">
        <v>0</v>
      </c>
      <c r="M80" s="44">
        <v>0</v>
      </c>
      <c r="N80" s="44">
        <v>0</v>
      </c>
      <c r="O80" s="44">
        <v>0</v>
      </c>
      <c r="P80" s="44">
        <v>0</v>
      </c>
      <c r="Q80" s="44">
        <v>0</v>
      </c>
      <c r="R80" s="44">
        <v>0</v>
      </c>
      <c r="S80" s="44">
        <v>0</v>
      </c>
      <c r="T80" s="44">
        <v>1</v>
      </c>
      <c r="U80" s="44">
        <v>0</v>
      </c>
      <c r="V80" s="44">
        <v>0</v>
      </c>
      <c r="W80" s="44">
        <v>0</v>
      </c>
      <c r="X80" s="44">
        <v>0</v>
      </c>
      <c r="Y80" s="44">
        <v>1</v>
      </c>
      <c r="Z80" s="44">
        <v>0</v>
      </c>
      <c r="AA80" s="44">
        <v>1</v>
      </c>
      <c r="AB80" s="44">
        <v>0</v>
      </c>
      <c r="AC80" s="44">
        <v>1</v>
      </c>
      <c r="AD80" s="39">
        <v>0</v>
      </c>
    </row>
    <row r="81" spans="1:30" x14ac:dyDescent="0.35">
      <c r="A81" s="27" t="s">
        <v>17</v>
      </c>
      <c r="B81" s="28">
        <v>23</v>
      </c>
      <c r="C81" s="28" t="s">
        <v>14</v>
      </c>
      <c r="D81" s="29" t="s">
        <v>11</v>
      </c>
      <c r="E81" s="29" t="s">
        <v>11</v>
      </c>
      <c r="F81" s="29" t="s">
        <v>11</v>
      </c>
      <c r="G81" s="38">
        <v>900</v>
      </c>
      <c r="H81" s="44">
        <v>1</v>
      </c>
      <c r="I81" s="44">
        <v>0</v>
      </c>
      <c r="J81" s="44">
        <v>0</v>
      </c>
      <c r="K81" s="44">
        <v>0</v>
      </c>
      <c r="L81" s="44">
        <v>0</v>
      </c>
      <c r="M81" s="44">
        <v>0</v>
      </c>
      <c r="N81" s="44">
        <v>0</v>
      </c>
      <c r="O81" s="44">
        <v>0</v>
      </c>
      <c r="P81" s="44">
        <v>0</v>
      </c>
      <c r="Q81" s="44">
        <v>0</v>
      </c>
      <c r="R81" s="44">
        <v>0</v>
      </c>
      <c r="S81" s="44">
        <v>0</v>
      </c>
      <c r="T81" s="44">
        <v>0</v>
      </c>
      <c r="U81" s="44">
        <v>1</v>
      </c>
      <c r="V81" s="44">
        <v>0</v>
      </c>
      <c r="W81" s="44">
        <v>0</v>
      </c>
      <c r="X81" s="44">
        <v>0</v>
      </c>
      <c r="Y81" s="44">
        <v>1</v>
      </c>
      <c r="Z81" s="44">
        <v>0</v>
      </c>
      <c r="AA81" s="44">
        <v>1</v>
      </c>
      <c r="AB81" s="44">
        <v>0</v>
      </c>
      <c r="AC81" s="44">
        <v>1</v>
      </c>
      <c r="AD81" s="39">
        <v>0</v>
      </c>
    </row>
    <row r="82" spans="1:30" x14ac:dyDescent="0.35">
      <c r="A82" s="27" t="s">
        <v>17</v>
      </c>
      <c r="B82" s="28">
        <v>24</v>
      </c>
      <c r="C82" s="28" t="s">
        <v>8</v>
      </c>
      <c r="D82" s="29" t="s">
        <v>11</v>
      </c>
      <c r="E82" s="29" t="s">
        <v>11</v>
      </c>
      <c r="F82" s="29" t="s">
        <v>11</v>
      </c>
      <c r="G82" s="38">
        <v>702</v>
      </c>
      <c r="H82" s="44">
        <v>1</v>
      </c>
      <c r="I82" s="44">
        <v>0</v>
      </c>
      <c r="J82" s="44">
        <v>0</v>
      </c>
      <c r="K82" s="44">
        <v>0</v>
      </c>
      <c r="L82" s="44">
        <v>0</v>
      </c>
      <c r="M82" s="44">
        <v>0</v>
      </c>
      <c r="N82" s="44">
        <v>0</v>
      </c>
      <c r="O82" s="44">
        <v>0</v>
      </c>
      <c r="P82" s="44">
        <v>0</v>
      </c>
      <c r="Q82" s="44">
        <v>0</v>
      </c>
      <c r="R82" s="44">
        <v>0</v>
      </c>
      <c r="S82" s="44">
        <v>0</v>
      </c>
      <c r="T82" s="44">
        <v>0</v>
      </c>
      <c r="U82" s="44">
        <v>0</v>
      </c>
      <c r="V82" s="44">
        <v>0</v>
      </c>
      <c r="W82" s="44">
        <v>1</v>
      </c>
      <c r="X82" s="44">
        <v>0</v>
      </c>
      <c r="Y82" s="44">
        <v>1</v>
      </c>
      <c r="Z82" s="44">
        <v>0</v>
      </c>
      <c r="AA82" s="44">
        <v>1</v>
      </c>
      <c r="AB82" s="44">
        <v>0</v>
      </c>
      <c r="AC82" s="44">
        <v>1</v>
      </c>
      <c r="AD82" s="39">
        <v>0</v>
      </c>
    </row>
    <row r="83" spans="1:30" x14ac:dyDescent="0.35">
      <c r="A83" s="27" t="s">
        <v>17</v>
      </c>
      <c r="B83" s="28">
        <v>25</v>
      </c>
      <c r="C83" s="28" t="s">
        <v>10</v>
      </c>
      <c r="D83" s="29" t="s">
        <v>11</v>
      </c>
      <c r="E83" s="29" t="s">
        <v>11</v>
      </c>
      <c r="F83" s="29" t="s">
        <v>11</v>
      </c>
      <c r="G83" s="38">
        <v>724</v>
      </c>
      <c r="H83" s="44">
        <v>1</v>
      </c>
      <c r="I83" s="44">
        <v>0</v>
      </c>
      <c r="J83" s="44">
        <v>0</v>
      </c>
      <c r="K83" s="44">
        <v>0</v>
      </c>
      <c r="L83" s="44">
        <v>0</v>
      </c>
      <c r="M83" s="44">
        <v>0</v>
      </c>
      <c r="N83" s="44">
        <v>0</v>
      </c>
      <c r="O83" s="44">
        <v>0</v>
      </c>
      <c r="P83" s="44">
        <v>0</v>
      </c>
      <c r="Q83" s="44">
        <v>0</v>
      </c>
      <c r="R83" s="44">
        <v>0</v>
      </c>
      <c r="S83" s="44">
        <v>0</v>
      </c>
      <c r="T83" s="44">
        <v>0</v>
      </c>
      <c r="U83" s="44">
        <v>0</v>
      </c>
      <c r="V83" s="44">
        <v>0</v>
      </c>
      <c r="W83" s="44">
        <v>0</v>
      </c>
      <c r="X83" s="44">
        <v>1</v>
      </c>
      <c r="Y83" s="44">
        <v>1</v>
      </c>
      <c r="Z83" s="44">
        <v>0</v>
      </c>
      <c r="AA83" s="44">
        <v>1</v>
      </c>
      <c r="AB83" s="44">
        <v>0</v>
      </c>
      <c r="AC83" s="44">
        <v>1</v>
      </c>
      <c r="AD83" s="39">
        <v>0</v>
      </c>
    </row>
    <row r="84" spans="1:30" x14ac:dyDescent="0.35">
      <c r="A84" s="27" t="s">
        <v>17</v>
      </c>
      <c r="B84" s="28">
        <v>26</v>
      </c>
      <c r="C84" s="28" t="s">
        <v>12</v>
      </c>
      <c r="D84" s="29" t="s">
        <v>11</v>
      </c>
      <c r="E84" s="29" t="s">
        <v>11</v>
      </c>
      <c r="F84" s="29" t="s">
        <v>11</v>
      </c>
      <c r="G84" s="38">
        <v>824</v>
      </c>
      <c r="H84" s="44">
        <v>1</v>
      </c>
      <c r="I84" s="44">
        <v>0</v>
      </c>
      <c r="J84" s="44">
        <v>0</v>
      </c>
      <c r="K84" s="44">
        <v>0</v>
      </c>
      <c r="L84" s="44">
        <v>0</v>
      </c>
      <c r="M84" s="44">
        <v>0</v>
      </c>
      <c r="N84" s="44">
        <v>0</v>
      </c>
      <c r="O84" s="44">
        <v>0</v>
      </c>
      <c r="P84" s="44">
        <v>0</v>
      </c>
      <c r="Q84" s="44">
        <v>0</v>
      </c>
      <c r="R84" s="44">
        <v>0</v>
      </c>
      <c r="S84" s="44">
        <v>0</v>
      </c>
      <c r="T84" s="44">
        <v>0</v>
      </c>
      <c r="U84" s="44">
        <v>0</v>
      </c>
      <c r="V84" s="44">
        <v>1</v>
      </c>
      <c r="W84" s="44">
        <v>0</v>
      </c>
      <c r="X84" s="44">
        <v>0</v>
      </c>
      <c r="Y84" s="44">
        <v>1</v>
      </c>
      <c r="Z84" s="44">
        <v>0</v>
      </c>
      <c r="AA84" s="44">
        <v>1</v>
      </c>
      <c r="AB84" s="44">
        <v>0</v>
      </c>
      <c r="AC84" s="44">
        <v>1</v>
      </c>
      <c r="AD84" s="39">
        <v>0</v>
      </c>
    </row>
    <row r="85" spans="1:30" x14ac:dyDescent="0.35">
      <c r="A85" s="27" t="s">
        <v>17</v>
      </c>
      <c r="B85" s="28">
        <v>27</v>
      </c>
      <c r="C85" s="28" t="s">
        <v>13</v>
      </c>
      <c r="D85" s="29" t="s">
        <v>9</v>
      </c>
      <c r="E85" s="29" t="s">
        <v>11</v>
      </c>
      <c r="F85" s="29" t="s">
        <v>11</v>
      </c>
      <c r="G85" s="38">
        <v>1682</v>
      </c>
      <c r="H85" s="44">
        <v>1</v>
      </c>
      <c r="I85" s="44">
        <v>0</v>
      </c>
      <c r="J85" s="44">
        <v>0</v>
      </c>
      <c r="K85" s="44">
        <v>0</v>
      </c>
      <c r="L85" s="44">
        <v>0</v>
      </c>
      <c r="M85" s="44">
        <v>0</v>
      </c>
      <c r="N85" s="44">
        <v>0</v>
      </c>
      <c r="O85" s="44">
        <v>0</v>
      </c>
      <c r="P85" s="44">
        <v>0</v>
      </c>
      <c r="Q85" s="44">
        <v>0</v>
      </c>
      <c r="R85" s="44">
        <v>0</v>
      </c>
      <c r="S85" s="44">
        <v>0</v>
      </c>
      <c r="T85" s="44">
        <v>1</v>
      </c>
      <c r="U85" s="44">
        <v>0</v>
      </c>
      <c r="V85" s="44">
        <v>0</v>
      </c>
      <c r="W85" s="44">
        <v>0</v>
      </c>
      <c r="X85" s="44">
        <v>0</v>
      </c>
      <c r="Y85" s="44">
        <v>0</v>
      </c>
      <c r="Z85" s="44">
        <v>1</v>
      </c>
      <c r="AA85" s="44">
        <v>1</v>
      </c>
      <c r="AB85" s="44">
        <v>0</v>
      </c>
      <c r="AC85" s="44">
        <v>1</v>
      </c>
      <c r="AD85" s="39">
        <v>0</v>
      </c>
    </row>
    <row r="86" spans="1:30" x14ac:dyDescent="0.35">
      <c r="A86" s="27" t="s">
        <v>17</v>
      </c>
      <c r="B86" s="28">
        <v>30</v>
      </c>
      <c r="C86" s="28" t="s">
        <v>14</v>
      </c>
      <c r="D86" s="29" t="s">
        <v>11</v>
      </c>
      <c r="E86" s="29" t="s">
        <v>11</v>
      </c>
      <c r="F86" s="29" t="s">
        <v>11</v>
      </c>
      <c r="G86" s="38">
        <v>1146</v>
      </c>
      <c r="H86" s="44">
        <v>1</v>
      </c>
      <c r="I86" s="44">
        <v>0</v>
      </c>
      <c r="J86" s="44">
        <v>0</v>
      </c>
      <c r="K86" s="44">
        <v>0</v>
      </c>
      <c r="L86" s="44">
        <v>0</v>
      </c>
      <c r="M86" s="44">
        <v>0</v>
      </c>
      <c r="N86" s="44">
        <v>0</v>
      </c>
      <c r="O86" s="44">
        <v>0</v>
      </c>
      <c r="P86" s="44">
        <v>0</v>
      </c>
      <c r="Q86" s="44">
        <v>0</v>
      </c>
      <c r="R86" s="44">
        <v>0</v>
      </c>
      <c r="S86" s="44">
        <v>0</v>
      </c>
      <c r="T86" s="44">
        <v>0</v>
      </c>
      <c r="U86" s="44">
        <v>1</v>
      </c>
      <c r="V86" s="44">
        <v>0</v>
      </c>
      <c r="W86" s="44">
        <v>0</v>
      </c>
      <c r="X86" s="44">
        <v>0</v>
      </c>
      <c r="Y86" s="44">
        <v>1</v>
      </c>
      <c r="Z86" s="44">
        <v>0</v>
      </c>
      <c r="AA86" s="44">
        <v>1</v>
      </c>
      <c r="AB86" s="44">
        <v>0</v>
      </c>
      <c r="AC86" s="44">
        <v>1</v>
      </c>
      <c r="AD86" s="39">
        <v>0</v>
      </c>
    </row>
    <row r="87" spans="1:30" x14ac:dyDescent="0.35">
      <c r="A87" s="27" t="s">
        <v>18</v>
      </c>
      <c r="B87" s="28">
        <v>1</v>
      </c>
      <c r="C87" s="28" t="s">
        <v>8</v>
      </c>
      <c r="D87" s="29" t="s">
        <v>11</v>
      </c>
      <c r="E87" s="29" t="s">
        <v>9</v>
      </c>
      <c r="F87" s="29" t="s">
        <v>11</v>
      </c>
      <c r="G87" s="38">
        <v>1488</v>
      </c>
      <c r="H87" s="44">
        <v>0</v>
      </c>
      <c r="I87" s="44">
        <v>0</v>
      </c>
      <c r="J87" s="44">
        <v>0</v>
      </c>
      <c r="K87" s="44">
        <v>0</v>
      </c>
      <c r="L87" s="44">
        <v>0</v>
      </c>
      <c r="M87" s="44">
        <v>0</v>
      </c>
      <c r="N87" s="44">
        <v>0</v>
      </c>
      <c r="O87" s="44">
        <v>0</v>
      </c>
      <c r="P87" s="44">
        <v>1</v>
      </c>
      <c r="Q87" s="44">
        <v>0</v>
      </c>
      <c r="R87" s="44">
        <v>0</v>
      </c>
      <c r="S87" s="44">
        <v>0</v>
      </c>
      <c r="T87" s="44">
        <v>0</v>
      </c>
      <c r="U87" s="44">
        <v>0</v>
      </c>
      <c r="V87" s="44">
        <v>0</v>
      </c>
      <c r="W87" s="44">
        <v>1</v>
      </c>
      <c r="X87" s="44">
        <v>0</v>
      </c>
      <c r="Y87" s="44">
        <v>1</v>
      </c>
      <c r="Z87" s="44">
        <v>0</v>
      </c>
      <c r="AA87" s="44">
        <v>0</v>
      </c>
      <c r="AB87" s="44">
        <v>1</v>
      </c>
      <c r="AC87" s="44">
        <v>1</v>
      </c>
      <c r="AD87" s="39">
        <v>0</v>
      </c>
    </row>
    <row r="88" spans="1:30" x14ac:dyDescent="0.35">
      <c r="A88" s="27" t="s">
        <v>18</v>
      </c>
      <c r="B88" s="28">
        <v>2</v>
      </c>
      <c r="C88" s="28" t="s">
        <v>10</v>
      </c>
      <c r="D88" s="29" t="s">
        <v>11</v>
      </c>
      <c r="E88" s="29" t="s">
        <v>11</v>
      </c>
      <c r="F88" s="29" t="s">
        <v>11</v>
      </c>
      <c r="G88" s="38">
        <v>1121</v>
      </c>
      <c r="H88" s="44">
        <v>0</v>
      </c>
      <c r="I88" s="44">
        <v>0</v>
      </c>
      <c r="J88" s="44">
        <v>0</v>
      </c>
      <c r="K88" s="44">
        <v>0</v>
      </c>
      <c r="L88" s="44">
        <v>0</v>
      </c>
      <c r="M88" s="44">
        <v>0</v>
      </c>
      <c r="N88" s="44">
        <v>0</v>
      </c>
      <c r="O88" s="44">
        <v>0</v>
      </c>
      <c r="P88" s="44">
        <v>1</v>
      </c>
      <c r="Q88" s="44">
        <v>0</v>
      </c>
      <c r="R88" s="44">
        <v>0</v>
      </c>
      <c r="S88" s="44">
        <v>0</v>
      </c>
      <c r="T88" s="44">
        <v>0</v>
      </c>
      <c r="U88" s="44">
        <v>0</v>
      </c>
      <c r="V88" s="44">
        <v>0</v>
      </c>
      <c r="W88" s="44">
        <v>0</v>
      </c>
      <c r="X88" s="44">
        <v>1</v>
      </c>
      <c r="Y88" s="44">
        <v>1</v>
      </c>
      <c r="Z88" s="44">
        <v>0</v>
      </c>
      <c r="AA88" s="44">
        <v>1</v>
      </c>
      <c r="AB88" s="44">
        <v>0</v>
      </c>
      <c r="AC88" s="44">
        <v>1</v>
      </c>
      <c r="AD88" s="39">
        <v>0</v>
      </c>
    </row>
    <row r="89" spans="1:30" x14ac:dyDescent="0.35">
      <c r="A89" s="27" t="s">
        <v>18</v>
      </c>
      <c r="B89" s="28">
        <v>3</v>
      </c>
      <c r="C89" s="28" t="s">
        <v>12</v>
      </c>
      <c r="D89" s="29" t="s">
        <v>11</v>
      </c>
      <c r="E89" s="29" t="s">
        <v>11</v>
      </c>
      <c r="F89" s="29" t="s">
        <v>11</v>
      </c>
      <c r="G89" s="38">
        <v>1147</v>
      </c>
      <c r="H89" s="44">
        <v>0</v>
      </c>
      <c r="I89" s="44">
        <v>0</v>
      </c>
      <c r="J89" s="44">
        <v>0</v>
      </c>
      <c r="K89" s="44">
        <v>0</v>
      </c>
      <c r="L89" s="44">
        <v>0</v>
      </c>
      <c r="M89" s="44">
        <v>0</v>
      </c>
      <c r="N89" s="44">
        <v>0</v>
      </c>
      <c r="O89" s="44">
        <v>0</v>
      </c>
      <c r="P89" s="44">
        <v>1</v>
      </c>
      <c r="Q89" s="44">
        <v>0</v>
      </c>
      <c r="R89" s="44">
        <v>0</v>
      </c>
      <c r="S89" s="44">
        <v>0</v>
      </c>
      <c r="T89" s="44">
        <v>0</v>
      </c>
      <c r="U89" s="44">
        <v>0</v>
      </c>
      <c r="V89" s="44">
        <v>1</v>
      </c>
      <c r="W89" s="44">
        <v>0</v>
      </c>
      <c r="X89" s="44">
        <v>0</v>
      </c>
      <c r="Y89" s="44">
        <v>1</v>
      </c>
      <c r="Z89" s="44">
        <v>0</v>
      </c>
      <c r="AA89" s="44">
        <v>1</v>
      </c>
      <c r="AB89" s="44">
        <v>0</v>
      </c>
      <c r="AC89" s="44">
        <v>1</v>
      </c>
      <c r="AD89" s="39">
        <v>0</v>
      </c>
    </row>
    <row r="90" spans="1:30" x14ac:dyDescent="0.35">
      <c r="A90" s="27" t="s">
        <v>18</v>
      </c>
      <c r="B90" s="28">
        <v>4</v>
      </c>
      <c r="C90" s="28" t="s">
        <v>13</v>
      </c>
      <c r="D90" s="29" t="s">
        <v>11</v>
      </c>
      <c r="E90" s="29" t="s">
        <v>11</v>
      </c>
      <c r="F90" s="29" t="s">
        <v>11</v>
      </c>
      <c r="G90" s="38">
        <v>1455</v>
      </c>
      <c r="H90" s="44">
        <v>0</v>
      </c>
      <c r="I90" s="44">
        <v>0</v>
      </c>
      <c r="J90" s="44">
        <v>0</v>
      </c>
      <c r="K90" s="44">
        <v>0</v>
      </c>
      <c r="L90" s="44">
        <v>0</v>
      </c>
      <c r="M90" s="44">
        <v>0</v>
      </c>
      <c r="N90" s="44">
        <v>0</v>
      </c>
      <c r="O90" s="44">
        <v>0</v>
      </c>
      <c r="P90" s="44">
        <v>1</v>
      </c>
      <c r="Q90" s="44">
        <v>0</v>
      </c>
      <c r="R90" s="44">
        <v>0</v>
      </c>
      <c r="S90" s="44">
        <v>0</v>
      </c>
      <c r="T90" s="44">
        <v>1</v>
      </c>
      <c r="U90" s="44">
        <v>0</v>
      </c>
      <c r="V90" s="44">
        <v>0</v>
      </c>
      <c r="W90" s="44">
        <v>0</v>
      </c>
      <c r="X90" s="44">
        <v>0</v>
      </c>
      <c r="Y90" s="44">
        <v>1</v>
      </c>
      <c r="Z90" s="44">
        <v>0</v>
      </c>
      <c r="AA90" s="44">
        <v>1</v>
      </c>
      <c r="AB90" s="44">
        <v>0</v>
      </c>
      <c r="AC90" s="44">
        <v>1</v>
      </c>
      <c r="AD90" s="39">
        <v>0</v>
      </c>
    </row>
    <row r="91" spans="1:30" x14ac:dyDescent="0.35">
      <c r="A91" s="27" t="s">
        <v>18</v>
      </c>
      <c r="B91" s="28">
        <v>7</v>
      </c>
      <c r="C91" s="28" t="s">
        <v>14</v>
      </c>
      <c r="D91" s="29" t="s">
        <v>11</v>
      </c>
      <c r="E91" s="29" t="s">
        <v>11</v>
      </c>
      <c r="F91" s="29" t="s">
        <v>11</v>
      </c>
      <c r="G91" s="38">
        <v>1330</v>
      </c>
      <c r="H91" s="44">
        <v>0</v>
      </c>
      <c r="I91" s="44">
        <v>0</v>
      </c>
      <c r="J91" s="44">
        <v>0</v>
      </c>
      <c r="K91" s="44">
        <v>0</v>
      </c>
      <c r="L91" s="44">
        <v>0</v>
      </c>
      <c r="M91" s="44">
        <v>0</v>
      </c>
      <c r="N91" s="44">
        <v>0</v>
      </c>
      <c r="O91" s="44">
        <v>0</v>
      </c>
      <c r="P91" s="44">
        <v>1</v>
      </c>
      <c r="Q91" s="44">
        <v>0</v>
      </c>
      <c r="R91" s="44">
        <v>0</v>
      </c>
      <c r="S91" s="44">
        <v>0</v>
      </c>
      <c r="T91" s="44">
        <v>0</v>
      </c>
      <c r="U91" s="44">
        <v>1</v>
      </c>
      <c r="V91" s="44">
        <v>0</v>
      </c>
      <c r="W91" s="44">
        <v>0</v>
      </c>
      <c r="X91" s="44">
        <v>0</v>
      </c>
      <c r="Y91" s="44">
        <v>1</v>
      </c>
      <c r="Z91" s="44">
        <v>0</v>
      </c>
      <c r="AA91" s="44">
        <v>1</v>
      </c>
      <c r="AB91" s="44">
        <v>0</v>
      </c>
      <c r="AC91" s="44">
        <v>1</v>
      </c>
      <c r="AD91" s="39">
        <v>0</v>
      </c>
    </row>
    <row r="92" spans="1:30" x14ac:dyDescent="0.35">
      <c r="A92" s="27" t="s">
        <v>18</v>
      </c>
      <c r="B92" s="28">
        <v>8</v>
      </c>
      <c r="C92" s="28" t="s">
        <v>8</v>
      </c>
      <c r="D92" s="29" t="s">
        <v>11</v>
      </c>
      <c r="E92" s="29" t="s">
        <v>11</v>
      </c>
      <c r="F92" s="29" t="s">
        <v>11</v>
      </c>
      <c r="G92" s="38">
        <v>819</v>
      </c>
      <c r="H92" s="44">
        <v>0</v>
      </c>
      <c r="I92" s="44">
        <v>0</v>
      </c>
      <c r="J92" s="44">
        <v>0</v>
      </c>
      <c r="K92" s="44">
        <v>0</v>
      </c>
      <c r="L92" s="44">
        <v>0</v>
      </c>
      <c r="M92" s="44">
        <v>0</v>
      </c>
      <c r="N92" s="44">
        <v>0</v>
      </c>
      <c r="O92" s="44">
        <v>0</v>
      </c>
      <c r="P92" s="44">
        <v>1</v>
      </c>
      <c r="Q92" s="44">
        <v>0</v>
      </c>
      <c r="R92" s="44">
        <v>0</v>
      </c>
      <c r="S92" s="44">
        <v>0</v>
      </c>
      <c r="T92" s="44">
        <v>0</v>
      </c>
      <c r="U92" s="44">
        <v>0</v>
      </c>
      <c r="V92" s="44">
        <v>0</v>
      </c>
      <c r="W92" s="44">
        <v>1</v>
      </c>
      <c r="X92" s="44">
        <v>0</v>
      </c>
      <c r="Y92" s="44">
        <v>1</v>
      </c>
      <c r="Z92" s="44">
        <v>0</v>
      </c>
      <c r="AA92" s="44">
        <v>1</v>
      </c>
      <c r="AB92" s="44">
        <v>0</v>
      </c>
      <c r="AC92" s="44">
        <v>1</v>
      </c>
      <c r="AD92" s="39">
        <v>0</v>
      </c>
    </row>
    <row r="93" spans="1:30" x14ac:dyDescent="0.35">
      <c r="A93" s="27" t="s">
        <v>18</v>
      </c>
      <c r="B93" s="28">
        <v>9</v>
      </c>
      <c r="C93" s="28" t="s">
        <v>10</v>
      </c>
      <c r="D93" s="29" t="s">
        <v>11</v>
      </c>
      <c r="E93" s="29" t="s">
        <v>11</v>
      </c>
      <c r="F93" s="29" t="s">
        <v>11</v>
      </c>
      <c r="G93" s="38">
        <v>743</v>
      </c>
      <c r="H93" s="44">
        <v>0</v>
      </c>
      <c r="I93" s="44">
        <v>0</v>
      </c>
      <c r="J93" s="44">
        <v>0</v>
      </c>
      <c r="K93" s="44">
        <v>0</v>
      </c>
      <c r="L93" s="44">
        <v>0</v>
      </c>
      <c r="M93" s="44">
        <v>0</v>
      </c>
      <c r="N93" s="44">
        <v>0</v>
      </c>
      <c r="O93" s="44">
        <v>0</v>
      </c>
      <c r="P93" s="44">
        <v>1</v>
      </c>
      <c r="Q93" s="44">
        <v>0</v>
      </c>
      <c r="R93" s="44">
        <v>0</v>
      </c>
      <c r="S93" s="44">
        <v>0</v>
      </c>
      <c r="T93" s="44">
        <v>0</v>
      </c>
      <c r="U93" s="44">
        <v>0</v>
      </c>
      <c r="V93" s="44">
        <v>0</v>
      </c>
      <c r="W93" s="44">
        <v>0</v>
      </c>
      <c r="X93" s="44">
        <v>1</v>
      </c>
      <c r="Y93" s="44">
        <v>1</v>
      </c>
      <c r="Z93" s="44">
        <v>0</v>
      </c>
      <c r="AA93" s="44">
        <v>1</v>
      </c>
      <c r="AB93" s="44">
        <v>0</v>
      </c>
      <c r="AC93" s="44">
        <v>1</v>
      </c>
      <c r="AD93" s="39">
        <v>0</v>
      </c>
    </row>
    <row r="94" spans="1:30" x14ac:dyDescent="0.35">
      <c r="A94" s="27" t="s">
        <v>18</v>
      </c>
      <c r="B94" s="28">
        <v>10</v>
      </c>
      <c r="C94" s="28" t="s">
        <v>12</v>
      </c>
      <c r="D94" s="29" t="s">
        <v>11</v>
      </c>
      <c r="E94" s="29" t="s">
        <v>11</v>
      </c>
      <c r="F94" s="29" t="s">
        <v>11</v>
      </c>
      <c r="G94" s="38">
        <v>921</v>
      </c>
      <c r="H94" s="44">
        <v>0</v>
      </c>
      <c r="I94" s="44">
        <v>0</v>
      </c>
      <c r="J94" s="44">
        <v>0</v>
      </c>
      <c r="K94" s="44">
        <v>0</v>
      </c>
      <c r="L94" s="44">
        <v>0</v>
      </c>
      <c r="M94" s="44">
        <v>0</v>
      </c>
      <c r="N94" s="44">
        <v>0</v>
      </c>
      <c r="O94" s="44">
        <v>0</v>
      </c>
      <c r="P94" s="44">
        <v>1</v>
      </c>
      <c r="Q94" s="44">
        <v>0</v>
      </c>
      <c r="R94" s="44">
        <v>0</v>
      </c>
      <c r="S94" s="44">
        <v>0</v>
      </c>
      <c r="T94" s="44">
        <v>0</v>
      </c>
      <c r="U94" s="44">
        <v>0</v>
      </c>
      <c r="V94" s="44">
        <v>1</v>
      </c>
      <c r="W94" s="44">
        <v>0</v>
      </c>
      <c r="X94" s="44">
        <v>0</v>
      </c>
      <c r="Y94" s="44">
        <v>1</v>
      </c>
      <c r="Z94" s="44">
        <v>0</v>
      </c>
      <c r="AA94" s="44">
        <v>1</v>
      </c>
      <c r="AB94" s="44">
        <v>0</v>
      </c>
      <c r="AC94" s="44">
        <v>1</v>
      </c>
      <c r="AD94" s="39">
        <v>0</v>
      </c>
    </row>
    <row r="95" spans="1:30" x14ac:dyDescent="0.35">
      <c r="A95" s="27" t="s">
        <v>18</v>
      </c>
      <c r="B95" s="28">
        <v>11</v>
      </c>
      <c r="C95" s="28" t="s">
        <v>13</v>
      </c>
      <c r="D95" s="29" t="s">
        <v>9</v>
      </c>
      <c r="E95" s="29" t="s">
        <v>9</v>
      </c>
      <c r="F95" s="29" t="s">
        <v>11</v>
      </c>
      <c r="G95" s="38">
        <v>1731</v>
      </c>
      <c r="H95" s="44">
        <v>0</v>
      </c>
      <c r="I95" s="44">
        <v>0</v>
      </c>
      <c r="J95" s="44">
        <v>0</v>
      </c>
      <c r="K95" s="44">
        <v>0</v>
      </c>
      <c r="L95" s="44">
        <v>0</v>
      </c>
      <c r="M95" s="44">
        <v>0</v>
      </c>
      <c r="N95" s="44">
        <v>0</v>
      </c>
      <c r="O95" s="44">
        <v>0</v>
      </c>
      <c r="P95" s="44">
        <v>1</v>
      </c>
      <c r="Q95" s="44">
        <v>0</v>
      </c>
      <c r="R95" s="44">
        <v>0</v>
      </c>
      <c r="S95" s="44">
        <v>0</v>
      </c>
      <c r="T95" s="44">
        <v>1</v>
      </c>
      <c r="U95" s="44">
        <v>0</v>
      </c>
      <c r="V95" s="44">
        <v>0</v>
      </c>
      <c r="W95" s="44">
        <v>0</v>
      </c>
      <c r="X95" s="44">
        <v>0</v>
      </c>
      <c r="Y95" s="44">
        <v>0</v>
      </c>
      <c r="Z95" s="44">
        <v>1</v>
      </c>
      <c r="AA95" s="44">
        <v>0</v>
      </c>
      <c r="AB95" s="44">
        <v>1</v>
      </c>
      <c r="AC95" s="44">
        <v>1</v>
      </c>
      <c r="AD95" s="39">
        <v>0</v>
      </c>
    </row>
    <row r="96" spans="1:30" x14ac:dyDescent="0.35">
      <c r="A96" s="27" t="s">
        <v>18</v>
      </c>
      <c r="B96" s="28">
        <v>14</v>
      </c>
      <c r="C96" s="28" t="s">
        <v>14</v>
      </c>
      <c r="D96" s="29" t="s">
        <v>11</v>
      </c>
      <c r="E96" s="29" t="s">
        <v>11</v>
      </c>
      <c r="F96" s="29" t="s">
        <v>11</v>
      </c>
      <c r="G96" s="38">
        <v>1118</v>
      </c>
      <c r="H96" s="44">
        <v>0</v>
      </c>
      <c r="I96" s="44">
        <v>0</v>
      </c>
      <c r="J96" s="44">
        <v>0</v>
      </c>
      <c r="K96" s="44">
        <v>0</v>
      </c>
      <c r="L96" s="44">
        <v>0</v>
      </c>
      <c r="M96" s="44">
        <v>0</v>
      </c>
      <c r="N96" s="44">
        <v>0</v>
      </c>
      <c r="O96" s="44">
        <v>0</v>
      </c>
      <c r="P96" s="44">
        <v>1</v>
      </c>
      <c r="Q96" s="44">
        <v>0</v>
      </c>
      <c r="R96" s="44">
        <v>0</v>
      </c>
      <c r="S96" s="44">
        <v>0</v>
      </c>
      <c r="T96" s="44">
        <v>0</v>
      </c>
      <c r="U96" s="44">
        <v>1</v>
      </c>
      <c r="V96" s="44">
        <v>0</v>
      </c>
      <c r="W96" s="44">
        <v>0</v>
      </c>
      <c r="X96" s="44">
        <v>0</v>
      </c>
      <c r="Y96" s="44">
        <v>1</v>
      </c>
      <c r="Z96" s="44">
        <v>0</v>
      </c>
      <c r="AA96" s="44">
        <v>1</v>
      </c>
      <c r="AB96" s="44">
        <v>0</v>
      </c>
      <c r="AC96" s="44">
        <v>1</v>
      </c>
      <c r="AD96" s="39">
        <v>0</v>
      </c>
    </row>
    <row r="97" spans="1:30" x14ac:dyDescent="0.35">
      <c r="A97" s="27" t="s">
        <v>18</v>
      </c>
      <c r="B97" s="28">
        <v>15</v>
      </c>
      <c r="C97" s="28" t="s">
        <v>8</v>
      </c>
      <c r="D97" s="29" t="s">
        <v>11</v>
      </c>
      <c r="E97" s="29" t="s">
        <v>11</v>
      </c>
      <c r="F97" s="29" t="s">
        <v>11</v>
      </c>
      <c r="G97" s="38">
        <v>1064</v>
      </c>
      <c r="H97" s="44">
        <v>0</v>
      </c>
      <c r="I97" s="44">
        <v>0</v>
      </c>
      <c r="J97" s="44">
        <v>0</v>
      </c>
      <c r="K97" s="44">
        <v>0</v>
      </c>
      <c r="L97" s="44">
        <v>0</v>
      </c>
      <c r="M97" s="44">
        <v>0</v>
      </c>
      <c r="N97" s="44">
        <v>0</v>
      </c>
      <c r="O97" s="44">
        <v>0</v>
      </c>
      <c r="P97" s="44">
        <v>1</v>
      </c>
      <c r="Q97" s="44">
        <v>0</v>
      </c>
      <c r="R97" s="44">
        <v>0</v>
      </c>
      <c r="S97" s="44">
        <v>0</v>
      </c>
      <c r="T97" s="44">
        <v>0</v>
      </c>
      <c r="U97" s="44">
        <v>0</v>
      </c>
      <c r="V97" s="44">
        <v>0</v>
      </c>
      <c r="W97" s="44">
        <v>1</v>
      </c>
      <c r="X97" s="44">
        <v>0</v>
      </c>
      <c r="Y97" s="44">
        <v>1</v>
      </c>
      <c r="Z97" s="44">
        <v>0</v>
      </c>
      <c r="AA97" s="44">
        <v>1</v>
      </c>
      <c r="AB97" s="44">
        <v>0</v>
      </c>
      <c r="AC97" s="44">
        <v>1</v>
      </c>
      <c r="AD97" s="39">
        <v>0</v>
      </c>
    </row>
    <row r="98" spans="1:30" x14ac:dyDescent="0.35">
      <c r="A98" s="27" t="s">
        <v>18</v>
      </c>
      <c r="B98" s="28">
        <v>16</v>
      </c>
      <c r="C98" s="28" t="s">
        <v>10</v>
      </c>
      <c r="D98" s="29" t="s">
        <v>11</v>
      </c>
      <c r="E98" s="29" t="s">
        <v>11</v>
      </c>
      <c r="F98" s="29" t="s">
        <v>11</v>
      </c>
      <c r="G98" s="38">
        <v>869</v>
      </c>
      <c r="H98" s="44">
        <v>0</v>
      </c>
      <c r="I98" s="44">
        <v>0</v>
      </c>
      <c r="J98" s="44">
        <v>0</v>
      </c>
      <c r="K98" s="44">
        <v>0</v>
      </c>
      <c r="L98" s="44">
        <v>0</v>
      </c>
      <c r="M98" s="44">
        <v>0</v>
      </c>
      <c r="N98" s="44">
        <v>0</v>
      </c>
      <c r="O98" s="44">
        <v>0</v>
      </c>
      <c r="P98" s="44">
        <v>1</v>
      </c>
      <c r="Q98" s="44">
        <v>0</v>
      </c>
      <c r="R98" s="44">
        <v>0</v>
      </c>
      <c r="S98" s="44">
        <v>0</v>
      </c>
      <c r="T98" s="44">
        <v>0</v>
      </c>
      <c r="U98" s="44">
        <v>0</v>
      </c>
      <c r="V98" s="44">
        <v>0</v>
      </c>
      <c r="W98" s="44">
        <v>0</v>
      </c>
      <c r="X98" s="44">
        <v>1</v>
      </c>
      <c r="Y98" s="44">
        <v>1</v>
      </c>
      <c r="Z98" s="44">
        <v>0</v>
      </c>
      <c r="AA98" s="44">
        <v>1</v>
      </c>
      <c r="AB98" s="44">
        <v>0</v>
      </c>
      <c r="AC98" s="44">
        <v>1</v>
      </c>
      <c r="AD98" s="39">
        <v>0</v>
      </c>
    </row>
    <row r="99" spans="1:30" x14ac:dyDescent="0.35">
      <c r="A99" s="27" t="s">
        <v>18</v>
      </c>
      <c r="B99" s="28">
        <v>17</v>
      </c>
      <c r="C99" s="28" t="s">
        <v>12</v>
      </c>
      <c r="D99" s="29" t="s">
        <v>11</v>
      </c>
      <c r="E99" s="29" t="s">
        <v>11</v>
      </c>
      <c r="F99" s="29" t="s">
        <v>11</v>
      </c>
      <c r="G99" s="38">
        <v>844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1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1</v>
      </c>
      <c r="W99" s="44">
        <v>0</v>
      </c>
      <c r="X99" s="44">
        <v>0</v>
      </c>
      <c r="Y99" s="44">
        <v>1</v>
      </c>
      <c r="Z99" s="44">
        <v>0</v>
      </c>
      <c r="AA99" s="44">
        <v>1</v>
      </c>
      <c r="AB99" s="44">
        <v>0</v>
      </c>
      <c r="AC99" s="44">
        <v>1</v>
      </c>
      <c r="AD99" s="39">
        <v>0</v>
      </c>
    </row>
    <row r="100" spans="1:30" x14ac:dyDescent="0.35">
      <c r="A100" s="27" t="s">
        <v>18</v>
      </c>
      <c r="B100" s="28">
        <v>18</v>
      </c>
      <c r="C100" s="28" t="s">
        <v>13</v>
      </c>
      <c r="D100" s="29" t="s">
        <v>11</v>
      </c>
      <c r="E100" s="29" t="s">
        <v>11</v>
      </c>
      <c r="F100" s="29" t="s">
        <v>11</v>
      </c>
      <c r="G100" s="38">
        <v>1251</v>
      </c>
      <c r="H100" s="44">
        <v>0</v>
      </c>
      <c r="I100" s="44">
        <v>0</v>
      </c>
      <c r="J100" s="44">
        <v>0</v>
      </c>
      <c r="K100" s="44">
        <v>0</v>
      </c>
      <c r="L100" s="44">
        <v>0</v>
      </c>
      <c r="M100" s="44">
        <v>0</v>
      </c>
      <c r="N100" s="44">
        <v>0</v>
      </c>
      <c r="O100" s="44">
        <v>0</v>
      </c>
      <c r="P100" s="44">
        <v>1</v>
      </c>
      <c r="Q100" s="44">
        <v>0</v>
      </c>
      <c r="R100" s="44">
        <v>0</v>
      </c>
      <c r="S100" s="44">
        <v>0</v>
      </c>
      <c r="T100" s="44">
        <v>1</v>
      </c>
      <c r="U100" s="44">
        <v>0</v>
      </c>
      <c r="V100" s="44">
        <v>0</v>
      </c>
      <c r="W100" s="44">
        <v>0</v>
      </c>
      <c r="X100" s="44">
        <v>0</v>
      </c>
      <c r="Y100" s="44">
        <v>1</v>
      </c>
      <c r="Z100" s="44">
        <v>0</v>
      </c>
      <c r="AA100" s="44">
        <v>1</v>
      </c>
      <c r="AB100" s="44">
        <v>0</v>
      </c>
      <c r="AC100" s="44">
        <v>1</v>
      </c>
      <c r="AD100" s="39">
        <v>0</v>
      </c>
    </row>
    <row r="101" spans="1:30" x14ac:dyDescent="0.35">
      <c r="A101" s="27" t="s">
        <v>18</v>
      </c>
      <c r="B101" s="28">
        <v>21</v>
      </c>
      <c r="C101" s="28" t="s">
        <v>14</v>
      </c>
      <c r="D101" s="29" t="s">
        <v>11</v>
      </c>
      <c r="E101" s="29" t="s">
        <v>11</v>
      </c>
      <c r="F101" s="29" t="s">
        <v>11</v>
      </c>
      <c r="G101" s="38">
        <v>1187</v>
      </c>
      <c r="H101" s="44">
        <v>0</v>
      </c>
      <c r="I101" s="44">
        <v>0</v>
      </c>
      <c r="J101" s="44">
        <v>0</v>
      </c>
      <c r="K101" s="44">
        <v>0</v>
      </c>
      <c r="L101" s="44">
        <v>0</v>
      </c>
      <c r="M101" s="44">
        <v>0</v>
      </c>
      <c r="N101" s="44">
        <v>0</v>
      </c>
      <c r="O101" s="44">
        <v>0</v>
      </c>
      <c r="P101" s="44">
        <v>1</v>
      </c>
      <c r="Q101" s="44">
        <v>0</v>
      </c>
      <c r="R101" s="44">
        <v>0</v>
      </c>
      <c r="S101" s="44">
        <v>0</v>
      </c>
      <c r="T101" s="44">
        <v>0</v>
      </c>
      <c r="U101" s="44">
        <v>1</v>
      </c>
      <c r="V101" s="44">
        <v>0</v>
      </c>
      <c r="W101" s="44">
        <v>0</v>
      </c>
      <c r="X101" s="44">
        <v>0</v>
      </c>
      <c r="Y101" s="44">
        <v>1</v>
      </c>
      <c r="Z101" s="44">
        <v>0</v>
      </c>
      <c r="AA101" s="44">
        <v>1</v>
      </c>
      <c r="AB101" s="44">
        <v>0</v>
      </c>
      <c r="AC101" s="44">
        <v>1</v>
      </c>
      <c r="AD101" s="39">
        <v>0</v>
      </c>
    </row>
    <row r="102" spans="1:30" x14ac:dyDescent="0.35">
      <c r="A102" s="27" t="s">
        <v>18</v>
      </c>
      <c r="B102" s="28">
        <v>22</v>
      </c>
      <c r="C102" s="28" t="s">
        <v>8</v>
      </c>
      <c r="D102" s="29" t="s">
        <v>11</v>
      </c>
      <c r="E102" s="29" t="s">
        <v>11</v>
      </c>
      <c r="F102" s="29" t="s">
        <v>11</v>
      </c>
      <c r="G102" s="38">
        <v>785</v>
      </c>
      <c r="H102" s="44">
        <v>0</v>
      </c>
      <c r="I102" s="44">
        <v>0</v>
      </c>
      <c r="J102" s="44">
        <v>0</v>
      </c>
      <c r="K102" s="44">
        <v>0</v>
      </c>
      <c r="L102" s="44">
        <v>0</v>
      </c>
      <c r="M102" s="44">
        <v>0</v>
      </c>
      <c r="N102" s="44">
        <v>0</v>
      </c>
      <c r="O102" s="44">
        <v>0</v>
      </c>
      <c r="P102" s="44">
        <v>1</v>
      </c>
      <c r="Q102" s="44">
        <v>0</v>
      </c>
      <c r="R102" s="44">
        <v>0</v>
      </c>
      <c r="S102" s="44">
        <v>0</v>
      </c>
      <c r="T102" s="44">
        <v>0</v>
      </c>
      <c r="U102" s="44">
        <v>0</v>
      </c>
      <c r="V102" s="44">
        <v>0</v>
      </c>
      <c r="W102" s="44">
        <v>1</v>
      </c>
      <c r="X102" s="44">
        <v>0</v>
      </c>
      <c r="Y102" s="44">
        <v>1</v>
      </c>
      <c r="Z102" s="44">
        <v>0</v>
      </c>
      <c r="AA102" s="44">
        <v>1</v>
      </c>
      <c r="AB102" s="44">
        <v>0</v>
      </c>
      <c r="AC102" s="44">
        <v>1</v>
      </c>
      <c r="AD102" s="39">
        <v>0</v>
      </c>
    </row>
    <row r="103" spans="1:30" x14ac:dyDescent="0.35">
      <c r="A103" s="27" t="s">
        <v>18</v>
      </c>
      <c r="B103" s="28">
        <v>23</v>
      </c>
      <c r="C103" s="28" t="s">
        <v>10</v>
      </c>
      <c r="D103" s="29" t="s">
        <v>11</v>
      </c>
      <c r="E103" s="29" t="s">
        <v>11</v>
      </c>
      <c r="F103" s="29" t="s">
        <v>11</v>
      </c>
      <c r="G103" s="38">
        <v>705</v>
      </c>
      <c r="H103" s="44">
        <v>0</v>
      </c>
      <c r="I103" s="44">
        <v>0</v>
      </c>
      <c r="J103" s="44">
        <v>0</v>
      </c>
      <c r="K103" s="44">
        <v>0</v>
      </c>
      <c r="L103" s="44">
        <v>0</v>
      </c>
      <c r="M103" s="44">
        <v>0</v>
      </c>
      <c r="N103" s="44">
        <v>0</v>
      </c>
      <c r="O103" s="44">
        <v>0</v>
      </c>
      <c r="P103" s="44">
        <v>1</v>
      </c>
      <c r="Q103" s="44">
        <v>0</v>
      </c>
      <c r="R103" s="44">
        <v>0</v>
      </c>
      <c r="S103" s="44">
        <v>0</v>
      </c>
      <c r="T103" s="44">
        <v>0</v>
      </c>
      <c r="U103" s="44">
        <v>0</v>
      </c>
      <c r="V103" s="44">
        <v>0</v>
      </c>
      <c r="W103" s="44">
        <v>0</v>
      </c>
      <c r="X103" s="44">
        <v>1</v>
      </c>
      <c r="Y103" s="44">
        <v>1</v>
      </c>
      <c r="Z103" s="44">
        <v>0</v>
      </c>
      <c r="AA103" s="44">
        <v>1</v>
      </c>
      <c r="AB103" s="44">
        <v>0</v>
      </c>
      <c r="AC103" s="44">
        <v>1</v>
      </c>
      <c r="AD103" s="39">
        <v>0</v>
      </c>
    </row>
    <row r="104" spans="1:30" x14ac:dyDescent="0.35">
      <c r="A104" s="27" t="s">
        <v>18</v>
      </c>
      <c r="B104" s="28">
        <v>24</v>
      </c>
      <c r="C104" s="28" t="s">
        <v>12</v>
      </c>
      <c r="D104" s="29" t="s">
        <v>11</v>
      </c>
      <c r="E104" s="29" t="s">
        <v>11</v>
      </c>
      <c r="F104" s="29" t="s">
        <v>11</v>
      </c>
      <c r="G104" s="38">
        <v>890</v>
      </c>
      <c r="H104" s="44">
        <v>0</v>
      </c>
      <c r="I104" s="44">
        <v>0</v>
      </c>
      <c r="J104" s="44">
        <v>0</v>
      </c>
      <c r="K104" s="44">
        <v>0</v>
      </c>
      <c r="L104" s="44">
        <v>0</v>
      </c>
      <c r="M104" s="44">
        <v>0</v>
      </c>
      <c r="N104" s="44">
        <v>0</v>
      </c>
      <c r="O104" s="44">
        <v>0</v>
      </c>
      <c r="P104" s="44">
        <v>1</v>
      </c>
      <c r="Q104" s="44">
        <v>0</v>
      </c>
      <c r="R104" s="44">
        <v>0</v>
      </c>
      <c r="S104" s="44">
        <v>0</v>
      </c>
      <c r="T104" s="44">
        <v>0</v>
      </c>
      <c r="U104" s="44">
        <v>0</v>
      </c>
      <c r="V104" s="44">
        <v>1</v>
      </c>
      <c r="W104" s="44">
        <v>0</v>
      </c>
      <c r="X104" s="44">
        <v>0</v>
      </c>
      <c r="Y104" s="44">
        <v>1</v>
      </c>
      <c r="Z104" s="44">
        <v>0</v>
      </c>
      <c r="AA104" s="44">
        <v>1</v>
      </c>
      <c r="AB104" s="44">
        <v>0</v>
      </c>
      <c r="AC104" s="44">
        <v>1</v>
      </c>
      <c r="AD104" s="39">
        <v>0</v>
      </c>
    </row>
    <row r="105" spans="1:30" x14ac:dyDescent="0.35">
      <c r="A105" s="27" t="s">
        <v>18</v>
      </c>
      <c r="B105" s="28">
        <v>25</v>
      </c>
      <c r="C105" s="28" t="s">
        <v>13</v>
      </c>
      <c r="D105" s="29" t="s">
        <v>11</v>
      </c>
      <c r="E105" s="29" t="s">
        <v>11</v>
      </c>
      <c r="F105" s="29" t="s">
        <v>9</v>
      </c>
      <c r="G105" s="38">
        <v>1754</v>
      </c>
      <c r="H105" s="44">
        <v>0</v>
      </c>
      <c r="I105" s="44">
        <v>0</v>
      </c>
      <c r="J105" s="44">
        <v>0</v>
      </c>
      <c r="K105" s="44">
        <v>0</v>
      </c>
      <c r="L105" s="44">
        <v>0</v>
      </c>
      <c r="M105" s="44">
        <v>0</v>
      </c>
      <c r="N105" s="44">
        <v>0</v>
      </c>
      <c r="O105" s="44">
        <v>0</v>
      </c>
      <c r="P105" s="44">
        <v>1</v>
      </c>
      <c r="Q105" s="44">
        <v>0</v>
      </c>
      <c r="R105" s="44">
        <v>0</v>
      </c>
      <c r="S105" s="44">
        <v>0</v>
      </c>
      <c r="T105" s="44">
        <v>1</v>
      </c>
      <c r="U105" s="44">
        <v>0</v>
      </c>
      <c r="V105" s="44">
        <v>0</v>
      </c>
      <c r="W105" s="44">
        <v>0</v>
      </c>
      <c r="X105" s="44">
        <v>0</v>
      </c>
      <c r="Y105" s="44">
        <v>1</v>
      </c>
      <c r="Z105" s="44">
        <v>0</v>
      </c>
      <c r="AA105" s="44">
        <v>1</v>
      </c>
      <c r="AB105" s="44">
        <v>0</v>
      </c>
      <c r="AC105" s="44">
        <v>0</v>
      </c>
      <c r="AD105" s="39">
        <v>1</v>
      </c>
    </row>
    <row r="106" spans="1:30" x14ac:dyDescent="0.35">
      <c r="A106" s="27" t="s">
        <v>18</v>
      </c>
      <c r="B106" s="28">
        <v>29</v>
      </c>
      <c r="C106" s="28" t="s">
        <v>8</v>
      </c>
      <c r="D106" s="29" t="s">
        <v>11</v>
      </c>
      <c r="E106" s="29" t="s">
        <v>11</v>
      </c>
      <c r="F106" s="29" t="s">
        <v>9</v>
      </c>
      <c r="G106" s="38">
        <v>1310</v>
      </c>
      <c r="H106" s="44">
        <v>0</v>
      </c>
      <c r="I106" s="44">
        <v>0</v>
      </c>
      <c r="J106" s="44">
        <v>0</v>
      </c>
      <c r="K106" s="44">
        <v>0</v>
      </c>
      <c r="L106" s="44">
        <v>0</v>
      </c>
      <c r="M106" s="44">
        <v>0</v>
      </c>
      <c r="N106" s="44">
        <v>0</v>
      </c>
      <c r="O106" s="44">
        <v>0</v>
      </c>
      <c r="P106" s="44">
        <v>1</v>
      </c>
      <c r="Q106" s="44">
        <v>0</v>
      </c>
      <c r="R106" s="44">
        <v>0</v>
      </c>
      <c r="S106" s="44">
        <v>0</v>
      </c>
      <c r="T106" s="44">
        <v>0</v>
      </c>
      <c r="U106" s="44">
        <v>0</v>
      </c>
      <c r="V106" s="44">
        <v>0</v>
      </c>
      <c r="W106" s="44">
        <v>1</v>
      </c>
      <c r="X106" s="44">
        <v>0</v>
      </c>
      <c r="Y106" s="44">
        <v>1</v>
      </c>
      <c r="Z106" s="44">
        <v>0</v>
      </c>
      <c r="AA106" s="44">
        <v>1</v>
      </c>
      <c r="AB106" s="44">
        <v>0</v>
      </c>
      <c r="AC106" s="44">
        <v>0</v>
      </c>
      <c r="AD106" s="39">
        <v>1</v>
      </c>
    </row>
    <row r="107" spans="1:30" x14ac:dyDescent="0.35">
      <c r="A107" s="27" t="s">
        <v>18</v>
      </c>
      <c r="B107" s="28">
        <v>30</v>
      </c>
      <c r="C107" s="28" t="s">
        <v>10</v>
      </c>
      <c r="D107" s="29" t="s">
        <v>11</v>
      </c>
      <c r="E107" s="29" t="s">
        <v>11</v>
      </c>
      <c r="F107" s="29" t="s">
        <v>11</v>
      </c>
      <c r="G107" s="38">
        <v>937</v>
      </c>
      <c r="H107" s="44">
        <v>0</v>
      </c>
      <c r="I107" s="44">
        <v>0</v>
      </c>
      <c r="J107" s="44">
        <v>0</v>
      </c>
      <c r="K107" s="44">
        <v>0</v>
      </c>
      <c r="L107" s="44">
        <v>0</v>
      </c>
      <c r="M107" s="44">
        <v>0</v>
      </c>
      <c r="N107" s="44">
        <v>0</v>
      </c>
      <c r="O107" s="44">
        <v>0</v>
      </c>
      <c r="P107" s="44">
        <v>1</v>
      </c>
      <c r="Q107" s="44">
        <v>0</v>
      </c>
      <c r="R107" s="44">
        <v>0</v>
      </c>
      <c r="S107" s="44">
        <v>0</v>
      </c>
      <c r="T107" s="44">
        <v>0</v>
      </c>
      <c r="U107" s="44">
        <v>0</v>
      </c>
      <c r="V107" s="44">
        <v>0</v>
      </c>
      <c r="W107" s="44">
        <v>0</v>
      </c>
      <c r="X107" s="44">
        <v>1</v>
      </c>
      <c r="Y107" s="44">
        <v>1</v>
      </c>
      <c r="Z107" s="44">
        <v>0</v>
      </c>
      <c r="AA107" s="44">
        <v>1</v>
      </c>
      <c r="AB107" s="44">
        <v>0</v>
      </c>
      <c r="AC107" s="44">
        <v>1</v>
      </c>
      <c r="AD107" s="39">
        <v>0</v>
      </c>
    </row>
    <row r="108" spans="1:30" x14ac:dyDescent="0.35">
      <c r="A108" s="27" t="s">
        <v>18</v>
      </c>
      <c r="B108" s="28">
        <v>31</v>
      </c>
      <c r="C108" s="28" t="s">
        <v>12</v>
      </c>
      <c r="D108" s="29" t="s">
        <v>11</v>
      </c>
      <c r="E108" s="29" t="s">
        <v>11</v>
      </c>
      <c r="F108" s="29" t="s">
        <v>11</v>
      </c>
      <c r="G108" s="38">
        <v>956</v>
      </c>
      <c r="H108" s="44">
        <v>0</v>
      </c>
      <c r="I108" s="44">
        <v>0</v>
      </c>
      <c r="J108" s="44">
        <v>0</v>
      </c>
      <c r="K108" s="44">
        <v>0</v>
      </c>
      <c r="L108" s="44">
        <v>0</v>
      </c>
      <c r="M108" s="44">
        <v>0</v>
      </c>
      <c r="N108" s="44">
        <v>0</v>
      </c>
      <c r="O108" s="44">
        <v>0</v>
      </c>
      <c r="P108" s="44">
        <v>1</v>
      </c>
      <c r="Q108" s="44">
        <v>0</v>
      </c>
      <c r="R108" s="44">
        <v>0</v>
      </c>
      <c r="S108" s="44">
        <v>0</v>
      </c>
      <c r="T108" s="44">
        <v>0</v>
      </c>
      <c r="U108" s="44">
        <v>0</v>
      </c>
      <c r="V108" s="44">
        <v>1</v>
      </c>
      <c r="W108" s="44">
        <v>0</v>
      </c>
      <c r="X108" s="44">
        <v>0</v>
      </c>
      <c r="Y108" s="44">
        <v>1</v>
      </c>
      <c r="Z108" s="44">
        <v>0</v>
      </c>
      <c r="AA108" s="44">
        <v>1</v>
      </c>
      <c r="AB108" s="44">
        <v>0</v>
      </c>
      <c r="AC108" s="44">
        <v>1</v>
      </c>
      <c r="AD108" s="39">
        <v>0</v>
      </c>
    </row>
    <row r="109" spans="1:30" x14ac:dyDescent="0.35">
      <c r="A109" s="27" t="s">
        <v>19</v>
      </c>
      <c r="B109" s="28">
        <v>1</v>
      </c>
      <c r="C109" s="28" t="s">
        <v>13</v>
      </c>
      <c r="D109" s="29" t="s">
        <v>11</v>
      </c>
      <c r="E109" s="29" t="s">
        <v>11</v>
      </c>
      <c r="F109" s="29" t="s">
        <v>11</v>
      </c>
      <c r="G109" s="38">
        <v>2068</v>
      </c>
      <c r="H109" s="44">
        <v>0</v>
      </c>
      <c r="I109" s="44">
        <v>0</v>
      </c>
      <c r="J109" s="44">
        <v>0</v>
      </c>
      <c r="K109" s="44">
        <v>0</v>
      </c>
      <c r="L109" s="44">
        <v>0</v>
      </c>
      <c r="M109" s="44">
        <v>0</v>
      </c>
      <c r="N109" s="44">
        <v>1</v>
      </c>
      <c r="O109" s="44">
        <v>0</v>
      </c>
      <c r="P109" s="44">
        <v>0</v>
      </c>
      <c r="Q109" s="44">
        <v>0</v>
      </c>
      <c r="R109" s="44">
        <v>0</v>
      </c>
      <c r="S109" s="44">
        <v>0</v>
      </c>
      <c r="T109" s="44">
        <v>1</v>
      </c>
      <c r="U109" s="44">
        <v>0</v>
      </c>
      <c r="V109" s="44">
        <v>0</v>
      </c>
      <c r="W109" s="44">
        <v>0</v>
      </c>
      <c r="X109" s="44">
        <v>0</v>
      </c>
      <c r="Y109" s="44">
        <v>1</v>
      </c>
      <c r="Z109" s="44">
        <v>0</v>
      </c>
      <c r="AA109" s="44">
        <v>1</v>
      </c>
      <c r="AB109" s="44">
        <v>0</v>
      </c>
      <c r="AC109" s="44">
        <v>1</v>
      </c>
      <c r="AD109" s="39">
        <v>0</v>
      </c>
    </row>
    <row r="110" spans="1:30" x14ac:dyDescent="0.35">
      <c r="A110" s="27" t="s">
        <v>19</v>
      </c>
      <c r="B110" s="28">
        <v>4</v>
      </c>
      <c r="C110" s="28" t="s">
        <v>14</v>
      </c>
      <c r="D110" s="29" t="s">
        <v>11</v>
      </c>
      <c r="E110" s="29" t="s">
        <v>11</v>
      </c>
      <c r="F110" s="29" t="s">
        <v>11</v>
      </c>
      <c r="G110" s="38">
        <v>1383</v>
      </c>
      <c r="H110" s="44">
        <v>0</v>
      </c>
      <c r="I110" s="44">
        <v>0</v>
      </c>
      <c r="J110" s="44">
        <v>0</v>
      </c>
      <c r="K110" s="44">
        <v>0</v>
      </c>
      <c r="L110" s="44">
        <v>0</v>
      </c>
      <c r="M110" s="44">
        <v>0</v>
      </c>
      <c r="N110" s="44">
        <v>1</v>
      </c>
      <c r="O110" s="44">
        <v>0</v>
      </c>
      <c r="P110" s="44">
        <v>0</v>
      </c>
      <c r="Q110" s="44">
        <v>0</v>
      </c>
      <c r="R110" s="44">
        <v>0</v>
      </c>
      <c r="S110" s="44">
        <v>0</v>
      </c>
      <c r="T110" s="44">
        <v>0</v>
      </c>
      <c r="U110" s="44">
        <v>1</v>
      </c>
      <c r="V110" s="44">
        <v>0</v>
      </c>
      <c r="W110" s="44">
        <v>0</v>
      </c>
      <c r="X110" s="44">
        <v>0</v>
      </c>
      <c r="Y110" s="44">
        <v>1</v>
      </c>
      <c r="Z110" s="44">
        <v>0</v>
      </c>
      <c r="AA110" s="44">
        <v>1</v>
      </c>
      <c r="AB110" s="44">
        <v>0</v>
      </c>
      <c r="AC110" s="44">
        <v>1</v>
      </c>
      <c r="AD110" s="39">
        <v>0</v>
      </c>
    </row>
    <row r="111" spans="1:30" x14ac:dyDescent="0.35">
      <c r="A111" s="27" t="s">
        <v>19</v>
      </c>
      <c r="B111" s="28">
        <v>5</v>
      </c>
      <c r="C111" s="28" t="s">
        <v>8</v>
      </c>
      <c r="D111" s="29" t="s">
        <v>11</v>
      </c>
      <c r="E111" s="29" t="s">
        <v>11</v>
      </c>
      <c r="F111" s="29" t="s">
        <v>11</v>
      </c>
      <c r="G111" s="38">
        <v>842</v>
      </c>
      <c r="H111" s="44">
        <v>0</v>
      </c>
      <c r="I111" s="44">
        <v>0</v>
      </c>
      <c r="J111" s="44">
        <v>0</v>
      </c>
      <c r="K111" s="44">
        <v>0</v>
      </c>
      <c r="L111" s="44">
        <v>0</v>
      </c>
      <c r="M111" s="44">
        <v>0</v>
      </c>
      <c r="N111" s="44">
        <v>1</v>
      </c>
      <c r="O111" s="44">
        <v>0</v>
      </c>
      <c r="P111" s="44">
        <v>0</v>
      </c>
      <c r="Q111" s="44">
        <v>0</v>
      </c>
      <c r="R111" s="44">
        <v>0</v>
      </c>
      <c r="S111" s="44">
        <v>0</v>
      </c>
      <c r="T111" s="44">
        <v>0</v>
      </c>
      <c r="U111" s="44">
        <v>0</v>
      </c>
      <c r="V111" s="44">
        <v>0</v>
      </c>
      <c r="W111" s="44">
        <v>1</v>
      </c>
      <c r="X111" s="44">
        <v>0</v>
      </c>
      <c r="Y111" s="44">
        <v>1</v>
      </c>
      <c r="Z111" s="44">
        <v>0</v>
      </c>
      <c r="AA111" s="44">
        <v>1</v>
      </c>
      <c r="AB111" s="44">
        <v>0</v>
      </c>
      <c r="AC111" s="44">
        <v>1</v>
      </c>
      <c r="AD111" s="39">
        <v>0</v>
      </c>
    </row>
    <row r="112" spans="1:30" x14ac:dyDescent="0.35">
      <c r="A112" s="27" t="s">
        <v>19</v>
      </c>
      <c r="B112" s="28">
        <v>6</v>
      </c>
      <c r="C112" s="28" t="s">
        <v>10</v>
      </c>
      <c r="D112" s="29" t="s">
        <v>11</v>
      </c>
      <c r="E112" s="29" t="s">
        <v>11</v>
      </c>
      <c r="F112" s="29" t="s">
        <v>11</v>
      </c>
      <c r="G112" s="38">
        <v>923</v>
      </c>
      <c r="H112" s="44">
        <v>0</v>
      </c>
      <c r="I112" s="44">
        <v>0</v>
      </c>
      <c r="J112" s="44">
        <v>0</v>
      </c>
      <c r="K112" s="44">
        <v>0</v>
      </c>
      <c r="L112" s="44">
        <v>0</v>
      </c>
      <c r="M112" s="44">
        <v>0</v>
      </c>
      <c r="N112" s="44">
        <v>1</v>
      </c>
      <c r="O112" s="44">
        <v>0</v>
      </c>
      <c r="P112" s="44">
        <v>0</v>
      </c>
      <c r="Q112" s="44">
        <v>0</v>
      </c>
      <c r="R112" s="44">
        <v>0</v>
      </c>
      <c r="S112" s="44">
        <v>0</v>
      </c>
      <c r="T112" s="44">
        <v>0</v>
      </c>
      <c r="U112" s="44">
        <v>0</v>
      </c>
      <c r="V112" s="44">
        <v>0</v>
      </c>
      <c r="W112" s="44">
        <v>0</v>
      </c>
      <c r="X112" s="44">
        <v>1</v>
      </c>
      <c r="Y112" s="44">
        <v>1</v>
      </c>
      <c r="Z112" s="44">
        <v>0</v>
      </c>
      <c r="AA112" s="44">
        <v>1</v>
      </c>
      <c r="AB112" s="44">
        <v>0</v>
      </c>
      <c r="AC112" s="44">
        <v>1</v>
      </c>
      <c r="AD112" s="39">
        <v>0</v>
      </c>
    </row>
    <row r="113" spans="1:30" x14ac:dyDescent="0.35">
      <c r="A113" s="27" t="s">
        <v>19</v>
      </c>
      <c r="B113" s="28">
        <v>7</v>
      </c>
      <c r="C113" s="28" t="s">
        <v>12</v>
      </c>
      <c r="D113" s="29" t="s">
        <v>11</v>
      </c>
      <c r="E113" s="29" t="s">
        <v>11</v>
      </c>
      <c r="F113" s="29" t="s">
        <v>11</v>
      </c>
      <c r="G113" s="38">
        <v>959</v>
      </c>
      <c r="H113" s="44">
        <v>0</v>
      </c>
      <c r="I113" s="44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1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1</v>
      </c>
      <c r="W113" s="44">
        <v>0</v>
      </c>
      <c r="X113" s="44">
        <v>0</v>
      </c>
      <c r="Y113" s="44">
        <v>1</v>
      </c>
      <c r="Z113" s="44">
        <v>0</v>
      </c>
      <c r="AA113" s="44">
        <v>1</v>
      </c>
      <c r="AB113" s="44">
        <v>0</v>
      </c>
      <c r="AC113" s="44">
        <v>1</v>
      </c>
      <c r="AD113" s="39">
        <v>0</v>
      </c>
    </row>
    <row r="114" spans="1:30" x14ac:dyDescent="0.35">
      <c r="A114" s="27" t="s">
        <v>19</v>
      </c>
      <c r="B114" s="28">
        <v>8</v>
      </c>
      <c r="C114" s="28" t="s">
        <v>13</v>
      </c>
      <c r="D114" s="29" t="s">
        <v>9</v>
      </c>
      <c r="E114" s="29" t="s">
        <v>11</v>
      </c>
      <c r="F114" s="29" t="s">
        <v>11</v>
      </c>
      <c r="G114" s="38">
        <v>1820</v>
      </c>
      <c r="H114" s="44">
        <v>0</v>
      </c>
      <c r="I114" s="44">
        <v>0</v>
      </c>
      <c r="J114" s="44">
        <v>0</v>
      </c>
      <c r="K114" s="44">
        <v>0</v>
      </c>
      <c r="L114" s="44">
        <v>0</v>
      </c>
      <c r="M114" s="44">
        <v>0</v>
      </c>
      <c r="N114" s="44">
        <v>1</v>
      </c>
      <c r="O114" s="44">
        <v>0</v>
      </c>
      <c r="P114" s="44">
        <v>0</v>
      </c>
      <c r="Q114" s="44">
        <v>0</v>
      </c>
      <c r="R114" s="44">
        <v>0</v>
      </c>
      <c r="S114" s="44">
        <v>0</v>
      </c>
      <c r="T114" s="44">
        <v>1</v>
      </c>
      <c r="U114" s="44">
        <v>0</v>
      </c>
      <c r="V114" s="44">
        <v>0</v>
      </c>
      <c r="W114" s="44">
        <v>0</v>
      </c>
      <c r="X114" s="44">
        <v>0</v>
      </c>
      <c r="Y114" s="44">
        <v>0</v>
      </c>
      <c r="Z114" s="44">
        <v>1</v>
      </c>
      <c r="AA114" s="44">
        <v>1</v>
      </c>
      <c r="AB114" s="44">
        <v>0</v>
      </c>
      <c r="AC114" s="44">
        <v>1</v>
      </c>
      <c r="AD114" s="39">
        <v>0</v>
      </c>
    </row>
    <row r="115" spans="1:30" x14ac:dyDescent="0.35">
      <c r="A115" s="27" t="s">
        <v>19</v>
      </c>
      <c r="B115" s="28">
        <v>11</v>
      </c>
      <c r="C115" s="28" t="s">
        <v>14</v>
      </c>
      <c r="D115" s="29" t="s">
        <v>11</v>
      </c>
      <c r="E115" s="29" t="s">
        <v>11</v>
      </c>
      <c r="F115" s="29" t="s">
        <v>11</v>
      </c>
      <c r="G115" s="38">
        <v>1164</v>
      </c>
      <c r="H115" s="44">
        <v>0</v>
      </c>
      <c r="I115" s="44">
        <v>0</v>
      </c>
      <c r="J115" s="44">
        <v>0</v>
      </c>
      <c r="K115" s="44">
        <v>0</v>
      </c>
      <c r="L115" s="44">
        <v>0</v>
      </c>
      <c r="M115" s="44">
        <v>0</v>
      </c>
      <c r="N115" s="44">
        <v>1</v>
      </c>
      <c r="O115" s="44">
        <v>0</v>
      </c>
      <c r="P115" s="44">
        <v>0</v>
      </c>
      <c r="Q115" s="44">
        <v>0</v>
      </c>
      <c r="R115" s="44">
        <v>0</v>
      </c>
      <c r="S115" s="44">
        <v>0</v>
      </c>
      <c r="T115" s="44">
        <v>0</v>
      </c>
      <c r="U115" s="44">
        <v>1</v>
      </c>
      <c r="V115" s="44">
        <v>0</v>
      </c>
      <c r="W115" s="44">
        <v>0</v>
      </c>
      <c r="X115" s="44">
        <v>0</v>
      </c>
      <c r="Y115" s="44">
        <v>1</v>
      </c>
      <c r="Z115" s="44">
        <v>0</v>
      </c>
      <c r="AA115" s="44">
        <v>1</v>
      </c>
      <c r="AB115" s="44">
        <v>0</v>
      </c>
      <c r="AC115" s="44">
        <v>1</v>
      </c>
      <c r="AD115" s="39">
        <v>0</v>
      </c>
    </row>
    <row r="116" spans="1:30" x14ac:dyDescent="0.35">
      <c r="A116" s="27" t="s">
        <v>19</v>
      </c>
      <c r="B116" s="28">
        <v>12</v>
      </c>
      <c r="C116" s="28" t="s">
        <v>8</v>
      </c>
      <c r="D116" s="29" t="s">
        <v>11</v>
      </c>
      <c r="E116" s="29" t="s">
        <v>11</v>
      </c>
      <c r="F116" s="29" t="s">
        <v>11</v>
      </c>
      <c r="G116" s="38">
        <v>928</v>
      </c>
      <c r="H116" s="44">
        <v>0</v>
      </c>
      <c r="I116" s="44">
        <v>0</v>
      </c>
      <c r="J116" s="44">
        <v>0</v>
      </c>
      <c r="K116" s="44">
        <v>0</v>
      </c>
      <c r="L116" s="44">
        <v>0</v>
      </c>
      <c r="M116" s="44">
        <v>0</v>
      </c>
      <c r="N116" s="44">
        <v>1</v>
      </c>
      <c r="O116" s="44">
        <v>0</v>
      </c>
      <c r="P116" s="44">
        <v>0</v>
      </c>
      <c r="Q116" s="44">
        <v>0</v>
      </c>
      <c r="R116" s="44">
        <v>0</v>
      </c>
      <c r="S116" s="44">
        <v>0</v>
      </c>
      <c r="T116" s="44">
        <v>0</v>
      </c>
      <c r="U116" s="44">
        <v>0</v>
      </c>
      <c r="V116" s="44">
        <v>0</v>
      </c>
      <c r="W116" s="44">
        <v>1</v>
      </c>
      <c r="X116" s="44">
        <v>0</v>
      </c>
      <c r="Y116" s="44">
        <v>1</v>
      </c>
      <c r="Z116" s="44">
        <v>0</v>
      </c>
      <c r="AA116" s="44">
        <v>1</v>
      </c>
      <c r="AB116" s="44">
        <v>0</v>
      </c>
      <c r="AC116" s="44">
        <v>1</v>
      </c>
      <c r="AD116" s="39">
        <v>0</v>
      </c>
    </row>
    <row r="117" spans="1:30" x14ac:dyDescent="0.35">
      <c r="A117" s="27" t="s">
        <v>19</v>
      </c>
      <c r="B117" s="28">
        <v>14</v>
      </c>
      <c r="C117" s="28" t="s">
        <v>12</v>
      </c>
      <c r="D117" s="29" t="s">
        <v>11</v>
      </c>
      <c r="E117" s="29" t="s">
        <v>11</v>
      </c>
      <c r="F117" s="29" t="s">
        <v>11</v>
      </c>
      <c r="G117" s="38">
        <v>919</v>
      </c>
      <c r="H117" s="44">
        <v>0</v>
      </c>
      <c r="I117" s="44">
        <v>0</v>
      </c>
      <c r="J117" s="44">
        <v>0</v>
      </c>
      <c r="K117" s="44">
        <v>0</v>
      </c>
      <c r="L117" s="44">
        <v>0</v>
      </c>
      <c r="M117" s="44">
        <v>0</v>
      </c>
      <c r="N117" s="44">
        <v>1</v>
      </c>
      <c r="O117" s="44">
        <v>0</v>
      </c>
      <c r="P117" s="44">
        <v>0</v>
      </c>
      <c r="Q117" s="44">
        <v>0</v>
      </c>
      <c r="R117" s="44">
        <v>0</v>
      </c>
      <c r="S117" s="44">
        <v>0</v>
      </c>
      <c r="T117" s="44">
        <v>0</v>
      </c>
      <c r="U117" s="44">
        <v>0</v>
      </c>
      <c r="V117" s="44">
        <v>1</v>
      </c>
      <c r="W117" s="44">
        <v>0</v>
      </c>
      <c r="X117" s="44">
        <v>0</v>
      </c>
      <c r="Y117" s="44">
        <v>1</v>
      </c>
      <c r="Z117" s="44">
        <v>0</v>
      </c>
      <c r="AA117" s="44">
        <v>1</v>
      </c>
      <c r="AB117" s="44">
        <v>0</v>
      </c>
      <c r="AC117" s="44">
        <v>1</v>
      </c>
      <c r="AD117" s="39">
        <v>0</v>
      </c>
    </row>
    <row r="118" spans="1:30" x14ac:dyDescent="0.35">
      <c r="A118" s="27" t="s">
        <v>19</v>
      </c>
      <c r="B118" s="28">
        <v>15</v>
      </c>
      <c r="C118" s="28" t="s">
        <v>13</v>
      </c>
      <c r="D118" s="29" t="s">
        <v>11</v>
      </c>
      <c r="E118" s="29" t="s">
        <v>11</v>
      </c>
      <c r="F118" s="29" t="s">
        <v>11</v>
      </c>
      <c r="G118" s="38">
        <v>1460</v>
      </c>
      <c r="H118" s="44">
        <v>0</v>
      </c>
      <c r="I118" s="44">
        <v>0</v>
      </c>
      <c r="J118" s="44">
        <v>0</v>
      </c>
      <c r="K118" s="44">
        <v>0</v>
      </c>
      <c r="L118" s="44">
        <v>0</v>
      </c>
      <c r="M118" s="44">
        <v>0</v>
      </c>
      <c r="N118" s="44">
        <v>1</v>
      </c>
      <c r="O118" s="44">
        <v>0</v>
      </c>
      <c r="P118" s="44">
        <v>0</v>
      </c>
      <c r="Q118" s="44">
        <v>0</v>
      </c>
      <c r="R118" s="44">
        <v>0</v>
      </c>
      <c r="S118" s="44">
        <v>0</v>
      </c>
      <c r="T118" s="44">
        <v>1</v>
      </c>
      <c r="U118" s="44">
        <v>0</v>
      </c>
      <c r="V118" s="44">
        <v>0</v>
      </c>
      <c r="W118" s="44">
        <v>0</v>
      </c>
      <c r="X118" s="44">
        <v>0</v>
      </c>
      <c r="Y118" s="44">
        <v>1</v>
      </c>
      <c r="Z118" s="44">
        <v>0</v>
      </c>
      <c r="AA118" s="44">
        <v>1</v>
      </c>
      <c r="AB118" s="44">
        <v>0</v>
      </c>
      <c r="AC118" s="44">
        <v>1</v>
      </c>
      <c r="AD118" s="39">
        <v>0</v>
      </c>
    </row>
    <row r="119" spans="1:30" x14ac:dyDescent="0.35">
      <c r="A119" s="27" t="s">
        <v>19</v>
      </c>
      <c r="B119" s="28">
        <v>18</v>
      </c>
      <c r="C119" s="28" t="s">
        <v>14</v>
      </c>
      <c r="D119" s="29" t="s">
        <v>11</v>
      </c>
      <c r="E119" s="29" t="s">
        <v>11</v>
      </c>
      <c r="F119" s="29" t="s">
        <v>11</v>
      </c>
      <c r="G119" s="38">
        <v>1081</v>
      </c>
      <c r="H119" s="44">
        <v>0</v>
      </c>
      <c r="I119" s="44">
        <v>0</v>
      </c>
      <c r="J119" s="44">
        <v>0</v>
      </c>
      <c r="K119" s="44">
        <v>0</v>
      </c>
      <c r="L119" s="44">
        <v>0</v>
      </c>
      <c r="M119" s="44">
        <v>0</v>
      </c>
      <c r="N119" s="44">
        <v>1</v>
      </c>
      <c r="O119" s="44">
        <v>0</v>
      </c>
      <c r="P119" s="44">
        <v>0</v>
      </c>
      <c r="Q119" s="44">
        <v>0</v>
      </c>
      <c r="R119" s="44">
        <v>0</v>
      </c>
      <c r="S119" s="44">
        <v>0</v>
      </c>
      <c r="T119" s="44">
        <v>0</v>
      </c>
      <c r="U119" s="44">
        <v>1</v>
      </c>
      <c r="V119" s="44">
        <v>0</v>
      </c>
      <c r="W119" s="44">
        <v>0</v>
      </c>
      <c r="X119" s="44">
        <v>0</v>
      </c>
      <c r="Y119" s="44">
        <v>1</v>
      </c>
      <c r="Z119" s="44">
        <v>0</v>
      </c>
      <c r="AA119" s="44">
        <v>1</v>
      </c>
      <c r="AB119" s="44">
        <v>0</v>
      </c>
      <c r="AC119" s="44">
        <v>1</v>
      </c>
      <c r="AD119" s="39">
        <v>0</v>
      </c>
    </row>
    <row r="120" spans="1:30" x14ac:dyDescent="0.35">
      <c r="A120" s="27" t="s">
        <v>19</v>
      </c>
      <c r="B120" s="28">
        <v>19</v>
      </c>
      <c r="C120" s="28" t="s">
        <v>8</v>
      </c>
      <c r="D120" s="29" t="s">
        <v>11</v>
      </c>
      <c r="E120" s="29" t="s">
        <v>11</v>
      </c>
      <c r="F120" s="29" t="s">
        <v>11</v>
      </c>
      <c r="G120" s="38">
        <v>993</v>
      </c>
      <c r="H120" s="44">
        <v>0</v>
      </c>
      <c r="I120" s="44">
        <v>0</v>
      </c>
      <c r="J120" s="44">
        <v>0</v>
      </c>
      <c r="K120" s="44">
        <v>0</v>
      </c>
      <c r="L120" s="44">
        <v>0</v>
      </c>
      <c r="M120" s="44">
        <v>0</v>
      </c>
      <c r="N120" s="44">
        <v>1</v>
      </c>
      <c r="O120" s="44">
        <v>0</v>
      </c>
      <c r="P120" s="44">
        <v>0</v>
      </c>
      <c r="Q120" s="44">
        <v>0</v>
      </c>
      <c r="R120" s="44">
        <v>0</v>
      </c>
      <c r="S120" s="44">
        <v>0</v>
      </c>
      <c r="T120" s="44">
        <v>0</v>
      </c>
      <c r="U120" s="44">
        <v>0</v>
      </c>
      <c r="V120" s="44">
        <v>0</v>
      </c>
      <c r="W120" s="44">
        <v>1</v>
      </c>
      <c r="X120" s="44">
        <v>0</v>
      </c>
      <c r="Y120" s="44">
        <v>1</v>
      </c>
      <c r="Z120" s="44">
        <v>0</v>
      </c>
      <c r="AA120" s="44">
        <v>1</v>
      </c>
      <c r="AB120" s="44">
        <v>0</v>
      </c>
      <c r="AC120" s="44">
        <v>1</v>
      </c>
      <c r="AD120" s="39">
        <v>0</v>
      </c>
    </row>
    <row r="121" spans="1:30" x14ac:dyDescent="0.35">
      <c r="A121" s="27" t="s">
        <v>19</v>
      </c>
      <c r="B121" s="28">
        <v>20</v>
      </c>
      <c r="C121" s="28" t="s">
        <v>10</v>
      </c>
      <c r="D121" s="29" t="s">
        <v>11</v>
      </c>
      <c r="E121" s="29" t="s">
        <v>11</v>
      </c>
      <c r="F121" s="29" t="s">
        <v>11</v>
      </c>
      <c r="G121" s="38">
        <v>862</v>
      </c>
      <c r="H121" s="44">
        <v>0</v>
      </c>
      <c r="I121" s="44">
        <v>0</v>
      </c>
      <c r="J121" s="44">
        <v>0</v>
      </c>
      <c r="K121" s="44">
        <v>0</v>
      </c>
      <c r="L121" s="44">
        <v>0</v>
      </c>
      <c r="M121" s="44">
        <v>0</v>
      </c>
      <c r="N121" s="44">
        <v>1</v>
      </c>
      <c r="O121" s="44">
        <v>0</v>
      </c>
      <c r="P121" s="44">
        <v>0</v>
      </c>
      <c r="Q121" s="44">
        <v>0</v>
      </c>
      <c r="R121" s="44">
        <v>0</v>
      </c>
      <c r="S121" s="44">
        <v>0</v>
      </c>
      <c r="T121" s="44">
        <v>0</v>
      </c>
      <c r="U121" s="44">
        <v>0</v>
      </c>
      <c r="V121" s="44">
        <v>0</v>
      </c>
      <c r="W121" s="44">
        <v>0</v>
      </c>
      <c r="X121" s="44">
        <v>1</v>
      </c>
      <c r="Y121" s="44">
        <v>1</v>
      </c>
      <c r="Z121" s="44">
        <v>0</v>
      </c>
      <c r="AA121" s="44">
        <v>1</v>
      </c>
      <c r="AB121" s="44">
        <v>0</v>
      </c>
      <c r="AC121" s="44">
        <v>1</v>
      </c>
      <c r="AD121" s="39">
        <v>0</v>
      </c>
    </row>
    <row r="122" spans="1:30" x14ac:dyDescent="0.35">
      <c r="A122" s="27" t="s">
        <v>19</v>
      </c>
      <c r="B122" s="28">
        <v>21</v>
      </c>
      <c r="C122" s="28" t="s">
        <v>12</v>
      </c>
      <c r="D122" s="29" t="s">
        <v>11</v>
      </c>
      <c r="E122" s="29" t="s">
        <v>11</v>
      </c>
      <c r="F122" s="29" t="s">
        <v>11</v>
      </c>
      <c r="G122" s="38">
        <v>900</v>
      </c>
      <c r="H122" s="44">
        <v>0</v>
      </c>
      <c r="I122" s="44">
        <v>0</v>
      </c>
      <c r="J122" s="44">
        <v>0</v>
      </c>
      <c r="K122" s="44">
        <v>0</v>
      </c>
      <c r="L122" s="44">
        <v>0</v>
      </c>
      <c r="M122" s="44">
        <v>0</v>
      </c>
      <c r="N122" s="44">
        <v>1</v>
      </c>
      <c r="O122" s="44">
        <v>0</v>
      </c>
      <c r="P122" s="44">
        <v>0</v>
      </c>
      <c r="Q122" s="44">
        <v>0</v>
      </c>
      <c r="R122" s="44">
        <v>0</v>
      </c>
      <c r="S122" s="44">
        <v>0</v>
      </c>
      <c r="T122" s="44">
        <v>0</v>
      </c>
      <c r="U122" s="44">
        <v>0</v>
      </c>
      <c r="V122" s="44">
        <v>1</v>
      </c>
      <c r="W122" s="44">
        <v>0</v>
      </c>
      <c r="X122" s="44">
        <v>0</v>
      </c>
      <c r="Y122" s="44">
        <v>1</v>
      </c>
      <c r="Z122" s="44">
        <v>0</v>
      </c>
      <c r="AA122" s="44">
        <v>1</v>
      </c>
      <c r="AB122" s="44">
        <v>0</v>
      </c>
      <c r="AC122" s="44">
        <v>1</v>
      </c>
      <c r="AD122" s="39">
        <v>0</v>
      </c>
    </row>
    <row r="123" spans="1:30" x14ac:dyDescent="0.35">
      <c r="A123" s="27" t="s">
        <v>19</v>
      </c>
      <c r="B123" s="28">
        <v>22</v>
      </c>
      <c r="C123" s="28" t="s">
        <v>13</v>
      </c>
      <c r="D123" s="29" t="s">
        <v>9</v>
      </c>
      <c r="E123" s="29" t="s">
        <v>11</v>
      </c>
      <c r="F123" s="29" t="s">
        <v>11</v>
      </c>
      <c r="G123" s="38">
        <v>1769</v>
      </c>
      <c r="H123" s="44">
        <v>0</v>
      </c>
      <c r="I123" s="44">
        <v>0</v>
      </c>
      <c r="J123" s="44">
        <v>0</v>
      </c>
      <c r="K123" s="44">
        <v>0</v>
      </c>
      <c r="L123" s="44">
        <v>0</v>
      </c>
      <c r="M123" s="44">
        <v>0</v>
      </c>
      <c r="N123" s="44">
        <v>1</v>
      </c>
      <c r="O123" s="44">
        <v>0</v>
      </c>
      <c r="P123" s="44">
        <v>0</v>
      </c>
      <c r="Q123" s="44">
        <v>0</v>
      </c>
      <c r="R123" s="44">
        <v>0</v>
      </c>
      <c r="S123" s="44">
        <v>0</v>
      </c>
      <c r="T123" s="44">
        <v>1</v>
      </c>
      <c r="U123" s="44">
        <v>0</v>
      </c>
      <c r="V123" s="44">
        <v>0</v>
      </c>
      <c r="W123" s="44">
        <v>0</v>
      </c>
      <c r="X123" s="44">
        <v>0</v>
      </c>
      <c r="Y123" s="44">
        <v>0</v>
      </c>
      <c r="Z123" s="44">
        <v>1</v>
      </c>
      <c r="AA123" s="44">
        <v>1</v>
      </c>
      <c r="AB123" s="44">
        <v>0</v>
      </c>
      <c r="AC123" s="44">
        <v>1</v>
      </c>
      <c r="AD123" s="39">
        <v>0</v>
      </c>
    </row>
    <row r="124" spans="1:30" x14ac:dyDescent="0.35">
      <c r="A124" s="27" t="s">
        <v>19</v>
      </c>
      <c r="B124" s="28">
        <v>25</v>
      </c>
      <c r="C124" s="28" t="s">
        <v>14</v>
      </c>
      <c r="D124" s="29" t="s">
        <v>11</v>
      </c>
      <c r="E124" s="29" t="s">
        <v>11</v>
      </c>
      <c r="F124" s="29" t="s">
        <v>11</v>
      </c>
      <c r="G124" s="38">
        <v>1059</v>
      </c>
      <c r="H124" s="44">
        <v>0</v>
      </c>
      <c r="I124" s="44">
        <v>0</v>
      </c>
      <c r="J124" s="44">
        <v>0</v>
      </c>
      <c r="K124" s="44">
        <v>0</v>
      </c>
      <c r="L124" s="44">
        <v>0</v>
      </c>
      <c r="M124" s="44">
        <v>0</v>
      </c>
      <c r="N124" s="44">
        <v>1</v>
      </c>
      <c r="O124" s="44">
        <v>0</v>
      </c>
      <c r="P124" s="44">
        <v>0</v>
      </c>
      <c r="Q124" s="44">
        <v>0</v>
      </c>
      <c r="R124" s="44">
        <v>0</v>
      </c>
      <c r="S124" s="44">
        <v>0</v>
      </c>
      <c r="T124" s="44">
        <v>0</v>
      </c>
      <c r="U124" s="44">
        <v>1</v>
      </c>
      <c r="V124" s="44">
        <v>0</v>
      </c>
      <c r="W124" s="44">
        <v>0</v>
      </c>
      <c r="X124" s="44">
        <v>0</v>
      </c>
      <c r="Y124" s="44">
        <v>1</v>
      </c>
      <c r="Z124" s="44">
        <v>0</v>
      </c>
      <c r="AA124" s="44">
        <v>1</v>
      </c>
      <c r="AB124" s="44">
        <v>0</v>
      </c>
      <c r="AC124" s="44">
        <v>1</v>
      </c>
      <c r="AD124" s="39">
        <v>0</v>
      </c>
    </row>
    <row r="125" spans="1:30" x14ac:dyDescent="0.35">
      <c r="A125" s="27" t="s">
        <v>19</v>
      </c>
      <c r="B125" s="28">
        <v>26</v>
      </c>
      <c r="C125" s="28" t="s">
        <v>8</v>
      </c>
      <c r="D125" s="29" t="s">
        <v>11</v>
      </c>
      <c r="E125" s="29" t="s">
        <v>11</v>
      </c>
      <c r="F125" s="29" t="s">
        <v>11</v>
      </c>
      <c r="G125" s="38">
        <v>924</v>
      </c>
      <c r="H125" s="44">
        <v>0</v>
      </c>
      <c r="I125" s="44">
        <v>0</v>
      </c>
      <c r="J125" s="44">
        <v>0</v>
      </c>
      <c r="K125" s="44">
        <v>0</v>
      </c>
      <c r="L125" s="44">
        <v>0</v>
      </c>
      <c r="M125" s="44">
        <v>0</v>
      </c>
      <c r="N125" s="44">
        <v>1</v>
      </c>
      <c r="O125" s="44">
        <v>0</v>
      </c>
      <c r="P125" s="44">
        <v>0</v>
      </c>
      <c r="Q125" s="44">
        <v>0</v>
      </c>
      <c r="R125" s="44">
        <v>0</v>
      </c>
      <c r="S125" s="44">
        <v>0</v>
      </c>
      <c r="T125" s="44">
        <v>0</v>
      </c>
      <c r="U125" s="44">
        <v>0</v>
      </c>
      <c r="V125" s="44">
        <v>0</v>
      </c>
      <c r="W125" s="44">
        <v>1</v>
      </c>
      <c r="X125" s="44">
        <v>0</v>
      </c>
      <c r="Y125" s="44">
        <v>1</v>
      </c>
      <c r="Z125" s="44">
        <v>0</v>
      </c>
      <c r="AA125" s="44">
        <v>1</v>
      </c>
      <c r="AB125" s="44">
        <v>0</v>
      </c>
      <c r="AC125" s="44">
        <v>1</v>
      </c>
      <c r="AD125" s="39">
        <v>0</v>
      </c>
    </row>
    <row r="126" spans="1:30" x14ac:dyDescent="0.35">
      <c r="A126" s="27" t="s">
        <v>19</v>
      </c>
      <c r="B126" s="28">
        <v>27</v>
      </c>
      <c r="C126" s="28" t="s">
        <v>10</v>
      </c>
      <c r="D126" s="29" t="s">
        <v>11</v>
      </c>
      <c r="E126" s="29" t="s">
        <v>11</v>
      </c>
      <c r="F126" s="29" t="s">
        <v>11</v>
      </c>
      <c r="G126" s="38">
        <v>859</v>
      </c>
      <c r="H126" s="44">
        <v>0</v>
      </c>
      <c r="I126" s="44">
        <v>0</v>
      </c>
      <c r="J126" s="44">
        <v>0</v>
      </c>
      <c r="K126" s="44">
        <v>0</v>
      </c>
      <c r="L126" s="44">
        <v>0</v>
      </c>
      <c r="M126" s="44">
        <v>0</v>
      </c>
      <c r="N126" s="44">
        <v>1</v>
      </c>
      <c r="O126" s="44">
        <v>0</v>
      </c>
      <c r="P126" s="44">
        <v>0</v>
      </c>
      <c r="Q126" s="44">
        <v>0</v>
      </c>
      <c r="R126" s="44">
        <v>0</v>
      </c>
      <c r="S126" s="44">
        <v>0</v>
      </c>
      <c r="T126" s="44">
        <v>0</v>
      </c>
      <c r="U126" s="44">
        <v>0</v>
      </c>
      <c r="V126" s="44">
        <v>0</v>
      </c>
      <c r="W126" s="44">
        <v>0</v>
      </c>
      <c r="X126" s="44">
        <v>1</v>
      </c>
      <c r="Y126" s="44">
        <v>1</v>
      </c>
      <c r="Z126" s="44">
        <v>0</v>
      </c>
      <c r="AA126" s="44">
        <v>1</v>
      </c>
      <c r="AB126" s="44">
        <v>0</v>
      </c>
      <c r="AC126" s="44">
        <v>1</v>
      </c>
      <c r="AD126" s="39">
        <v>0</v>
      </c>
    </row>
    <row r="127" spans="1:30" x14ac:dyDescent="0.35">
      <c r="A127" s="27" t="s">
        <v>19</v>
      </c>
      <c r="B127" s="28">
        <v>28</v>
      </c>
      <c r="C127" s="28" t="s">
        <v>12</v>
      </c>
      <c r="D127" s="29" t="s">
        <v>11</v>
      </c>
      <c r="E127" s="29" t="s">
        <v>11</v>
      </c>
      <c r="F127" s="29" t="s">
        <v>11</v>
      </c>
      <c r="G127" s="38">
        <v>805</v>
      </c>
      <c r="H127" s="44">
        <v>0</v>
      </c>
      <c r="I127" s="44">
        <v>0</v>
      </c>
      <c r="J127" s="44">
        <v>0</v>
      </c>
      <c r="K127" s="44">
        <v>0</v>
      </c>
      <c r="L127" s="44">
        <v>0</v>
      </c>
      <c r="M127" s="44">
        <v>0</v>
      </c>
      <c r="N127" s="44">
        <v>1</v>
      </c>
      <c r="O127" s="44">
        <v>0</v>
      </c>
      <c r="P127" s="44">
        <v>0</v>
      </c>
      <c r="Q127" s="44">
        <v>0</v>
      </c>
      <c r="R127" s="44">
        <v>0</v>
      </c>
      <c r="S127" s="44">
        <v>0</v>
      </c>
      <c r="T127" s="44">
        <v>0</v>
      </c>
      <c r="U127" s="44">
        <v>0</v>
      </c>
      <c r="V127" s="44">
        <v>1</v>
      </c>
      <c r="W127" s="44">
        <v>0</v>
      </c>
      <c r="X127" s="44">
        <v>0</v>
      </c>
      <c r="Y127" s="44">
        <v>1</v>
      </c>
      <c r="Z127" s="44">
        <v>0</v>
      </c>
      <c r="AA127" s="44">
        <v>1</v>
      </c>
      <c r="AB127" s="44">
        <v>0</v>
      </c>
      <c r="AC127" s="44">
        <v>1</v>
      </c>
      <c r="AD127" s="39">
        <v>0</v>
      </c>
    </row>
    <row r="128" spans="1:30" x14ac:dyDescent="0.35">
      <c r="A128" s="27" t="s">
        <v>19</v>
      </c>
      <c r="B128" s="28">
        <v>29</v>
      </c>
      <c r="C128" s="28" t="s">
        <v>13</v>
      </c>
      <c r="D128" s="29" t="s">
        <v>11</v>
      </c>
      <c r="E128" s="29" t="s">
        <v>11</v>
      </c>
      <c r="F128" s="29" t="s">
        <v>11</v>
      </c>
      <c r="G128" s="38">
        <v>1606</v>
      </c>
      <c r="H128" s="44">
        <v>0</v>
      </c>
      <c r="I128" s="44">
        <v>0</v>
      </c>
      <c r="J128" s="44">
        <v>0</v>
      </c>
      <c r="K128" s="44">
        <v>0</v>
      </c>
      <c r="L128" s="44">
        <v>0</v>
      </c>
      <c r="M128" s="44">
        <v>0</v>
      </c>
      <c r="N128" s="44">
        <v>1</v>
      </c>
      <c r="O128" s="44">
        <v>0</v>
      </c>
      <c r="P128" s="44">
        <v>0</v>
      </c>
      <c r="Q128" s="44">
        <v>0</v>
      </c>
      <c r="R128" s="44">
        <v>0</v>
      </c>
      <c r="S128" s="44">
        <v>0</v>
      </c>
      <c r="T128" s="44">
        <v>1</v>
      </c>
      <c r="U128" s="44">
        <v>0</v>
      </c>
      <c r="V128" s="44">
        <v>0</v>
      </c>
      <c r="W128" s="44">
        <v>0</v>
      </c>
      <c r="X128" s="44">
        <v>0</v>
      </c>
      <c r="Y128" s="44">
        <v>1</v>
      </c>
      <c r="Z128" s="44">
        <v>0</v>
      </c>
      <c r="AA128" s="44">
        <v>1</v>
      </c>
      <c r="AB128" s="44">
        <v>0</v>
      </c>
      <c r="AC128" s="44">
        <v>1</v>
      </c>
      <c r="AD128" s="39">
        <v>0</v>
      </c>
    </row>
    <row r="129" spans="1:30" x14ac:dyDescent="0.35">
      <c r="A129" s="27" t="s">
        <v>20</v>
      </c>
      <c r="B129" s="28">
        <v>2</v>
      </c>
      <c r="C129" s="28" t="s">
        <v>14</v>
      </c>
      <c r="D129" s="29" t="s">
        <v>11</v>
      </c>
      <c r="E129" s="29" t="s">
        <v>11</v>
      </c>
      <c r="F129" s="29" t="s">
        <v>11</v>
      </c>
      <c r="G129" s="38">
        <v>1648</v>
      </c>
      <c r="H129" s="44">
        <v>0</v>
      </c>
      <c r="I129" s="44">
        <v>0</v>
      </c>
      <c r="J129" s="44">
        <v>0</v>
      </c>
      <c r="K129" s="44">
        <v>0</v>
      </c>
      <c r="L129" s="44">
        <v>0</v>
      </c>
      <c r="M129" s="44">
        <v>1</v>
      </c>
      <c r="N129" s="44">
        <v>0</v>
      </c>
      <c r="O129" s="44">
        <v>0</v>
      </c>
      <c r="P129" s="44">
        <v>0</v>
      </c>
      <c r="Q129" s="44">
        <v>0</v>
      </c>
      <c r="R129" s="44">
        <v>0</v>
      </c>
      <c r="S129" s="44">
        <v>0</v>
      </c>
      <c r="T129" s="44">
        <v>0</v>
      </c>
      <c r="U129" s="44">
        <v>1</v>
      </c>
      <c r="V129" s="44">
        <v>0</v>
      </c>
      <c r="W129" s="44">
        <v>0</v>
      </c>
      <c r="X129" s="44">
        <v>0</v>
      </c>
      <c r="Y129" s="44">
        <v>1</v>
      </c>
      <c r="Z129" s="44">
        <v>0</v>
      </c>
      <c r="AA129" s="44">
        <v>1</v>
      </c>
      <c r="AB129" s="44">
        <v>0</v>
      </c>
      <c r="AC129" s="44">
        <v>1</v>
      </c>
      <c r="AD129" s="39">
        <v>0</v>
      </c>
    </row>
    <row r="130" spans="1:30" x14ac:dyDescent="0.35">
      <c r="A130" s="27" t="s">
        <v>20</v>
      </c>
      <c r="B130" s="28">
        <v>3</v>
      </c>
      <c r="C130" s="28" t="s">
        <v>8</v>
      </c>
      <c r="D130" s="29" t="s">
        <v>11</v>
      </c>
      <c r="E130" s="29" t="s">
        <v>11</v>
      </c>
      <c r="F130" s="29" t="s">
        <v>9</v>
      </c>
      <c r="G130" s="38">
        <v>1372</v>
      </c>
      <c r="H130" s="44">
        <v>0</v>
      </c>
      <c r="I130" s="44">
        <v>0</v>
      </c>
      <c r="J130" s="44">
        <v>0</v>
      </c>
      <c r="K130" s="44">
        <v>0</v>
      </c>
      <c r="L130" s="44">
        <v>0</v>
      </c>
      <c r="M130" s="44">
        <v>1</v>
      </c>
      <c r="N130" s="44">
        <v>0</v>
      </c>
      <c r="O130" s="44">
        <v>0</v>
      </c>
      <c r="P130" s="44">
        <v>0</v>
      </c>
      <c r="Q130" s="44">
        <v>0</v>
      </c>
      <c r="R130" s="44">
        <v>0</v>
      </c>
      <c r="S130" s="44">
        <v>0</v>
      </c>
      <c r="T130" s="44">
        <v>0</v>
      </c>
      <c r="U130" s="44">
        <v>0</v>
      </c>
      <c r="V130" s="44">
        <v>0</v>
      </c>
      <c r="W130" s="44">
        <v>1</v>
      </c>
      <c r="X130" s="44">
        <v>0</v>
      </c>
      <c r="Y130" s="44">
        <v>1</v>
      </c>
      <c r="Z130" s="44">
        <v>0</v>
      </c>
      <c r="AA130" s="44">
        <v>1</v>
      </c>
      <c r="AB130" s="44">
        <v>0</v>
      </c>
      <c r="AC130" s="44">
        <v>0</v>
      </c>
      <c r="AD130" s="39">
        <v>1</v>
      </c>
    </row>
    <row r="131" spans="1:30" x14ac:dyDescent="0.35">
      <c r="A131" s="27" t="s">
        <v>20</v>
      </c>
      <c r="B131" s="28">
        <v>5</v>
      </c>
      <c r="C131" s="28" t="s">
        <v>12</v>
      </c>
      <c r="D131" s="29" t="s">
        <v>11</v>
      </c>
      <c r="E131" s="29" t="s">
        <v>11</v>
      </c>
      <c r="F131" s="29" t="s">
        <v>9</v>
      </c>
      <c r="G131" s="38">
        <v>1283</v>
      </c>
      <c r="H131" s="44">
        <v>0</v>
      </c>
      <c r="I131" s="44">
        <v>0</v>
      </c>
      <c r="J131" s="44">
        <v>0</v>
      </c>
      <c r="K131" s="44">
        <v>0</v>
      </c>
      <c r="L131" s="44">
        <v>0</v>
      </c>
      <c r="M131" s="44">
        <v>1</v>
      </c>
      <c r="N131" s="44">
        <v>0</v>
      </c>
      <c r="O131" s="44">
        <v>0</v>
      </c>
      <c r="P131" s="44">
        <v>0</v>
      </c>
      <c r="Q131" s="44">
        <v>0</v>
      </c>
      <c r="R131" s="44">
        <v>0</v>
      </c>
      <c r="S131" s="44">
        <v>0</v>
      </c>
      <c r="T131" s="44">
        <v>0</v>
      </c>
      <c r="U131" s="44">
        <v>0</v>
      </c>
      <c r="V131" s="44">
        <v>1</v>
      </c>
      <c r="W131" s="44">
        <v>0</v>
      </c>
      <c r="X131" s="44">
        <v>0</v>
      </c>
      <c r="Y131" s="44">
        <v>1</v>
      </c>
      <c r="Z131" s="44">
        <v>0</v>
      </c>
      <c r="AA131" s="44">
        <v>1</v>
      </c>
      <c r="AB131" s="44">
        <v>0</v>
      </c>
      <c r="AC131" s="44">
        <v>0</v>
      </c>
      <c r="AD131" s="39">
        <v>1</v>
      </c>
    </row>
    <row r="132" spans="1:30" x14ac:dyDescent="0.35">
      <c r="A132" s="27" t="s">
        <v>20</v>
      </c>
      <c r="B132" s="28">
        <v>6</v>
      </c>
      <c r="C132" s="28" t="s">
        <v>13</v>
      </c>
      <c r="D132" s="29" t="s">
        <v>9</v>
      </c>
      <c r="E132" s="29" t="s">
        <v>11</v>
      </c>
      <c r="F132" s="29" t="s">
        <v>11</v>
      </c>
      <c r="G132" s="38">
        <v>1740</v>
      </c>
      <c r="H132" s="44">
        <v>0</v>
      </c>
      <c r="I132" s="44">
        <v>0</v>
      </c>
      <c r="J132" s="44">
        <v>0</v>
      </c>
      <c r="K132" s="44">
        <v>0</v>
      </c>
      <c r="L132" s="44">
        <v>0</v>
      </c>
      <c r="M132" s="44">
        <v>1</v>
      </c>
      <c r="N132" s="44">
        <v>0</v>
      </c>
      <c r="O132" s="44">
        <v>0</v>
      </c>
      <c r="P132" s="44">
        <v>0</v>
      </c>
      <c r="Q132" s="44">
        <v>0</v>
      </c>
      <c r="R132" s="44">
        <v>0</v>
      </c>
      <c r="S132" s="44">
        <v>0</v>
      </c>
      <c r="T132" s="44">
        <v>1</v>
      </c>
      <c r="U132" s="44">
        <v>0</v>
      </c>
      <c r="V132" s="44">
        <v>0</v>
      </c>
      <c r="W132" s="44">
        <v>0</v>
      </c>
      <c r="X132" s="44">
        <v>0</v>
      </c>
      <c r="Y132" s="44">
        <v>0</v>
      </c>
      <c r="Z132" s="44">
        <v>1</v>
      </c>
      <c r="AA132" s="44">
        <v>1</v>
      </c>
      <c r="AB132" s="44">
        <v>0</v>
      </c>
      <c r="AC132" s="44">
        <v>1</v>
      </c>
      <c r="AD132" s="39">
        <v>0</v>
      </c>
    </row>
    <row r="133" spans="1:30" x14ac:dyDescent="0.35">
      <c r="A133" s="27" t="s">
        <v>20</v>
      </c>
      <c r="B133" s="28">
        <v>9</v>
      </c>
      <c r="C133" s="28" t="s">
        <v>14</v>
      </c>
      <c r="D133" s="29" t="s">
        <v>11</v>
      </c>
      <c r="E133" s="29" t="s">
        <v>11</v>
      </c>
      <c r="F133" s="29" t="s">
        <v>11</v>
      </c>
      <c r="G133" s="38">
        <v>1195</v>
      </c>
      <c r="H133" s="44">
        <v>0</v>
      </c>
      <c r="I133" s="44">
        <v>0</v>
      </c>
      <c r="J133" s="44">
        <v>0</v>
      </c>
      <c r="K133" s="44">
        <v>0</v>
      </c>
      <c r="L133" s="44">
        <v>0</v>
      </c>
      <c r="M133" s="44">
        <v>1</v>
      </c>
      <c r="N133" s="44">
        <v>0</v>
      </c>
      <c r="O133" s="44">
        <v>0</v>
      </c>
      <c r="P133" s="44">
        <v>0</v>
      </c>
      <c r="Q133" s="44">
        <v>0</v>
      </c>
      <c r="R133" s="44">
        <v>0</v>
      </c>
      <c r="S133" s="44">
        <v>0</v>
      </c>
      <c r="T133" s="44">
        <v>0</v>
      </c>
      <c r="U133" s="44">
        <v>1</v>
      </c>
      <c r="V133" s="44">
        <v>0</v>
      </c>
      <c r="W133" s="44">
        <v>0</v>
      </c>
      <c r="X133" s="44">
        <v>0</v>
      </c>
      <c r="Y133" s="44">
        <v>1</v>
      </c>
      <c r="Z133" s="44">
        <v>0</v>
      </c>
      <c r="AA133" s="44">
        <v>1</v>
      </c>
      <c r="AB133" s="44">
        <v>0</v>
      </c>
      <c r="AC133" s="44">
        <v>1</v>
      </c>
      <c r="AD133" s="39">
        <v>0</v>
      </c>
    </row>
    <row r="134" spans="1:30" x14ac:dyDescent="0.35">
      <c r="A134" s="27" t="s">
        <v>20</v>
      </c>
      <c r="B134" s="28">
        <v>10</v>
      </c>
      <c r="C134" s="28" t="s">
        <v>8</v>
      </c>
      <c r="D134" s="29" t="s">
        <v>11</v>
      </c>
      <c r="E134" s="29" t="s">
        <v>11</v>
      </c>
      <c r="F134" s="29" t="s">
        <v>11</v>
      </c>
      <c r="G134" s="38">
        <v>880</v>
      </c>
      <c r="H134" s="44">
        <v>0</v>
      </c>
      <c r="I134" s="44">
        <v>0</v>
      </c>
      <c r="J134" s="44">
        <v>0</v>
      </c>
      <c r="K134" s="44">
        <v>0</v>
      </c>
      <c r="L134" s="44">
        <v>0</v>
      </c>
      <c r="M134" s="44">
        <v>1</v>
      </c>
      <c r="N134" s="44">
        <v>0</v>
      </c>
      <c r="O134" s="44">
        <v>0</v>
      </c>
      <c r="P134" s="44">
        <v>0</v>
      </c>
      <c r="Q134" s="44">
        <v>0</v>
      </c>
      <c r="R134" s="44">
        <v>0</v>
      </c>
      <c r="S134" s="44">
        <v>0</v>
      </c>
      <c r="T134" s="44">
        <v>0</v>
      </c>
      <c r="U134" s="44">
        <v>0</v>
      </c>
      <c r="V134" s="44">
        <v>0</v>
      </c>
      <c r="W134" s="44">
        <v>1</v>
      </c>
      <c r="X134" s="44">
        <v>0</v>
      </c>
      <c r="Y134" s="44">
        <v>1</v>
      </c>
      <c r="Z134" s="44">
        <v>0</v>
      </c>
      <c r="AA134" s="44">
        <v>1</v>
      </c>
      <c r="AB134" s="44">
        <v>0</v>
      </c>
      <c r="AC134" s="44">
        <v>1</v>
      </c>
      <c r="AD134" s="39">
        <v>0</v>
      </c>
    </row>
    <row r="135" spans="1:30" x14ac:dyDescent="0.35">
      <c r="A135" s="27" t="s">
        <v>20</v>
      </c>
      <c r="B135" s="28">
        <v>11</v>
      </c>
      <c r="C135" s="28" t="s">
        <v>10</v>
      </c>
      <c r="D135" s="29" t="s">
        <v>11</v>
      </c>
      <c r="E135" s="29" t="s">
        <v>11</v>
      </c>
      <c r="F135" s="29" t="s">
        <v>11</v>
      </c>
      <c r="G135" s="38">
        <v>855</v>
      </c>
      <c r="H135" s="44">
        <v>0</v>
      </c>
      <c r="I135" s="44">
        <v>0</v>
      </c>
      <c r="J135" s="44">
        <v>0</v>
      </c>
      <c r="K135" s="44">
        <v>0</v>
      </c>
      <c r="L135" s="44">
        <v>0</v>
      </c>
      <c r="M135" s="44">
        <v>1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4">
        <v>0</v>
      </c>
      <c r="X135" s="44">
        <v>1</v>
      </c>
      <c r="Y135" s="44">
        <v>1</v>
      </c>
      <c r="Z135" s="44">
        <v>0</v>
      </c>
      <c r="AA135" s="44">
        <v>1</v>
      </c>
      <c r="AB135" s="44">
        <v>0</v>
      </c>
      <c r="AC135" s="44">
        <v>1</v>
      </c>
      <c r="AD135" s="39">
        <v>0</v>
      </c>
    </row>
    <row r="136" spans="1:30" x14ac:dyDescent="0.35">
      <c r="A136" s="27" t="s">
        <v>20</v>
      </c>
      <c r="B136" s="28">
        <v>12</v>
      </c>
      <c r="C136" s="28" t="s">
        <v>12</v>
      </c>
      <c r="D136" s="29" t="s">
        <v>11</v>
      </c>
      <c r="E136" s="29" t="s">
        <v>11</v>
      </c>
      <c r="F136" s="29" t="s">
        <v>11</v>
      </c>
      <c r="G136" s="38">
        <v>955</v>
      </c>
      <c r="H136" s="44">
        <v>0</v>
      </c>
      <c r="I136" s="44">
        <v>0</v>
      </c>
      <c r="J136" s="44">
        <v>0</v>
      </c>
      <c r="K136" s="44">
        <v>0</v>
      </c>
      <c r="L136" s="44">
        <v>0</v>
      </c>
      <c r="M136" s="44">
        <v>1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1</v>
      </c>
      <c r="W136" s="44">
        <v>0</v>
      </c>
      <c r="X136" s="44">
        <v>0</v>
      </c>
      <c r="Y136" s="44">
        <v>1</v>
      </c>
      <c r="Z136" s="44">
        <v>0</v>
      </c>
      <c r="AA136" s="44">
        <v>1</v>
      </c>
      <c r="AB136" s="44">
        <v>0</v>
      </c>
      <c r="AC136" s="44">
        <v>1</v>
      </c>
      <c r="AD136" s="39">
        <v>0</v>
      </c>
    </row>
    <row r="137" spans="1:30" x14ac:dyDescent="0.35">
      <c r="A137" s="27" t="s">
        <v>20</v>
      </c>
      <c r="B137" s="28">
        <v>13</v>
      </c>
      <c r="C137" s="28" t="s">
        <v>13</v>
      </c>
      <c r="D137" s="29" t="s">
        <v>11</v>
      </c>
      <c r="E137" s="29" t="s">
        <v>11</v>
      </c>
      <c r="F137" s="29" t="s">
        <v>11</v>
      </c>
      <c r="G137" s="38">
        <v>1466</v>
      </c>
      <c r="H137" s="44">
        <v>0</v>
      </c>
      <c r="I137" s="44">
        <v>0</v>
      </c>
      <c r="J137" s="44">
        <v>0</v>
      </c>
      <c r="K137" s="44">
        <v>0</v>
      </c>
      <c r="L137" s="44">
        <v>0</v>
      </c>
      <c r="M137" s="44">
        <v>1</v>
      </c>
      <c r="N137" s="44">
        <v>0</v>
      </c>
      <c r="O137" s="44">
        <v>0</v>
      </c>
      <c r="P137" s="44">
        <v>0</v>
      </c>
      <c r="Q137" s="44">
        <v>0</v>
      </c>
      <c r="R137" s="44">
        <v>0</v>
      </c>
      <c r="S137" s="44">
        <v>0</v>
      </c>
      <c r="T137" s="44">
        <v>1</v>
      </c>
      <c r="U137" s="44">
        <v>0</v>
      </c>
      <c r="V137" s="44">
        <v>0</v>
      </c>
      <c r="W137" s="44">
        <v>0</v>
      </c>
      <c r="X137" s="44">
        <v>0</v>
      </c>
      <c r="Y137" s="44">
        <v>1</v>
      </c>
      <c r="Z137" s="44">
        <v>0</v>
      </c>
      <c r="AA137" s="44">
        <v>1</v>
      </c>
      <c r="AB137" s="44">
        <v>0</v>
      </c>
      <c r="AC137" s="44">
        <v>1</v>
      </c>
      <c r="AD137" s="39">
        <v>0</v>
      </c>
    </row>
    <row r="138" spans="1:30" x14ac:dyDescent="0.35">
      <c r="A138" s="27" t="s">
        <v>20</v>
      </c>
      <c r="B138" s="28">
        <v>16</v>
      </c>
      <c r="C138" s="28" t="s">
        <v>14</v>
      </c>
      <c r="D138" s="29" t="s">
        <v>11</v>
      </c>
      <c r="E138" s="29" t="s">
        <v>11</v>
      </c>
      <c r="F138" s="29" t="s">
        <v>11</v>
      </c>
      <c r="G138" s="38">
        <v>1290</v>
      </c>
      <c r="H138" s="44">
        <v>0</v>
      </c>
      <c r="I138" s="44">
        <v>0</v>
      </c>
      <c r="J138" s="44">
        <v>0</v>
      </c>
      <c r="K138" s="44">
        <v>0</v>
      </c>
      <c r="L138" s="44">
        <v>0</v>
      </c>
      <c r="M138" s="44">
        <v>1</v>
      </c>
      <c r="N138" s="44">
        <v>0</v>
      </c>
      <c r="O138" s="44">
        <v>0</v>
      </c>
      <c r="P138" s="44">
        <v>0</v>
      </c>
      <c r="Q138" s="44">
        <v>0</v>
      </c>
      <c r="R138" s="44">
        <v>0</v>
      </c>
      <c r="S138" s="44">
        <v>0</v>
      </c>
      <c r="T138" s="44">
        <v>0</v>
      </c>
      <c r="U138" s="44">
        <v>1</v>
      </c>
      <c r="V138" s="44">
        <v>0</v>
      </c>
      <c r="W138" s="44">
        <v>0</v>
      </c>
      <c r="X138" s="44">
        <v>0</v>
      </c>
      <c r="Y138" s="44">
        <v>1</v>
      </c>
      <c r="Z138" s="44">
        <v>0</v>
      </c>
      <c r="AA138" s="44">
        <v>1</v>
      </c>
      <c r="AB138" s="44">
        <v>0</v>
      </c>
      <c r="AC138" s="44">
        <v>1</v>
      </c>
      <c r="AD138" s="39">
        <v>0</v>
      </c>
    </row>
    <row r="139" spans="1:30" x14ac:dyDescent="0.35">
      <c r="A139" s="27" t="s">
        <v>20</v>
      </c>
      <c r="B139" s="28">
        <v>17</v>
      </c>
      <c r="C139" s="28" t="s">
        <v>8</v>
      </c>
      <c r="D139" s="29" t="s">
        <v>11</v>
      </c>
      <c r="E139" s="29" t="s">
        <v>11</v>
      </c>
      <c r="F139" s="29" t="s">
        <v>11</v>
      </c>
      <c r="G139" s="38">
        <v>968</v>
      </c>
      <c r="H139" s="44">
        <v>0</v>
      </c>
      <c r="I139" s="44">
        <v>0</v>
      </c>
      <c r="J139" s="44">
        <v>0</v>
      </c>
      <c r="K139" s="44">
        <v>0</v>
      </c>
      <c r="L139" s="44">
        <v>0</v>
      </c>
      <c r="M139" s="44">
        <v>1</v>
      </c>
      <c r="N139" s="44">
        <v>0</v>
      </c>
      <c r="O139" s="44">
        <v>0</v>
      </c>
      <c r="P139" s="44">
        <v>0</v>
      </c>
      <c r="Q139" s="44">
        <v>0</v>
      </c>
      <c r="R139" s="44">
        <v>0</v>
      </c>
      <c r="S139" s="44">
        <v>0</v>
      </c>
      <c r="T139" s="44">
        <v>0</v>
      </c>
      <c r="U139" s="44">
        <v>0</v>
      </c>
      <c r="V139" s="44">
        <v>0</v>
      </c>
      <c r="W139" s="44">
        <v>1</v>
      </c>
      <c r="X139" s="44">
        <v>0</v>
      </c>
      <c r="Y139" s="44">
        <v>1</v>
      </c>
      <c r="Z139" s="44">
        <v>0</v>
      </c>
      <c r="AA139" s="44">
        <v>1</v>
      </c>
      <c r="AB139" s="44">
        <v>0</v>
      </c>
      <c r="AC139" s="44">
        <v>1</v>
      </c>
      <c r="AD139" s="39">
        <v>0</v>
      </c>
    </row>
    <row r="140" spans="1:30" x14ac:dyDescent="0.35">
      <c r="A140" s="27" t="s">
        <v>20</v>
      </c>
      <c r="B140" s="28">
        <v>18</v>
      </c>
      <c r="C140" s="28" t="s">
        <v>10</v>
      </c>
      <c r="D140" s="29" t="s">
        <v>11</v>
      </c>
      <c r="E140" s="29" t="s">
        <v>11</v>
      </c>
      <c r="F140" s="29" t="s">
        <v>11</v>
      </c>
      <c r="G140" s="38">
        <v>831</v>
      </c>
      <c r="H140" s="44">
        <v>0</v>
      </c>
      <c r="I140" s="44">
        <v>0</v>
      </c>
      <c r="J140" s="44">
        <v>0</v>
      </c>
      <c r="K140" s="44">
        <v>0</v>
      </c>
      <c r="L140" s="44">
        <v>0</v>
      </c>
      <c r="M140" s="44">
        <v>1</v>
      </c>
      <c r="N140" s="44">
        <v>0</v>
      </c>
      <c r="O140" s="44">
        <v>0</v>
      </c>
      <c r="P140" s="44">
        <v>0</v>
      </c>
      <c r="Q140" s="44">
        <v>0</v>
      </c>
      <c r="R140" s="44">
        <v>0</v>
      </c>
      <c r="S140" s="44">
        <v>0</v>
      </c>
      <c r="T140" s="44">
        <v>0</v>
      </c>
      <c r="U140" s="44">
        <v>0</v>
      </c>
      <c r="V140" s="44">
        <v>0</v>
      </c>
      <c r="W140" s="44">
        <v>0</v>
      </c>
      <c r="X140" s="44">
        <v>1</v>
      </c>
      <c r="Y140" s="44">
        <v>1</v>
      </c>
      <c r="Z140" s="44">
        <v>0</v>
      </c>
      <c r="AA140" s="44">
        <v>1</v>
      </c>
      <c r="AB140" s="44">
        <v>0</v>
      </c>
      <c r="AC140" s="44">
        <v>1</v>
      </c>
      <c r="AD140" s="39">
        <v>0</v>
      </c>
    </row>
    <row r="141" spans="1:30" x14ac:dyDescent="0.35">
      <c r="A141" s="27" t="s">
        <v>20</v>
      </c>
      <c r="B141" s="28">
        <v>19</v>
      </c>
      <c r="C141" s="28" t="s">
        <v>12</v>
      </c>
      <c r="D141" s="29" t="s">
        <v>11</v>
      </c>
      <c r="E141" s="29" t="s">
        <v>11</v>
      </c>
      <c r="F141" s="29" t="s">
        <v>11</v>
      </c>
      <c r="G141" s="38">
        <v>838</v>
      </c>
      <c r="H141" s="44">
        <v>0</v>
      </c>
      <c r="I141" s="44">
        <v>0</v>
      </c>
      <c r="J141" s="44">
        <v>0</v>
      </c>
      <c r="K141" s="44">
        <v>0</v>
      </c>
      <c r="L141" s="44">
        <v>0</v>
      </c>
      <c r="M141" s="44">
        <v>1</v>
      </c>
      <c r="N141" s="44">
        <v>0</v>
      </c>
      <c r="O141" s="44">
        <v>0</v>
      </c>
      <c r="P141" s="44">
        <v>0</v>
      </c>
      <c r="Q141" s="44">
        <v>0</v>
      </c>
      <c r="R141" s="44">
        <v>0</v>
      </c>
      <c r="S141" s="44">
        <v>0</v>
      </c>
      <c r="T141" s="44">
        <v>0</v>
      </c>
      <c r="U141" s="44">
        <v>0</v>
      </c>
      <c r="V141" s="44">
        <v>1</v>
      </c>
      <c r="W141" s="44">
        <v>0</v>
      </c>
      <c r="X141" s="44">
        <v>0</v>
      </c>
      <c r="Y141" s="44">
        <v>1</v>
      </c>
      <c r="Z141" s="44">
        <v>0</v>
      </c>
      <c r="AA141" s="44">
        <v>1</v>
      </c>
      <c r="AB141" s="44">
        <v>0</v>
      </c>
      <c r="AC141" s="44">
        <v>1</v>
      </c>
      <c r="AD141" s="39">
        <v>0</v>
      </c>
    </row>
    <row r="142" spans="1:30" x14ac:dyDescent="0.35">
      <c r="A142" s="27" t="s">
        <v>20</v>
      </c>
      <c r="B142" s="28">
        <v>20</v>
      </c>
      <c r="C142" s="28" t="s">
        <v>13</v>
      </c>
      <c r="D142" s="29" t="s">
        <v>9</v>
      </c>
      <c r="E142" s="29" t="s">
        <v>11</v>
      </c>
      <c r="F142" s="29" t="s">
        <v>11</v>
      </c>
      <c r="G142" s="38">
        <v>1747</v>
      </c>
      <c r="H142" s="44">
        <v>0</v>
      </c>
      <c r="I142" s="44">
        <v>0</v>
      </c>
      <c r="J142" s="44">
        <v>0</v>
      </c>
      <c r="K142" s="44">
        <v>0</v>
      </c>
      <c r="L142" s="44">
        <v>0</v>
      </c>
      <c r="M142" s="44">
        <v>1</v>
      </c>
      <c r="N142" s="44">
        <v>0</v>
      </c>
      <c r="O142" s="44">
        <v>0</v>
      </c>
      <c r="P142" s="44">
        <v>0</v>
      </c>
      <c r="Q142" s="44">
        <v>0</v>
      </c>
      <c r="R142" s="44">
        <v>0</v>
      </c>
      <c r="S142" s="44">
        <v>0</v>
      </c>
      <c r="T142" s="44">
        <v>1</v>
      </c>
      <c r="U142" s="44">
        <v>0</v>
      </c>
      <c r="V142" s="44">
        <v>0</v>
      </c>
      <c r="W142" s="44">
        <v>0</v>
      </c>
      <c r="X142" s="44">
        <v>0</v>
      </c>
      <c r="Y142" s="44">
        <v>0</v>
      </c>
      <c r="Z142" s="44">
        <v>1</v>
      </c>
      <c r="AA142" s="44">
        <v>1</v>
      </c>
      <c r="AB142" s="44">
        <v>0</v>
      </c>
      <c r="AC142" s="44">
        <v>1</v>
      </c>
      <c r="AD142" s="39">
        <v>0</v>
      </c>
    </row>
    <row r="143" spans="1:30" x14ac:dyDescent="0.35">
      <c r="A143" s="27" t="s">
        <v>20</v>
      </c>
      <c r="B143" s="28">
        <v>23</v>
      </c>
      <c r="C143" s="28" t="s">
        <v>14</v>
      </c>
      <c r="D143" s="29" t="s">
        <v>11</v>
      </c>
      <c r="E143" s="29" t="s">
        <v>11</v>
      </c>
      <c r="F143" s="29" t="s">
        <v>11</v>
      </c>
      <c r="G143" s="38">
        <v>1182</v>
      </c>
      <c r="H143" s="44">
        <v>0</v>
      </c>
      <c r="I143" s="44">
        <v>0</v>
      </c>
      <c r="J143" s="44">
        <v>0</v>
      </c>
      <c r="K143" s="44">
        <v>0</v>
      </c>
      <c r="L143" s="44">
        <v>0</v>
      </c>
      <c r="M143" s="44">
        <v>1</v>
      </c>
      <c r="N143" s="44">
        <v>0</v>
      </c>
      <c r="O143" s="44">
        <v>0</v>
      </c>
      <c r="P143" s="44">
        <v>0</v>
      </c>
      <c r="Q143" s="44">
        <v>0</v>
      </c>
      <c r="R143" s="44">
        <v>0</v>
      </c>
      <c r="S143" s="44">
        <v>0</v>
      </c>
      <c r="T143" s="44">
        <v>0</v>
      </c>
      <c r="U143" s="44">
        <v>1</v>
      </c>
      <c r="V143" s="44">
        <v>0</v>
      </c>
      <c r="W143" s="44">
        <v>0</v>
      </c>
      <c r="X143" s="44">
        <v>0</v>
      </c>
      <c r="Y143" s="44">
        <v>1</v>
      </c>
      <c r="Z143" s="44">
        <v>0</v>
      </c>
      <c r="AA143" s="44">
        <v>1</v>
      </c>
      <c r="AB143" s="44">
        <v>0</v>
      </c>
      <c r="AC143" s="44">
        <v>1</v>
      </c>
      <c r="AD143" s="39">
        <v>0</v>
      </c>
    </row>
    <row r="144" spans="1:30" x14ac:dyDescent="0.35">
      <c r="A144" s="27" t="s">
        <v>20</v>
      </c>
      <c r="B144" s="28">
        <v>24</v>
      </c>
      <c r="C144" s="28" t="s">
        <v>8</v>
      </c>
      <c r="D144" s="29" t="s">
        <v>11</v>
      </c>
      <c r="E144" s="29" t="s">
        <v>11</v>
      </c>
      <c r="F144" s="29" t="s">
        <v>11</v>
      </c>
      <c r="G144" s="38">
        <v>842</v>
      </c>
      <c r="H144" s="44">
        <v>0</v>
      </c>
      <c r="I144" s="44">
        <v>0</v>
      </c>
      <c r="J144" s="44">
        <v>0</v>
      </c>
      <c r="K144" s="44">
        <v>0</v>
      </c>
      <c r="L144" s="44">
        <v>0</v>
      </c>
      <c r="M144" s="44">
        <v>1</v>
      </c>
      <c r="N144" s="44">
        <v>0</v>
      </c>
      <c r="O144" s="44">
        <v>0</v>
      </c>
      <c r="P144" s="44">
        <v>0</v>
      </c>
      <c r="Q144" s="44">
        <v>0</v>
      </c>
      <c r="R144" s="44">
        <v>0</v>
      </c>
      <c r="S144" s="44">
        <v>0</v>
      </c>
      <c r="T144" s="44">
        <v>0</v>
      </c>
      <c r="U144" s="44">
        <v>0</v>
      </c>
      <c r="V144" s="44">
        <v>0</v>
      </c>
      <c r="W144" s="44">
        <v>1</v>
      </c>
      <c r="X144" s="44">
        <v>0</v>
      </c>
      <c r="Y144" s="44">
        <v>1</v>
      </c>
      <c r="Z144" s="44">
        <v>0</v>
      </c>
      <c r="AA144" s="44">
        <v>1</v>
      </c>
      <c r="AB144" s="44">
        <v>0</v>
      </c>
      <c r="AC144" s="44">
        <v>1</v>
      </c>
      <c r="AD144" s="39">
        <v>0</v>
      </c>
    </row>
    <row r="145" spans="1:30" x14ac:dyDescent="0.35">
      <c r="A145" s="27" t="s">
        <v>20</v>
      </c>
      <c r="B145" s="28">
        <v>25</v>
      </c>
      <c r="C145" s="28" t="s">
        <v>10</v>
      </c>
      <c r="D145" s="29" t="s">
        <v>11</v>
      </c>
      <c r="E145" s="29" t="s">
        <v>11</v>
      </c>
      <c r="F145" s="29" t="s">
        <v>11</v>
      </c>
      <c r="G145" s="38">
        <v>818</v>
      </c>
      <c r="H145" s="44">
        <v>0</v>
      </c>
      <c r="I145" s="44">
        <v>0</v>
      </c>
      <c r="J145" s="44">
        <v>0</v>
      </c>
      <c r="K145" s="44">
        <v>0</v>
      </c>
      <c r="L145" s="44">
        <v>0</v>
      </c>
      <c r="M145" s="44">
        <v>1</v>
      </c>
      <c r="N145" s="44">
        <v>0</v>
      </c>
      <c r="O145" s="44">
        <v>0</v>
      </c>
      <c r="P145" s="44">
        <v>0</v>
      </c>
      <c r="Q145" s="44">
        <v>0</v>
      </c>
      <c r="R145" s="44">
        <v>0</v>
      </c>
      <c r="S145" s="44">
        <v>0</v>
      </c>
      <c r="T145" s="44">
        <v>0</v>
      </c>
      <c r="U145" s="44">
        <v>0</v>
      </c>
      <c r="V145" s="44">
        <v>0</v>
      </c>
      <c r="W145" s="44">
        <v>0</v>
      </c>
      <c r="X145" s="44">
        <v>1</v>
      </c>
      <c r="Y145" s="44">
        <v>1</v>
      </c>
      <c r="Z145" s="44">
        <v>0</v>
      </c>
      <c r="AA145" s="44">
        <v>1</v>
      </c>
      <c r="AB145" s="44">
        <v>0</v>
      </c>
      <c r="AC145" s="44">
        <v>1</v>
      </c>
      <c r="AD145" s="39">
        <v>0</v>
      </c>
    </row>
    <row r="146" spans="1:30" x14ac:dyDescent="0.35">
      <c r="A146" s="27" t="s">
        <v>20</v>
      </c>
      <c r="B146" s="28">
        <v>26</v>
      </c>
      <c r="C146" s="28" t="s">
        <v>12</v>
      </c>
      <c r="D146" s="29" t="s">
        <v>11</v>
      </c>
      <c r="E146" s="29" t="s">
        <v>11</v>
      </c>
      <c r="F146" s="29" t="s">
        <v>11</v>
      </c>
      <c r="G146" s="38">
        <v>822</v>
      </c>
      <c r="H146" s="44">
        <v>0</v>
      </c>
      <c r="I146" s="44">
        <v>0</v>
      </c>
      <c r="J146" s="44">
        <v>0</v>
      </c>
      <c r="K146" s="44">
        <v>0</v>
      </c>
      <c r="L146" s="44">
        <v>0</v>
      </c>
      <c r="M146" s="44">
        <v>1</v>
      </c>
      <c r="N146" s="44">
        <v>0</v>
      </c>
      <c r="O146" s="44">
        <v>0</v>
      </c>
      <c r="P146" s="44">
        <v>0</v>
      </c>
      <c r="Q146" s="44">
        <v>0</v>
      </c>
      <c r="R146" s="44">
        <v>0</v>
      </c>
      <c r="S146" s="44">
        <v>0</v>
      </c>
      <c r="T146" s="44">
        <v>0</v>
      </c>
      <c r="U146" s="44">
        <v>0</v>
      </c>
      <c r="V146" s="44">
        <v>1</v>
      </c>
      <c r="W146" s="44">
        <v>0</v>
      </c>
      <c r="X146" s="44">
        <v>0</v>
      </c>
      <c r="Y146" s="44">
        <v>1</v>
      </c>
      <c r="Z146" s="44">
        <v>0</v>
      </c>
      <c r="AA146" s="44">
        <v>1</v>
      </c>
      <c r="AB146" s="44">
        <v>0</v>
      </c>
      <c r="AC146" s="44">
        <v>1</v>
      </c>
      <c r="AD146" s="39">
        <v>0</v>
      </c>
    </row>
    <row r="147" spans="1:30" x14ac:dyDescent="0.35">
      <c r="A147" s="27" t="s">
        <v>20</v>
      </c>
      <c r="B147" s="28">
        <v>27</v>
      </c>
      <c r="C147" s="28" t="s">
        <v>13</v>
      </c>
      <c r="D147" s="29" t="s">
        <v>11</v>
      </c>
      <c r="E147" s="29" t="s">
        <v>11</v>
      </c>
      <c r="F147" s="29" t="s">
        <v>11</v>
      </c>
      <c r="G147" s="38">
        <v>1278</v>
      </c>
      <c r="H147" s="44">
        <v>0</v>
      </c>
      <c r="I147" s="44">
        <v>0</v>
      </c>
      <c r="J147" s="44">
        <v>0</v>
      </c>
      <c r="K147" s="44">
        <v>0</v>
      </c>
      <c r="L147" s="44">
        <v>0</v>
      </c>
      <c r="M147" s="44">
        <v>1</v>
      </c>
      <c r="N147" s="44">
        <v>0</v>
      </c>
      <c r="O147" s="44">
        <v>0</v>
      </c>
      <c r="P147" s="44">
        <v>0</v>
      </c>
      <c r="Q147" s="44">
        <v>0</v>
      </c>
      <c r="R147" s="44">
        <v>0</v>
      </c>
      <c r="S147" s="44">
        <v>0</v>
      </c>
      <c r="T147" s="44">
        <v>1</v>
      </c>
      <c r="U147" s="44">
        <v>0</v>
      </c>
      <c r="V147" s="44">
        <v>0</v>
      </c>
      <c r="W147" s="44">
        <v>0</v>
      </c>
      <c r="X147" s="44">
        <v>0</v>
      </c>
      <c r="Y147" s="44">
        <v>1</v>
      </c>
      <c r="Z147" s="44">
        <v>0</v>
      </c>
      <c r="AA147" s="44">
        <v>1</v>
      </c>
      <c r="AB147" s="44">
        <v>0</v>
      </c>
      <c r="AC147" s="44">
        <v>1</v>
      </c>
      <c r="AD147" s="39">
        <v>0</v>
      </c>
    </row>
    <row r="148" spans="1:30" x14ac:dyDescent="0.35">
      <c r="A148" s="27" t="s">
        <v>20</v>
      </c>
      <c r="B148" s="28">
        <v>30</v>
      </c>
      <c r="C148" s="28" t="s">
        <v>14</v>
      </c>
      <c r="D148" s="29" t="s">
        <v>11</v>
      </c>
      <c r="E148" s="29" t="s">
        <v>11</v>
      </c>
      <c r="F148" s="29" t="s">
        <v>11</v>
      </c>
      <c r="G148" s="38">
        <v>1184</v>
      </c>
      <c r="H148" s="44">
        <v>0</v>
      </c>
      <c r="I148" s="44">
        <v>0</v>
      </c>
      <c r="J148" s="44">
        <v>0</v>
      </c>
      <c r="K148" s="44">
        <v>0</v>
      </c>
      <c r="L148" s="44">
        <v>0</v>
      </c>
      <c r="M148" s="44">
        <v>1</v>
      </c>
      <c r="N148" s="44">
        <v>0</v>
      </c>
      <c r="O148" s="44">
        <v>0</v>
      </c>
      <c r="P148" s="44">
        <v>0</v>
      </c>
      <c r="Q148" s="44">
        <v>0</v>
      </c>
      <c r="R148" s="44">
        <v>0</v>
      </c>
      <c r="S148" s="44">
        <v>0</v>
      </c>
      <c r="T148" s="44">
        <v>0</v>
      </c>
      <c r="U148" s="44">
        <v>1</v>
      </c>
      <c r="V148" s="44">
        <v>0</v>
      </c>
      <c r="W148" s="44">
        <v>0</v>
      </c>
      <c r="X148" s="44">
        <v>0</v>
      </c>
      <c r="Y148" s="44">
        <v>1</v>
      </c>
      <c r="Z148" s="44">
        <v>0</v>
      </c>
      <c r="AA148" s="44">
        <v>1</v>
      </c>
      <c r="AB148" s="44">
        <v>0</v>
      </c>
      <c r="AC148" s="44">
        <v>1</v>
      </c>
      <c r="AD148" s="39">
        <v>0</v>
      </c>
    </row>
    <row r="149" spans="1:30" x14ac:dyDescent="0.35">
      <c r="A149" s="27" t="s">
        <v>20</v>
      </c>
      <c r="B149" s="28">
        <v>31</v>
      </c>
      <c r="C149" s="28" t="s">
        <v>8</v>
      </c>
      <c r="D149" s="29" t="s">
        <v>11</v>
      </c>
      <c r="E149" s="29" t="s">
        <v>11</v>
      </c>
      <c r="F149" s="29" t="s">
        <v>11</v>
      </c>
      <c r="G149" s="38">
        <v>989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1</v>
      </c>
      <c r="N149" s="44">
        <v>0</v>
      </c>
      <c r="O149" s="44">
        <v>0</v>
      </c>
      <c r="P149" s="44">
        <v>0</v>
      </c>
      <c r="Q149" s="44">
        <v>0</v>
      </c>
      <c r="R149" s="44">
        <v>0</v>
      </c>
      <c r="S149" s="44">
        <v>0</v>
      </c>
      <c r="T149" s="44">
        <v>0</v>
      </c>
      <c r="U149" s="44">
        <v>0</v>
      </c>
      <c r="V149" s="44">
        <v>0</v>
      </c>
      <c r="W149" s="44">
        <v>1</v>
      </c>
      <c r="X149" s="44">
        <v>0</v>
      </c>
      <c r="Y149" s="44">
        <v>1</v>
      </c>
      <c r="Z149" s="44">
        <v>0</v>
      </c>
      <c r="AA149" s="44">
        <v>1</v>
      </c>
      <c r="AB149" s="44">
        <v>0</v>
      </c>
      <c r="AC149" s="44">
        <v>1</v>
      </c>
      <c r="AD149" s="39">
        <v>0</v>
      </c>
    </row>
    <row r="150" spans="1:30" x14ac:dyDescent="0.35">
      <c r="A150" s="27" t="s">
        <v>21</v>
      </c>
      <c r="B150" s="28">
        <v>1</v>
      </c>
      <c r="C150" s="28" t="s">
        <v>10</v>
      </c>
      <c r="D150" s="29" t="s">
        <v>11</v>
      </c>
      <c r="E150" s="29" t="s">
        <v>11</v>
      </c>
      <c r="F150" s="29" t="s">
        <v>11</v>
      </c>
      <c r="G150" s="38">
        <v>1506</v>
      </c>
      <c r="H150" s="44">
        <v>0</v>
      </c>
      <c r="I150" s="44">
        <v>1</v>
      </c>
      <c r="J150" s="44">
        <v>0</v>
      </c>
      <c r="K150" s="44">
        <v>0</v>
      </c>
      <c r="L150" s="44">
        <v>0</v>
      </c>
      <c r="M150" s="44">
        <v>0</v>
      </c>
      <c r="N150" s="44">
        <v>0</v>
      </c>
      <c r="O150" s="44">
        <v>0</v>
      </c>
      <c r="P150" s="44">
        <v>0</v>
      </c>
      <c r="Q150" s="44">
        <v>0</v>
      </c>
      <c r="R150" s="44">
        <v>0</v>
      </c>
      <c r="S150" s="44">
        <v>0</v>
      </c>
      <c r="T150" s="44">
        <v>0</v>
      </c>
      <c r="U150" s="44">
        <v>0</v>
      </c>
      <c r="V150" s="44">
        <v>0</v>
      </c>
      <c r="W150" s="44">
        <v>0</v>
      </c>
      <c r="X150" s="44">
        <v>1</v>
      </c>
      <c r="Y150" s="44">
        <v>1</v>
      </c>
      <c r="Z150" s="44">
        <v>0</v>
      </c>
      <c r="AA150" s="44">
        <v>1</v>
      </c>
      <c r="AB150" s="44">
        <v>0</v>
      </c>
      <c r="AC150" s="44">
        <v>1</v>
      </c>
      <c r="AD150" s="39">
        <v>0</v>
      </c>
    </row>
    <row r="151" spans="1:30" x14ac:dyDescent="0.35">
      <c r="A151" s="27" t="s">
        <v>21</v>
      </c>
      <c r="B151" s="28">
        <v>2</v>
      </c>
      <c r="C151" s="28" t="s">
        <v>12</v>
      </c>
      <c r="D151" s="29" t="s">
        <v>11</v>
      </c>
      <c r="E151" s="29" t="s">
        <v>11</v>
      </c>
      <c r="F151" s="29" t="s">
        <v>11</v>
      </c>
      <c r="G151" s="38">
        <v>1155</v>
      </c>
      <c r="H151" s="44">
        <v>0</v>
      </c>
      <c r="I151" s="44">
        <v>1</v>
      </c>
      <c r="J151" s="44">
        <v>0</v>
      </c>
      <c r="K151" s="44">
        <v>0</v>
      </c>
      <c r="L151" s="44">
        <v>0</v>
      </c>
      <c r="M151" s="44">
        <v>0</v>
      </c>
      <c r="N151" s="44">
        <v>0</v>
      </c>
      <c r="O151" s="44">
        <v>0</v>
      </c>
      <c r="P151" s="44">
        <v>0</v>
      </c>
      <c r="Q151" s="44">
        <v>0</v>
      </c>
      <c r="R151" s="44">
        <v>0</v>
      </c>
      <c r="S151" s="44">
        <v>0</v>
      </c>
      <c r="T151" s="44">
        <v>0</v>
      </c>
      <c r="U151" s="44">
        <v>0</v>
      </c>
      <c r="V151" s="44">
        <v>1</v>
      </c>
      <c r="W151" s="44">
        <v>0</v>
      </c>
      <c r="X151" s="44">
        <v>0</v>
      </c>
      <c r="Y151" s="44">
        <v>1</v>
      </c>
      <c r="Z151" s="44">
        <v>0</v>
      </c>
      <c r="AA151" s="44">
        <v>1</v>
      </c>
      <c r="AB151" s="44">
        <v>0</v>
      </c>
      <c r="AC151" s="44">
        <v>1</v>
      </c>
      <c r="AD151" s="39">
        <v>0</v>
      </c>
    </row>
    <row r="152" spans="1:30" x14ac:dyDescent="0.35">
      <c r="A152" s="27" t="s">
        <v>21</v>
      </c>
      <c r="B152" s="28">
        <v>3</v>
      </c>
      <c r="C152" s="28" t="s">
        <v>13</v>
      </c>
      <c r="D152" s="29" t="s">
        <v>9</v>
      </c>
      <c r="E152" s="29" t="s">
        <v>11</v>
      </c>
      <c r="F152" s="29" t="s">
        <v>11</v>
      </c>
      <c r="G152" s="38">
        <v>1889</v>
      </c>
      <c r="H152" s="44">
        <v>0</v>
      </c>
      <c r="I152" s="44">
        <v>1</v>
      </c>
      <c r="J152" s="44">
        <v>0</v>
      </c>
      <c r="K152" s="44">
        <v>0</v>
      </c>
      <c r="L152" s="44">
        <v>0</v>
      </c>
      <c r="M152" s="44">
        <v>0</v>
      </c>
      <c r="N152" s="44">
        <v>0</v>
      </c>
      <c r="O152" s="44">
        <v>0</v>
      </c>
      <c r="P152" s="44">
        <v>0</v>
      </c>
      <c r="Q152" s="44">
        <v>0</v>
      </c>
      <c r="R152" s="44">
        <v>0</v>
      </c>
      <c r="S152" s="44">
        <v>0</v>
      </c>
      <c r="T152" s="44">
        <v>1</v>
      </c>
      <c r="U152" s="44">
        <v>0</v>
      </c>
      <c r="V152" s="44">
        <v>0</v>
      </c>
      <c r="W152" s="44">
        <v>0</v>
      </c>
      <c r="X152" s="44">
        <v>0</v>
      </c>
      <c r="Y152" s="44">
        <v>0</v>
      </c>
      <c r="Z152" s="44">
        <v>1</v>
      </c>
      <c r="AA152" s="44">
        <v>1</v>
      </c>
      <c r="AB152" s="44">
        <v>0</v>
      </c>
      <c r="AC152" s="44">
        <v>1</v>
      </c>
      <c r="AD152" s="39">
        <v>0</v>
      </c>
    </row>
    <row r="153" spans="1:30" x14ac:dyDescent="0.35">
      <c r="A153" s="27" t="s">
        <v>21</v>
      </c>
      <c r="B153" s="28">
        <v>6</v>
      </c>
      <c r="C153" s="28" t="s">
        <v>14</v>
      </c>
      <c r="D153" s="29" t="s">
        <v>11</v>
      </c>
      <c r="E153" s="29" t="s">
        <v>11</v>
      </c>
      <c r="F153" s="29" t="s">
        <v>11</v>
      </c>
      <c r="G153" s="38">
        <v>1235</v>
      </c>
      <c r="H153" s="44">
        <v>0</v>
      </c>
      <c r="I153" s="44">
        <v>1</v>
      </c>
      <c r="J153" s="44">
        <v>0</v>
      </c>
      <c r="K153" s="44">
        <v>0</v>
      </c>
      <c r="L153" s="44">
        <v>0</v>
      </c>
      <c r="M153" s="44">
        <v>0</v>
      </c>
      <c r="N153" s="44">
        <v>0</v>
      </c>
      <c r="O153" s="44">
        <v>0</v>
      </c>
      <c r="P153" s="44">
        <v>0</v>
      </c>
      <c r="Q153" s="44">
        <v>0</v>
      </c>
      <c r="R153" s="44">
        <v>0</v>
      </c>
      <c r="S153" s="44">
        <v>0</v>
      </c>
      <c r="T153" s="44">
        <v>0</v>
      </c>
      <c r="U153" s="44">
        <v>1</v>
      </c>
      <c r="V153" s="44">
        <v>0</v>
      </c>
      <c r="W153" s="44">
        <v>0</v>
      </c>
      <c r="X153" s="44">
        <v>0</v>
      </c>
      <c r="Y153" s="44">
        <v>1</v>
      </c>
      <c r="Z153" s="44">
        <v>0</v>
      </c>
      <c r="AA153" s="44">
        <v>1</v>
      </c>
      <c r="AB153" s="44">
        <v>0</v>
      </c>
      <c r="AC153" s="44">
        <v>1</v>
      </c>
      <c r="AD153" s="39">
        <v>0</v>
      </c>
    </row>
    <row r="154" spans="1:30" x14ac:dyDescent="0.35">
      <c r="A154" s="27" t="s">
        <v>21</v>
      </c>
      <c r="B154" s="28">
        <v>7</v>
      </c>
      <c r="C154" s="28" t="s">
        <v>8</v>
      </c>
      <c r="D154" s="29" t="s">
        <v>11</v>
      </c>
      <c r="E154" s="29" t="s">
        <v>11</v>
      </c>
      <c r="F154" s="29" t="s">
        <v>11</v>
      </c>
      <c r="G154" s="38">
        <v>957</v>
      </c>
      <c r="H154" s="44">
        <v>0</v>
      </c>
      <c r="I154" s="44">
        <v>1</v>
      </c>
      <c r="J154" s="44">
        <v>0</v>
      </c>
      <c r="K154" s="44">
        <v>0</v>
      </c>
      <c r="L154" s="44">
        <v>0</v>
      </c>
      <c r="M154" s="44">
        <v>0</v>
      </c>
      <c r="N154" s="44">
        <v>0</v>
      </c>
      <c r="O154" s="44">
        <v>0</v>
      </c>
      <c r="P154" s="44">
        <v>0</v>
      </c>
      <c r="Q154" s="44">
        <v>0</v>
      </c>
      <c r="R154" s="44">
        <v>0</v>
      </c>
      <c r="S154" s="44">
        <v>0</v>
      </c>
      <c r="T154" s="44">
        <v>0</v>
      </c>
      <c r="U154" s="44">
        <v>0</v>
      </c>
      <c r="V154" s="44">
        <v>0</v>
      </c>
      <c r="W154" s="44">
        <v>1</v>
      </c>
      <c r="X154" s="44">
        <v>0</v>
      </c>
      <c r="Y154" s="44">
        <v>1</v>
      </c>
      <c r="Z154" s="44">
        <v>0</v>
      </c>
      <c r="AA154" s="44">
        <v>1</v>
      </c>
      <c r="AB154" s="44">
        <v>0</v>
      </c>
      <c r="AC154" s="44">
        <v>1</v>
      </c>
      <c r="AD154" s="39">
        <v>0</v>
      </c>
    </row>
    <row r="155" spans="1:30" x14ac:dyDescent="0.35">
      <c r="A155" s="27" t="s">
        <v>21</v>
      </c>
      <c r="B155" s="28">
        <v>8</v>
      </c>
      <c r="C155" s="28" t="s">
        <v>10</v>
      </c>
      <c r="D155" s="29" t="s">
        <v>11</v>
      </c>
      <c r="E155" s="29" t="s">
        <v>11</v>
      </c>
      <c r="F155" s="29" t="s">
        <v>11</v>
      </c>
      <c r="G155" s="38">
        <v>891</v>
      </c>
      <c r="H155" s="44">
        <v>0</v>
      </c>
      <c r="I155" s="44">
        <v>1</v>
      </c>
      <c r="J155" s="44">
        <v>0</v>
      </c>
      <c r="K155" s="44">
        <v>0</v>
      </c>
      <c r="L155" s="44">
        <v>0</v>
      </c>
      <c r="M155" s="44">
        <v>0</v>
      </c>
      <c r="N155" s="44">
        <v>0</v>
      </c>
      <c r="O155" s="44">
        <v>0</v>
      </c>
      <c r="P155" s="44">
        <v>0</v>
      </c>
      <c r="Q155" s="44">
        <v>0</v>
      </c>
      <c r="R155" s="44">
        <v>0</v>
      </c>
      <c r="S155" s="44">
        <v>0</v>
      </c>
      <c r="T155" s="44">
        <v>0</v>
      </c>
      <c r="U155" s="44">
        <v>0</v>
      </c>
      <c r="V155" s="44">
        <v>0</v>
      </c>
      <c r="W155" s="44">
        <v>0</v>
      </c>
      <c r="X155" s="44">
        <v>1</v>
      </c>
      <c r="Y155" s="44">
        <v>1</v>
      </c>
      <c r="Z155" s="44">
        <v>0</v>
      </c>
      <c r="AA155" s="44">
        <v>1</v>
      </c>
      <c r="AB155" s="44">
        <v>0</v>
      </c>
      <c r="AC155" s="44">
        <v>1</v>
      </c>
      <c r="AD155" s="39">
        <v>0</v>
      </c>
    </row>
    <row r="156" spans="1:30" x14ac:dyDescent="0.35">
      <c r="A156" s="27" t="s">
        <v>21</v>
      </c>
      <c r="B156" s="28">
        <v>9</v>
      </c>
      <c r="C156" s="28" t="s">
        <v>12</v>
      </c>
      <c r="D156" s="29" t="s">
        <v>11</v>
      </c>
      <c r="E156" s="29" t="s">
        <v>11</v>
      </c>
      <c r="F156" s="29" t="s">
        <v>11</v>
      </c>
      <c r="G156" s="38">
        <v>1067</v>
      </c>
      <c r="H156" s="44">
        <v>0</v>
      </c>
      <c r="I156" s="44">
        <v>1</v>
      </c>
      <c r="J156" s="44">
        <v>0</v>
      </c>
      <c r="K156" s="44">
        <v>0</v>
      </c>
      <c r="L156" s="44">
        <v>0</v>
      </c>
      <c r="M156" s="44">
        <v>0</v>
      </c>
      <c r="N156" s="44">
        <v>0</v>
      </c>
      <c r="O156" s="44">
        <v>0</v>
      </c>
      <c r="P156" s="44">
        <v>0</v>
      </c>
      <c r="Q156" s="44">
        <v>0</v>
      </c>
      <c r="R156" s="44">
        <v>0</v>
      </c>
      <c r="S156" s="44">
        <v>0</v>
      </c>
      <c r="T156" s="44">
        <v>0</v>
      </c>
      <c r="U156" s="44">
        <v>0</v>
      </c>
      <c r="V156" s="44">
        <v>1</v>
      </c>
      <c r="W156" s="44">
        <v>0</v>
      </c>
      <c r="X156" s="44">
        <v>0</v>
      </c>
      <c r="Y156" s="44">
        <v>1</v>
      </c>
      <c r="Z156" s="44">
        <v>0</v>
      </c>
      <c r="AA156" s="44">
        <v>1</v>
      </c>
      <c r="AB156" s="44">
        <v>0</v>
      </c>
      <c r="AC156" s="44">
        <v>1</v>
      </c>
      <c r="AD156" s="39">
        <v>0</v>
      </c>
    </row>
    <row r="157" spans="1:30" x14ac:dyDescent="0.35">
      <c r="A157" s="27" t="s">
        <v>21</v>
      </c>
      <c r="B157" s="28">
        <v>10</v>
      </c>
      <c r="C157" s="28" t="s">
        <v>13</v>
      </c>
      <c r="D157" s="29" t="s">
        <v>11</v>
      </c>
      <c r="E157" s="29" t="s">
        <v>11</v>
      </c>
      <c r="F157" s="29" t="s">
        <v>11</v>
      </c>
      <c r="G157" s="38">
        <v>1475</v>
      </c>
      <c r="H157" s="44">
        <v>0</v>
      </c>
      <c r="I157" s="44">
        <v>1</v>
      </c>
      <c r="J157" s="44">
        <v>0</v>
      </c>
      <c r="K157" s="44">
        <v>0</v>
      </c>
      <c r="L157" s="44">
        <v>0</v>
      </c>
      <c r="M157" s="44">
        <v>0</v>
      </c>
      <c r="N157" s="44">
        <v>0</v>
      </c>
      <c r="O157" s="44">
        <v>0</v>
      </c>
      <c r="P157" s="44">
        <v>0</v>
      </c>
      <c r="Q157" s="44">
        <v>0</v>
      </c>
      <c r="R157" s="44">
        <v>0</v>
      </c>
      <c r="S157" s="44">
        <v>0</v>
      </c>
      <c r="T157" s="44">
        <v>1</v>
      </c>
      <c r="U157" s="44">
        <v>0</v>
      </c>
      <c r="V157" s="44">
        <v>0</v>
      </c>
      <c r="W157" s="44">
        <v>0</v>
      </c>
      <c r="X157" s="44">
        <v>0</v>
      </c>
      <c r="Y157" s="44">
        <v>1</v>
      </c>
      <c r="Z157" s="44">
        <v>0</v>
      </c>
      <c r="AA157" s="44">
        <v>1</v>
      </c>
      <c r="AB157" s="44">
        <v>0</v>
      </c>
      <c r="AC157" s="44">
        <v>1</v>
      </c>
      <c r="AD157" s="39">
        <v>0</v>
      </c>
    </row>
    <row r="158" spans="1:30" x14ac:dyDescent="0.35">
      <c r="A158" s="27" t="s">
        <v>21</v>
      </c>
      <c r="B158" s="28">
        <v>13</v>
      </c>
      <c r="C158" s="28" t="s">
        <v>14</v>
      </c>
      <c r="D158" s="29" t="s">
        <v>11</v>
      </c>
      <c r="E158" s="29" t="s">
        <v>11</v>
      </c>
      <c r="F158" s="29" t="s">
        <v>11</v>
      </c>
      <c r="G158" s="38">
        <v>1051</v>
      </c>
      <c r="H158" s="44">
        <v>0</v>
      </c>
      <c r="I158" s="44">
        <v>1</v>
      </c>
      <c r="J158" s="44">
        <v>0</v>
      </c>
      <c r="K158" s="44">
        <v>0</v>
      </c>
      <c r="L158" s="44">
        <v>0</v>
      </c>
      <c r="M158" s="44">
        <v>0</v>
      </c>
      <c r="N158" s="44">
        <v>0</v>
      </c>
      <c r="O158" s="44">
        <v>0</v>
      </c>
      <c r="P158" s="44">
        <v>0</v>
      </c>
      <c r="Q158" s="44">
        <v>0</v>
      </c>
      <c r="R158" s="44">
        <v>0</v>
      </c>
      <c r="S158" s="44">
        <v>0</v>
      </c>
      <c r="T158" s="44">
        <v>0</v>
      </c>
      <c r="U158" s="44">
        <v>1</v>
      </c>
      <c r="V158" s="44">
        <v>0</v>
      </c>
      <c r="W158" s="44">
        <v>0</v>
      </c>
      <c r="X158" s="44">
        <v>0</v>
      </c>
      <c r="Y158" s="44">
        <v>1</v>
      </c>
      <c r="Z158" s="44">
        <v>0</v>
      </c>
      <c r="AA158" s="44">
        <v>1</v>
      </c>
      <c r="AB158" s="44">
        <v>0</v>
      </c>
      <c r="AC158" s="44">
        <v>1</v>
      </c>
      <c r="AD158" s="39">
        <v>0</v>
      </c>
    </row>
    <row r="159" spans="1:30" x14ac:dyDescent="0.35">
      <c r="A159" s="27" t="s">
        <v>21</v>
      </c>
      <c r="B159" s="28">
        <v>14</v>
      </c>
      <c r="C159" s="28" t="s">
        <v>8</v>
      </c>
      <c r="D159" s="29" t="s">
        <v>11</v>
      </c>
      <c r="E159" s="29" t="s">
        <v>11</v>
      </c>
      <c r="F159" s="29" t="s">
        <v>11</v>
      </c>
      <c r="G159" s="38">
        <v>742</v>
      </c>
      <c r="H159" s="44">
        <v>0</v>
      </c>
      <c r="I159" s="44">
        <v>1</v>
      </c>
      <c r="J159" s="44">
        <v>0</v>
      </c>
      <c r="K159" s="44">
        <v>0</v>
      </c>
      <c r="L159" s="44">
        <v>0</v>
      </c>
      <c r="M159" s="44">
        <v>0</v>
      </c>
      <c r="N159" s="44">
        <v>0</v>
      </c>
      <c r="O159" s="44">
        <v>0</v>
      </c>
      <c r="P159" s="44">
        <v>0</v>
      </c>
      <c r="Q159" s="44">
        <v>0</v>
      </c>
      <c r="R159" s="44">
        <v>0</v>
      </c>
      <c r="S159" s="44">
        <v>0</v>
      </c>
      <c r="T159" s="44">
        <v>0</v>
      </c>
      <c r="U159" s="44">
        <v>0</v>
      </c>
      <c r="V159" s="44">
        <v>0</v>
      </c>
      <c r="W159" s="44">
        <v>1</v>
      </c>
      <c r="X159" s="44">
        <v>0</v>
      </c>
      <c r="Y159" s="44">
        <v>1</v>
      </c>
      <c r="Z159" s="44">
        <v>0</v>
      </c>
      <c r="AA159" s="44">
        <v>1</v>
      </c>
      <c r="AB159" s="44">
        <v>0</v>
      </c>
      <c r="AC159" s="44">
        <v>1</v>
      </c>
      <c r="AD159" s="39">
        <v>0</v>
      </c>
    </row>
    <row r="160" spans="1:30" x14ac:dyDescent="0.35">
      <c r="A160" s="27" t="s">
        <v>21</v>
      </c>
      <c r="B160" s="28">
        <v>15</v>
      </c>
      <c r="C160" s="28" t="s">
        <v>10</v>
      </c>
      <c r="D160" s="29" t="s">
        <v>11</v>
      </c>
      <c r="E160" s="29" t="s">
        <v>11</v>
      </c>
      <c r="F160" s="29" t="s">
        <v>11</v>
      </c>
      <c r="G160" s="38">
        <v>903</v>
      </c>
      <c r="H160" s="44">
        <v>0</v>
      </c>
      <c r="I160" s="44">
        <v>1</v>
      </c>
      <c r="J160" s="44">
        <v>0</v>
      </c>
      <c r="K160" s="44">
        <v>0</v>
      </c>
      <c r="L160" s="44">
        <v>0</v>
      </c>
      <c r="M160" s="44">
        <v>0</v>
      </c>
      <c r="N160" s="44">
        <v>0</v>
      </c>
      <c r="O160" s="44">
        <v>0</v>
      </c>
      <c r="P160" s="44">
        <v>0</v>
      </c>
      <c r="Q160" s="44">
        <v>0</v>
      </c>
      <c r="R160" s="44">
        <v>0</v>
      </c>
      <c r="S160" s="44">
        <v>0</v>
      </c>
      <c r="T160" s="44">
        <v>0</v>
      </c>
      <c r="U160" s="44">
        <v>0</v>
      </c>
      <c r="V160" s="44">
        <v>0</v>
      </c>
      <c r="W160" s="44">
        <v>0</v>
      </c>
      <c r="X160" s="44">
        <v>1</v>
      </c>
      <c r="Y160" s="44">
        <v>1</v>
      </c>
      <c r="Z160" s="44">
        <v>0</v>
      </c>
      <c r="AA160" s="44">
        <v>1</v>
      </c>
      <c r="AB160" s="44">
        <v>0</v>
      </c>
      <c r="AC160" s="44">
        <v>1</v>
      </c>
      <c r="AD160" s="39">
        <v>0</v>
      </c>
    </row>
    <row r="161" spans="1:30" x14ac:dyDescent="0.35">
      <c r="A161" s="27" t="s">
        <v>21</v>
      </c>
      <c r="B161" s="28">
        <v>16</v>
      </c>
      <c r="C161" s="28" t="s">
        <v>12</v>
      </c>
      <c r="D161" s="29" t="s">
        <v>11</v>
      </c>
      <c r="E161" s="29" t="s">
        <v>11</v>
      </c>
      <c r="F161" s="29" t="s">
        <v>11</v>
      </c>
      <c r="G161" s="38">
        <v>793</v>
      </c>
      <c r="H161" s="44">
        <v>0</v>
      </c>
      <c r="I161" s="44">
        <v>1</v>
      </c>
      <c r="J161" s="44">
        <v>0</v>
      </c>
      <c r="K161" s="44">
        <v>0</v>
      </c>
      <c r="L161" s="44">
        <v>0</v>
      </c>
      <c r="M161" s="44">
        <v>0</v>
      </c>
      <c r="N161" s="44">
        <v>0</v>
      </c>
      <c r="O161" s="44">
        <v>0</v>
      </c>
      <c r="P161" s="44">
        <v>0</v>
      </c>
      <c r="Q161" s="44">
        <v>0</v>
      </c>
      <c r="R161" s="44">
        <v>0</v>
      </c>
      <c r="S161" s="44">
        <v>0</v>
      </c>
      <c r="T161" s="44">
        <v>0</v>
      </c>
      <c r="U161" s="44">
        <v>0</v>
      </c>
      <c r="V161" s="44">
        <v>1</v>
      </c>
      <c r="W161" s="44">
        <v>0</v>
      </c>
      <c r="X161" s="44">
        <v>0</v>
      </c>
      <c r="Y161" s="44">
        <v>1</v>
      </c>
      <c r="Z161" s="44">
        <v>0</v>
      </c>
      <c r="AA161" s="44">
        <v>1</v>
      </c>
      <c r="AB161" s="44">
        <v>0</v>
      </c>
      <c r="AC161" s="44">
        <v>1</v>
      </c>
      <c r="AD161" s="39">
        <v>0</v>
      </c>
    </row>
    <row r="162" spans="1:30" x14ac:dyDescent="0.35">
      <c r="A162" s="27" t="s">
        <v>21</v>
      </c>
      <c r="B162" s="28">
        <v>17</v>
      </c>
      <c r="C162" s="28" t="s">
        <v>13</v>
      </c>
      <c r="D162" s="29" t="s">
        <v>9</v>
      </c>
      <c r="E162" s="29" t="s">
        <v>11</v>
      </c>
      <c r="F162" s="29" t="s">
        <v>11</v>
      </c>
      <c r="G162" s="38">
        <v>1515</v>
      </c>
      <c r="H162" s="44">
        <v>0</v>
      </c>
      <c r="I162" s="44">
        <v>1</v>
      </c>
      <c r="J162" s="44">
        <v>0</v>
      </c>
      <c r="K162" s="44">
        <v>0</v>
      </c>
      <c r="L162" s="44">
        <v>0</v>
      </c>
      <c r="M162" s="44">
        <v>0</v>
      </c>
      <c r="N162" s="44">
        <v>0</v>
      </c>
      <c r="O162" s="44">
        <v>0</v>
      </c>
      <c r="P162" s="44">
        <v>0</v>
      </c>
      <c r="Q162" s="44">
        <v>0</v>
      </c>
      <c r="R162" s="44">
        <v>0</v>
      </c>
      <c r="S162" s="44">
        <v>0</v>
      </c>
      <c r="T162" s="44">
        <v>1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1</v>
      </c>
      <c r="AA162" s="44">
        <v>1</v>
      </c>
      <c r="AB162" s="44">
        <v>0</v>
      </c>
      <c r="AC162" s="44">
        <v>1</v>
      </c>
      <c r="AD162" s="39">
        <v>0</v>
      </c>
    </row>
    <row r="163" spans="1:30" x14ac:dyDescent="0.35">
      <c r="A163" s="27" t="s">
        <v>21</v>
      </c>
      <c r="B163" s="28">
        <v>20</v>
      </c>
      <c r="C163" s="28" t="s">
        <v>14</v>
      </c>
      <c r="D163" s="29" t="s">
        <v>11</v>
      </c>
      <c r="E163" s="29" t="s">
        <v>11</v>
      </c>
      <c r="F163" s="29" t="s">
        <v>11</v>
      </c>
      <c r="G163" s="38">
        <v>1127</v>
      </c>
      <c r="H163" s="44">
        <v>0</v>
      </c>
      <c r="I163" s="44">
        <v>1</v>
      </c>
      <c r="J163" s="44">
        <v>0</v>
      </c>
      <c r="K163" s="44">
        <v>0</v>
      </c>
      <c r="L163" s="44">
        <v>0</v>
      </c>
      <c r="M163" s="44">
        <v>0</v>
      </c>
      <c r="N163" s="44">
        <v>0</v>
      </c>
      <c r="O163" s="44">
        <v>0</v>
      </c>
      <c r="P163" s="44">
        <v>0</v>
      </c>
      <c r="Q163" s="44">
        <v>0</v>
      </c>
      <c r="R163" s="44">
        <v>0</v>
      </c>
      <c r="S163" s="44">
        <v>0</v>
      </c>
      <c r="T163" s="44">
        <v>0</v>
      </c>
      <c r="U163" s="44">
        <v>1</v>
      </c>
      <c r="V163" s="44">
        <v>0</v>
      </c>
      <c r="W163" s="44">
        <v>0</v>
      </c>
      <c r="X163" s="44">
        <v>0</v>
      </c>
      <c r="Y163" s="44">
        <v>1</v>
      </c>
      <c r="Z163" s="44">
        <v>0</v>
      </c>
      <c r="AA163" s="44">
        <v>1</v>
      </c>
      <c r="AB163" s="44">
        <v>0</v>
      </c>
      <c r="AC163" s="44">
        <v>1</v>
      </c>
      <c r="AD163" s="39">
        <v>0</v>
      </c>
    </row>
    <row r="164" spans="1:30" x14ac:dyDescent="0.35">
      <c r="A164" s="27" t="s">
        <v>21</v>
      </c>
      <c r="B164" s="28">
        <v>21</v>
      </c>
      <c r="C164" s="28" t="s">
        <v>8</v>
      </c>
      <c r="D164" s="29" t="s">
        <v>11</v>
      </c>
      <c r="E164" s="29" t="s">
        <v>11</v>
      </c>
      <c r="F164" s="29" t="s">
        <v>11</v>
      </c>
      <c r="G164" s="38">
        <v>860</v>
      </c>
      <c r="H164" s="44">
        <v>0</v>
      </c>
      <c r="I164" s="44">
        <v>1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0</v>
      </c>
      <c r="S164" s="44">
        <v>0</v>
      </c>
      <c r="T164" s="44">
        <v>0</v>
      </c>
      <c r="U164" s="44">
        <v>0</v>
      </c>
      <c r="V164" s="44">
        <v>0</v>
      </c>
      <c r="W164" s="44">
        <v>1</v>
      </c>
      <c r="X164" s="44">
        <v>0</v>
      </c>
      <c r="Y164" s="44">
        <v>1</v>
      </c>
      <c r="Z164" s="44">
        <v>0</v>
      </c>
      <c r="AA164" s="44">
        <v>1</v>
      </c>
      <c r="AB164" s="44">
        <v>0</v>
      </c>
      <c r="AC164" s="44">
        <v>1</v>
      </c>
      <c r="AD164" s="39">
        <v>0</v>
      </c>
    </row>
    <row r="165" spans="1:30" x14ac:dyDescent="0.35">
      <c r="A165" s="27" t="s">
        <v>21</v>
      </c>
      <c r="B165" s="28">
        <v>22</v>
      </c>
      <c r="C165" s="28" t="s">
        <v>10</v>
      </c>
      <c r="D165" s="29" t="s">
        <v>11</v>
      </c>
      <c r="E165" s="29" t="s">
        <v>11</v>
      </c>
      <c r="F165" s="29" t="s">
        <v>11</v>
      </c>
      <c r="G165" s="38">
        <v>778</v>
      </c>
      <c r="H165" s="44">
        <v>0</v>
      </c>
      <c r="I165" s="44">
        <v>1</v>
      </c>
      <c r="J165" s="44">
        <v>0</v>
      </c>
      <c r="K165" s="44">
        <v>0</v>
      </c>
      <c r="L165" s="44">
        <v>0</v>
      </c>
      <c r="M165" s="44">
        <v>0</v>
      </c>
      <c r="N165" s="44">
        <v>0</v>
      </c>
      <c r="O165" s="44">
        <v>0</v>
      </c>
      <c r="P165" s="44">
        <v>0</v>
      </c>
      <c r="Q165" s="44">
        <v>0</v>
      </c>
      <c r="R165" s="44">
        <v>0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1</v>
      </c>
      <c r="Y165" s="44">
        <v>1</v>
      </c>
      <c r="Z165" s="44">
        <v>0</v>
      </c>
      <c r="AA165" s="44">
        <v>1</v>
      </c>
      <c r="AB165" s="44">
        <v>0</v>
      </c>
      <c r="AC165" s="44">
        <v>1</v>
      </c>
      <c r="AD165" s="39">
        <v>0</v>
      </c>
    </row>
    <row r="166" spans="1:30" x14ac:dyDescent="0.35">
      <c r="A166" s="27" t="s">
        <v>21</v>
      </c>
      <c r="B166" s="28">
        <v>23</v>
      </c>
      <c r="C166" s="28" t="s">
        <v>12</v>
      </c>
      <c r="D166" s="29" t="s">
        <v>11</v>
      </c>
      <c r="E166" s="29" t="s">
        <v>11</v>
      </c>
      <c r="F166" s="29" t="s">
        <v>11</v>
      </c>
      <c r="G166" s="38">
        <v>784</v>
      </c>
      <c r="H166" s="44">
        <v>0</v>
      </c>
      <c r="I166" s="44">
        <v>1</v>
      </c>
      <c r="J166" s="44">
        <v>0</v>
      </c>
      <c r="K166" s="44">
        <v>0</v>
      </c>
      <c r="L166" s="44">
        <v>0</v>
      </c>
      <c r="M166" s="44">
        <v>0</v>
      </c>
      <c r="N166" s="44">
        <v>0</v>
      </c>
      <c r="O166" s="44">
        <v>0</v>
      </c>
      <c r="P166" s="44">
        <v>0</v>
      </c>
      <c r="Q166" s="44">
        <v>0</v>
      </c>
      <c r="R166" s="44">
        <v>0</v>
      </c>
      <c r="S166" s="44">
        <v>0</v>
      </c>
      <c r="T166" s="44">
        <v>0</v>
      </c>
      <c r="U166" s="44">
        <v>0</v>
      </c>
      <c r="V166" s="44">
        <v>1</v>
      </c>
      <c r="W166" s="44">
        <v>0</v>
      </c>
      <c r="X166" s="44">
        <v>0</v>
      </c>
      <c r="Y166" s="44">
        <v>1</v>
      </c>
      <c r="Z166" s="44">
        <v>0</v>
      </c>
      <c r="AA166" s="44">
        <v>1</v>
      </c>
      <c r="AB166" s="44">
        <v>0</v>
      </c>
      <c r="AC166" s="44">
        <v>1</v>
      </c>
      <c r="AD166" s="39">
        <v>0</v>
      </c>
    </row>
    <row r="167" spans="1:30" x14ac:dyDescent="0.35">
      <c r="A167" s="27" t="s">
        <v>21</v>
      </c>
      <c r="B167" s="28">
        <v>24</v>
      </c>
      <c r="C167" s="28" t="s">
        <v>13</v>
      </c>
      <c r="D167" s="29" t="s">
        <v>11</v>
      </c>
      <c r="E167" s="29" t="s">
        <v>11</v>
      </c>
      <c r="F167" s="29" t="s">
        <v>11</v>
      </c>
      <c r="G167" s="38">
        <v>1060</v>
      </c>
      <c r="H167" s="44">
        <v>0</v>
      </c>
      <c r="I167" s="44">
        <v>1</v>
      </c>
      <c r="J167" s="44">
        <v>0</v>
      </c>
      <c r="K167" s="44">
        <v>0</v>
      </c>
      <c r="L167" s="44">
        <v>0</v>
      </c>
      <c r="M167" s="44">
        <v>0</v>
      </c>
      <c r="N167" s="44">
        <v>0</v>
      </c>
      <c r="O167" s="44">
        <v>0</v>
      </c>
      <c r="P167" s="44">
        <v>0</v>
      </c>
      <c r="Q167" s="44">
        <v>0</v>
      </c>
      <c r="R167" s="44">
        <v>0</v>
      </c>
      <c r="S167" s="44">
        <v>0</v>
      </c>
      <c r="T167" s="44">
        <v>1</v>
      </c>
      <c r="U167" s="44">
        <v>0</v>
      </c>
      <c r="V167" s="44">
        <v>0</v>
      </c>
      <c r="W167" s="44">
        <v>0</v>
      </c>
      <c r="X167" s="44">
        <v>0</v>
      </c>
      <c r="Y167" s="44">
        <v>1</v>
      </c>
      <c r="Z167" s="44">
        <v>0</v>
      </c>
      <c r="AA167" s="44">
        <v>1</v>
      </c>
      <c r="AB167" s="44">
        <v>0</v>
      </c>
      <c r="AC167" s="44">
        <v>1</v>
      </c>
      <c r="AD167" s="39">
        <v>0</v>
      </c>
    </row>
    <row r="168" spans="1:30" x14ac:dyDescent="0.35">
      <c r="A168" s="27" t="s">
        <v>21</v>
      </c>
      <c r="B168" s="28">
        <v>27</v>
      </c>
      <c r="C168" s="28" t="s">
        <v>14</v>
      </c>
      <c r="D168" s="29" t="s">
        <v>11</v>
      </c>
      <c r="E168" s="29" t="s">
        <v>11</v>
      </c>
      <c r="F168" s="29" t="s">
        <v>11</v>
      </c>
      <c r="G168" s="38">
        <v>930</v>
      </c>
      <c r="H168" s="44">
        <v>0</v>
      </c>
      <c r="I168" s="44">
        <v>1</v>
      </c>
      <c r="J168" s="44">
        <v>0</v>
      </c>
      <c r="K168" s="44">
        <v>0</v>
      </c>
      <c r="L168" s="44">
        <v>0</v>
      </c>
      <c r="M168" s="44">
        <v>0</v>
      </c>
      <c r="N168" s="44">
        <v>0</v>
      </c>
      <c r="O168" s="44">
        <v>0</v>
      </c>
      <c r="P168" s="44">
        <v>0</v>
      </c>
      <c r="Q168" s="44">
        <v>0</v>
      </c>
      <c r="R168" s="44">
        <v>0</v>
      </c>
      <c r="S168" s="44">
        <v>0</v>
      </c>
      <c r="T168" s="44">
        <v>0</v>
      </c>
      <c r="U168" s="44">
        <v>1</v>
      </c>
      <c r="V168" s="44">
        <v>0</v>
      </c>
      <c r="W168" s="44">
        <v>0</v>
      </c>
      <c r="X168" s="44">
        <v>0</v>
      </c>
      <c r="Y168" s="44">
        <v>1</v>
      </c>
      <c r="Z168" s="44">
        <v>0</v>
      </c>
      <c r="AA168" s="44">
        <v>1</v>
      </c>
      <c r="AB168" s="44">
        <v>0</v>
      </c>
      <c r="AC168" s="44">
        <v>1</v>
      </c>
      <c r="AD168" s="39">
        <v>0</v>
      </c>
    </row>
    <row r="169" spans="1:30" x14ac:dyDescent="0.35">
      <c r="A169" s="27" t="s">
        <v>21</v>
      </c>
      <c r="B169" s="28">
        <v>28</v>
      </c>
      <c r="C169" s="28" t="s">
        <v>8</v>
      </c>
      <c r="D169" s="29" t="s">
        <v>11</v>
      </c>
      <c r="E169" s="29" t="s">
        <v>11</v>
      </c>
      <c r="F169" s="29" t="s">
        <v>11</v>
      </c>
      <c r="G169" s="38">
        <v>738</v>
      </c>
      <c r="H169" s="44">
        <v>0</v>
      </c>
      <c r="I169" s="44">
        <v>1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0</v>
      </c>
      <c r="P169" s="44">
        <v>0</v>
      </c>
      <c r="Q169" s="44">
        <v>0</v>
      </c>
      <c r="R169" s="44">
        <v>0</v>
      </c>
      <c r="S169" s="44">
        <v>0</v>
      </c>
      <c r="T169" s="44">
        <v>0</v>
      </c>
      <c r="U169" s="44">
        <v>0</v>
      </c>
      <c r="V169" s="44">
        <v>0</v>
      </c>
      <c r="W169" s="44">
        <v>1</v>
      </c>
      <c r="X169" s="44">
        <v>0</v>
      </c>
      <c r="Y169" s="44">
        <v>1</v>
      </c>
      <c r="Z169" s="44">
        <v>0</v>
      </c>
      <c r="AA169" s="44">
        <v>1</v>
      </c>
      <c r="AB169" s="44">
        <v>0</v>
      </c>
      <c r="AC169" s="44">
        <v>1</v>
      </c>
      <c r="AD169" s="39">
        <v>0</v>
      </c>
    </row>
    <row r="170" spans="1:30" x14ac:dyDescent="0.35">
      <c r="A170" s="27" t="s">
        <v>21</v>
      </c>
      <c r="B170" s="28">
        <v>29</v>
      </c>
      <c r="C170" s="28" t="s">
        <v>10</v>
      </c>
      <c r="D170" s="29" t="s">
        <v>11</v>
      </c>
      <c r="E170" s="29" t="s">
        <v>11</v>
      </c>
      <c r="F170" s="29" t="s">
        <v>11</v>
      </c>
      <c r="G170" s="38">
        <v>660</v>
      </c>
      <c r="H170" s="44">
        <v>0</v>
      </c>
      <c r="I170" s="44">
        <v>1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0</v>
      </c>
      <c r="S170" s="44">
        <v>0</v>
      </c>
      <c r="T170" s="44">
        <v>0</v>
      </c>
      <c r="U170" s="44">
        <v>0</v>
      </c>
      <c r="V170" s="44">
        <v>0</v>
      </c>
      <c r="W170" s="44">
        <v>0</v>
      </c>
      <c r="X170" s="44">
        <v>1</v>
      </c>
      <c r="Y170" s="44">
        <v>1</v>
      </c>
      <c r="Z170" s="44">
        <v>0</v>
      </c>
      <c r="AA170" s="44">
        <v>1</v>
      </c>
      <c r="AB170" s="44">
        <v>0</v>
      </c>
      <c r="AC170" s="44">
        <v>1</v>
      </c>
      <c r="AD170" s="39">
        <v>0</v>
      </c>
    </row>
    <row r="171" spans="1:30" x14ac:dyDescent="0.35">
      <c r="A171" s="27" t="s">
        <v>21</v>
      </c>
      <c r="B171" s="28">
        <v>30</v>
      </c>
      <c r="C171" s="28" t="s">
        <v>12</v>
      </c>
      <c r="D171" s="29" t="s">
        <v>11</v>
      </c>
      <c r="E171" s="29" t="s">
        <v>11</v>
      </c>
      <c r="F171" s="29" t="s">
        <v>11</v>
      </c>
      <c r="G171" s="38">
        <v>800</v>
      </c>
      <c r="H171" s="44">
        <v>0</v>
      </c>
      <c r="I171" s="44">
        <v>1</v>
      </c>
      <c r="J171" s="44">
        <v>0</v>
      </c>
      <c r="K171" s="44">
        <v>0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0</v>
      </c>
      <c r="S171" s="44">
        <v>0</v>
      </c>
      <c r="T171" s="44">
        <v>0</v>
      </c>
      <c r="U171" s="44">
        <v>0</v>
      </c>
      <c r="V171" s="44">
        <v>1</v>
      </c>
      <c r="W171" s="44">
        <v>0</v>
      </c>
      <c r="X171" s="44">
        <v>0</v>
      </c>
      <c r="Y171" s="44">
        <v>1</v>
      </c>
      <c r="Z171" s="44">
        <v>0</v>
      </c>
      <c r="AA171" s="44">
        <v>1</v>
      </c>
      <c r="AB171" s="44">
        <v>0</v>
      </c>
      <c r="AC171" s="44">
        <v>1</v>
      </c>
      <c r="AD171" s="39">
        <v>0</v>
      </c>
    </row>
    <row r="172" spans="1:30" x14ac:dyDescent="0.35">
      <c r="A172" s="27" t="s">
        <v>21</v>
      </c>
      <c r="B172" s="28">
        <v>31</v>
      </c>
      <c r="C172" s="28" t="s">
        <v>13</v>
      </c>
      <c r="D172" s="29" t="s">
        <v>9</v>
      </c>
      <c r="E172" s="29" t="s">
        <v>9</v>
      </c>
      <c r="F172" s="29" t="s">
        <v>9</v>
      </c>
      <c r="G172" s="38">
        <v>1897</v>
      </c>
      <c r="H172" s="44">
        <v>0</v>
      </c>
      <c r="I172" s="44">
        <v>1</v>
      </c>
      <c r="J172" s="44">
        <v>0</v>
      </c>
      <c r="K172" s="44">
        <v>0</v>
      </c>
      <c r="L172" s="44">
        <v>0</v>
      </c>
      <c r="M172" s="44">
        <v>0</v>
      </c>
      <c r="N172" s="44">
        <v>0</v>
      </c>
      <c r="O172" s="44">
        <v>0</v>
      </c>
      <c r="P172" s="44">
        <v>0</v>
      </c>
      <c r="Q172" s="44">
        <v>0</v>
      </c>
      <c r="R172" s="44">
        <v>0</v>
      </c>
      <c r="S172" s="44">
        <v>0</v>
      </c>
      <c r="T172" s="44">
        <v>1</v>
      </c>
      <c r="U172" s="44">
        <v>0</v>
      </c>
      <c r="V172" s="44">
        <v>0</v>
      </c>
      <c r="W172" s="44">
        <v>0</v>
      </c>
      <c r="X172" s="44">
        <v>0</v>
      </c>
      <c r="Y172" s="44">
        <v>0</v>
      </c>
      <c r="Z172" s="44">
        <v>1</v>
      </c>
      <c r="AA172" s="44">
        <v>0</v>
      </c>
      <c r="AB172" s="44">
        <v>1</v>
      </c>
      <c r="AC172" s="44">
        <v>0</v>
      </c>
      <c r="AD172" s="39">
        <v>1</v>
      </c>
    </row>
    <row r="173" spans="1:30" x14ac:dyDescent="0.35">
      <c r="A173" s="27" t="s">
        <v>22</v>
      </c>
      <c r="B173" s="28">
        <v>4</v>
      </c>
      <c r="C173" s="28" t="s">
        <v>8</v>
      </c>
      <c r="D173" s="29" t="s">
        <v>11</v>
      </c>
      <c r="E173" s="29" t="s">
        <v>11</v>
      </c>
      <c r="F173" s="29" t="s">
        <v>9</v>
      </c>
      <c r="G173" s="38">
        <v>1491</v>
      </c>
      <c r="H173" s="44">
        <v>0</v>
      </c>
      <c r="I173" s="44">
        <v>0</v>
      </c>
      <c r="J173" s="44">
        <v>0</v>
      </c>
      <c r="K173" s="44">
        <v>0</v>
      </c>
      <c r="L173" s="44">
        <v>0</v>
      </c>
      <c r="M173" s="44">
        <v>0</v>
      </c>
      <c r="N173" s="44">
        <v>0</v>
      </c>
      <c r="O173" s="44">
        <v>0</v>
      </c>
      <c r="P173" s="44">
        <v>0</v>
      </c>
      <c r="Q173" s="44">
        <v>0</v>
      </c>
      <c r="R173" s="44">
        <v>0</v>
      </c>
      <c r="S173" s="44">
        <v>1</v>
      </c>
      <c r="T173" s="44">
        <v>0</v>
      </c>
      <c r="U173" s="44">
        <v>0</v>
      </c>
      <c r="V173" s="44">
        <v>0</v>
      </c>
      <c r="W173" s="44">
        <v>1</v>
      </c>
      <c r="X173" s="44">
        <v>0</v>
      </c>
      <c r="Y173" s="44">
        <v>1</v>
      </c>
      <c r="Z173" s="44">
        <v>0</v>
      </c>
      <c r="AA173" s="44">
        <v>1</v>
      </c>
      <c r="AB173" s="44">
        <v>0</v>
      </c>
      <c r="AC173" s="44">
        <v>0</v>
      </c>
      <c r="AD173" s="39">
        <v>1</v>
      </c>
    </row>
    <row r="174" spans="1:30" x14ac:dyDescent="0.35">
      <c r="A174" s="27" t="s">
        <v>22</v>
      </c>
      <c r="B174" s="28">
        <v>5</v>
      </c>
      <c r="C174" s="28" t="s">
        <v>10</v>
      </c>
      <c r="D174" s="29" t="s">
        <v>11</v>
      </c>
      <c r="E174" s="29" t="s">
        <v>11</v>
      </c>
      <c r="F174" s="29" t="s">
        <v>11</v>
      </c>
      <c r="G174" s="38">
        <v>859</v>
      </c>
      <c r="H174" s="44">
        <v>0</v>
      </c>
      <c r="I174" s="44">
        <v>0</v>
      </c>
      <c r="J174" s="44">
        <v>0</v>
      </c>
      <c r="K174" s="44">
        <v>0</v>
      </c>
      <c r="L174" s="44">
        <v>0</v>
      </c>
      <c r="M174" s="44">
        <v>0</v>
      </c>
      <c r="N174" s="44">
        <v>0</v>
      </c>
      <c r="O174" s="44">
        <v>0</v>
      </c>
      <c r="P174" s="44">
        <v>0</v>
      </c>
      <c r="Q174" s="44">
        <v>0</v>
      </c>
      <c r="R174" s="44">
        <v>0</v>
      </c>
      <c r="S174" s="44">
        <v>1</v>
      </c>
      <c r="T174" s="44">
        <v>0</v>
      </c>
      <c r="U174" s="44">
        <v>0</v>
      </c>
      <c r="V174" s="44">
        <v>0</v>
      </c>
      <c r="W174" s="44">
        <v>0</v>
      </c>
      <c r="X174" s="44">
        <v>1</v>
      </c>
      <c r="Y174" s="44">
        <v>1</v>
      </c>
      <c r="Z174" s="44">
        <v>0</v>
      </c>
      <c r="AA174" s="44">
        <v>1</v>
      </c>
      <c r="AB174" s="44">
        <v>0</v>
      </c>
      <c r="AC174" s="44">
        <v>1</v>
      </c>
      <c r="AD174" s="39">
        <v>0</v>
      </c>
    </row>
    <row r="175" spans="1:30" x14ac:dyDescent="0.35">
      <c r="A175" s="27" t="s">
        <v>22</v>
      </c>
      <c r="B175" s="28">
        <v>6</v>
      </c>
      <c r="C175" s="28" t="s">
        <v>12</v>
      </c>
      <c r="D175" s="29" t="s">
        <v>11</v>
      </c>
      <c r="E175" s="29" t="s">
        <v>11</v>
      </c>
      <c r="F175" s="29" t="s">
        <v>11</v>
      </c>
      <c r="G175" s="38">
        <v>810</v>
      </c>
      <c r="H175" s="44">
        <v>0</v>
      </c>
      <c r="I175" s="44">
        <v>0</v>
      </c>
      <c r="J175" s="44">
        <v>0</v>
      </c>
      <c r="K175" s="44">
        <v>0</v>
      </c>
      <c r="L175" s="44">
        <v>0</v>
      </c>
      <c r="M175" s="44">
        <v>0</v>
      </c>
      <c r="N175" s="44">
        <v>0</v>
      </c>
      <c r="O175" s="44">
        <v>0</v>
      </c>
      <c r="P175" s="44">
        <v>0</v>
      </c>
      <c r="Q175" s="44">
        <v>0</v>
      </c>
      <c r="R175" s="44">
        <v>0</v>
      </c>
      <c r="S175" s="44">
        <v>1</v>
      </c>
      <c r="T175" s="44">
        <v>0</v>
      </c>
      <c r="U175" s="44">
        <v>0</v>
      </c>
      <c r="V175" s="44">
        <v>1</v>
      </c>
      <c r="W175" s="44">
        <v>0</v>
      </c>
      <c r="X175" s="44">
        <v>0</v>
      </c>
      <c r="Y175" s="44">
        <v>1</v>
      </c>
      <c r="Z175" s="44">
        <v>0</v>
      </c>
      <c r="AA175" s="44">
        <v>1</v>
      </c>
      <c r="AB175" s="44">
        <v>0</v>
      </c>
      <c r="AC175" s="44">
        <v>1</v>
      </c>
      <c r="AD175" s="39">
        <v>0</v>
      </c>
    </row>
    <row r="176" spans="1:30" x14ac:dyDescent="0.35">
      <c r="A176" s="27" t="s">
        <v>22</v>
      </c>
      <c r="B176" s="28">
        <v>7</v>
      </c>
      <c r="C176" s="28" t="s">
        <v>13</v>
      </c>
      <c r="D176" s="29" t="s">
        <v>11</v>
      </c>
      <c r="E176" s="29" t="s">
        <v>11</v>
      </c>
      <c r="F176" s="29" t="s">
        <v>11</v>
      </c>
      <c r="G176" s="38">
        <v>1173</v>
      </c>
      <c r="H176" s="44">
        <v>0</v>
      </c>
      <c r="I176" s="44">
        <v>0</v>
      </c>
      <c r="J176" s="44">
        <v>0</v>
      </c>
      <c r="K176" s="44">
        <v>0</v>
      </c>
      <c r="L176" s="44">
        <v>0</v>
      </c>
      <c r="M176" s="44">
        <v>0</v>
      </c>
      <c r="N176" s="44">
        <v>0</v>
      </c>
      <c r="O176" s="44">
        <v>0</v>
      </c>
      <c r="P176" s="44">
        <v>0</v>
      </c>
      <c r="Q176" s="44">
        <v>0</v>
      </c>
      <c r="R176" s="44">
        <v>0</v>
      </c>
      <c r="S176" s="44">
        <v>1</v>
      </c>
      <c r="T176" s="44">
        <v>1</v>
      </c>
      <c r="U176" s="44">
        <v>0</v>
      </c>
      <c r="V176" s="44">
        <v>0</v>
      </c>
      <c r="W176" s="44">
        <v>0</v>
      </c>
      <c r="X176" s="44">
        <v>0</v>
      </c>
      <c r="Y176" s="44">
        <v>1</v>
      </c>
      <c r="Z176" s="44">
        <v>0</v>
      </c>
      <c r="AA176" s="44">
        <v>1</v>
      </c>
      <c r="AB176" s="44">
        <v>0</v>
      </c>
      <c r="AC176" s="44">
        <v>1</v>
      </c>
      <c r="AD176" s="39">
        <v>0</v>
      </c>
    </row>
    <row r="177" spans="1:30" x14ac:dyDescent="0.35">
      <c r="A177" s="27" t="s">
        <v>22</v>
      </c>
      <c r="B177" s="28">
        <v>10</v>
      </c>
      <c r="C177" s="28" t="s">
        <v>14</v>
      </c>
      <c r="D177" s="29" t="s">
        <v>11</v>
      </c>
      <c r="E177" s="29" t="s">
        <v>11</v>
      </c>
      <c r="F177" s="29" t="s">
        <v>11</v>
      </c>
      <c r="G177" s="38">
        <v>929</v>
      </c>
      <c r="H177" s="44">
        <v>0</v>
      </c>
      <c r="I177" s="44">
        <v>0</v>
      </c>
      <c r="J177" s="44">
        <v>0</v>
      </c>
      <c r="K177" s="44">
        <v>0</v>
      </c>
      <c r="L177" s="44">
        <v>0</v>
      </c>
      <c r="M177" s="44">
        <v>0</v>
      </c>
      <c r="N177" s="44">
        <v>0</v>
      </c>
      <c r="O177" s="44">
        <v>0</v>
      </c>
      <c r="P177" s="44">
        <v>0</v>
      </c>
      <c r="Q177" s="44">
        <v>0</v>
      </c>
      <c r="R177" s="44">
        <v>0</v>
      </c>
      <c r="S177" s="44">
        <v>1</v>
      </c>
      <c r="T177" s="44">
        <v>0</v>
      </c>
      <c r="U177" s="44">
        <v>1</v>
      </c>
      <c r="V177" s="44">
        <v>0</v>
      </c>
      <c r="W177" s="44">
        <v>0</v>
      </c>
      <c r="X177" s="44">
        <v>0</v>
      </c>
      <c r="Y177" s="44">
        <v>1</v>
      </c>
      <c r="Z177" s="44">
        <v>0</v>
      </c>
      <c r="AA177" s="44">
        <v>1</v>
      </c>
      <c r="AB177" s="44">
        <v>0</v>
      </c>
      <c r="AC177" s="44">
        <v>1</v>
      </c>
      <c r="AD177" s="39">
        <v>0</v>
      </c>
    </row>
    <row r="178" spans="1:30" x14ac:dyDescent="0.35">
      <c r="A178" s="27" t="s">
        <v>22</v>
      </c>
      <c r="B178" s="28">
        <v>11</v>
      </c>
      <c r="C178" s="28" t="s">
        <v>8</v>
      </c>
      <c r="D178" s="29" t="s">
        <v>11</v>
      </c>
      <c r="E178" s="29" t="s">
        <v>11</v>
      </c>
      <c r="F178" s="29" t="s">
        <v>11</v>
      </c>
      <c r="G178" s="38">
        <v>701</v>
      </c>
      <c r="H178" s="44">
        <v>0</v>
      </c>
      <c r="I178" s="44">
        <v>0</v>
      </c>
      <c r="J178" s="44">
        <v>0</v>
      </c>
      <c r="K178" s="44">
        <v>0</v>
      </c>
      <c r="L178" s="44">
        <v>0</v>
      </c>
      <c r="M178" s="44">
        <v>0</v>
      </c>
      <c r="N178" s="44">
        <v>0</v>
      </c>
      <c r="O178" s="44">
        <v>0</v>
      </c>
      <c r="P178" s="44">
        <v>0</v>
      </c>
      <c r="Q178" s="44">
        <v>0</v>
      </c>
      <c r="R178" s="44">
        <v>0</v>
      </c>
      <c r="S178" s="44">
        <v>1</v>
      </c>
      <c r="T178" s="44">
        <v>0</v>
      </c>
      <c r="U178" s="44">
        <v>0</v>
      </c>
      <c r="V178" s="44">
        <v>0</v>
      </c>
      <c r="W178" s="44">
        <v>1</v>
      </c>
      <c r="X178" s="44">
        <v>0</v>
      </c>
      <c r="Y178" s="44">
        <v>1</v>
      </c>
      <c r="Z178" s="44">
        <v>0</v>
      </c>
      <c r="AA178" s="44">
        <v>1</v>
      </c>
      <c r="AB178" s="44">
        <v>0</v>
      </c>
      <c r="AC178" s="44">
        <v>1</v>
      </c>
      <c r="AD178" s="39">
        <v>0</v>
      </c>
    </row>
    <row r="179" spans="1:30" x14ac:dyDescent="0.35">
      <c r="A179" s="27" t="s">
        <v>22</v>
      </c>
      <c r="B179" s="28">
        <v>12</v>
      </c>
      <c r="C179" s="28" t="s">
        <v>10</v>
      </c>
      <c r="D179" s="29" t="s">
        <v>11</v>
      </c>
      <c r="E179" s="29" t="s">
        <v>11</v>
      </c>
      <c r="F179" s="29" t="s">
        <v>11</v>
      </c>
      <c r="G179" s="38">
        <v>647</v>
      </c>
      <c r="H179" s="44">
        <v>0</v>
      </c>
      <c r="I179" s="44">
        <v>0</v>
      </c>
      <c r="J179" s="44">
        <v>0</v>
      </c>
      <c r="K179" s="44">
        <v>0</v>
      </c>
      <c r="L179" s="44">
        <v>0</v>
      </c>
      <c r="M179" s="44">
        <v>0</v>
      </c>
      <c r="N179" s="44">
        <v>0</v>
      </c>
      <c r="O179" s="44">
        <v>0</v>
      </c>
      <c r="P179" s="44">
        <v>0</v>
      </c>
      <c r="Q179" s="44">
        <v>0</v>
      </c>
      <c r="R179" s="44">
        <v>0</v>
      </c>
      <c r="S179" s="44">
        <v>1</v>
      </c>
      <c r="T179" s="44">
        <v>0</v>
      </c>
      <c r="U179" s="44">
        <v>0</v>
      </c>
      <c r="V179" s="44">
        <v>0</v>
      </c>
      <c r="W179" s="44">
        <v>0</v>
      </c>
      <c r="X179" s="44">
        <v>1</v>
      </c>
      <c r="Y179" s="44">
        <v>1</v>
      </c>
      <c r="Z179" s="44">
        <v>0</v>
      </c>
      <c r="AA179" s="44">
        <v>1</v>
      </c>
      <c r="AB179" s="44">
        <v>0</v>
      </c>
      <c r="AC179" s="44">
        <v>1</v>
      </c>
      <c r="AD179" s="39">
        <v>0</v>
      </c>
    </row>
    <row r="180" spans="1:30" x14ac:dyDescent="0.35">
      <c r="A180" s="27" t="s">
        <v>22</v>
      </c>
      <c r="B180" s="28">
        <v>13</v>
      </c>
      <c r="C180" s="28" t="s">
        <v>12</v>
      </c>
      <c r="D180" s="29" t="s">
        <v>11</v>
      </c>
      <c r="E180" s="29" t="s">
        <v>11</v>
      </c>
      <c r="F180" s="29" t="s">
        <v>11</v>
      </c>
      <c r="G180" s="38">
        <v>851</v>
      </c>
      <c r="H180" s="44">
        <v>0</v>
      </c>
      <c r="I180" s="44">
        <v>0</v>
      </c>
      <c r="J180" s="44">
        <v>0</v>
      </c>
      <c r="K180" s="44">
        <v>0</v>
      </c>
      <c r="L180" s="44">
        <v>0</v>
      </c>
      <c r="M180" s="44">
        <v>0</v>
      </c>
      <c r="N180" s="44">
        <v>0</v>
      </c>
      <c r="O180" s="44">
        <v>0</v>
      </c>
      <c r="P180" s="44">
        <v>0</v>
      </c>
      <c r="Q180" s="44">
        <v>0</v>
      </c>
      <c r="R180" s="44">
        <v>0</v>
      </c>
      <c r="S180" s="44">
        <v>1</v>
      </c>
      <c r="T180" s="44">
        <v>0</v>
      </c>
      <c r="U180" s="44">
        <v>0</v>
      </c>
      <c r="V180" s="44">
        <v>1</v>
      </c>
      <c r="W180" s="44">
        <v>0</v>
      </c>
      <c r="X180" s="44">
        <v>0</v>
      </c>
      <c r="Y180" s="44">
        <v>1</v>
      </c>
      <c r="Z180" s="44">
        <v>0</v>
      </c>
      <c r="AA180" s="44">
        <v>1</v>
      </c>
      <c r="AB180" s="44">
        <v>0</v>
      </c>
      <c r="AC180" s="44">
        <v>1</v>
      </c>
      <c r="AD180" s="39">
        <v>0</v>
      </c>
    </row>
    <row r="181" spans="1:30" x14ac:dyDescent="0.35">
      <c r="A181" s="27" t="s">
        <v>22</v>
      </c>
      <c r="B181" s="28">
        <v>14</v>
      </c>
      <c r="C181" s="28" t="s">
        <v>13</v>
      </c>
      <c r="D181" s="29" t="s">
        <v>9</v>
      </c>
      <c r="E181" s="29" t="s">
        <v>11</v>
      </c>
      <c r="F181" s="29" t="s">
        <v>11</v>
      </c>
      <c r="G181" s="38">
        <v>1559</v>
      </c>
      <c r="H181" s="44">
        <v>0</v>
      </c>
      <c r="I181" s="44">
        <v>0</v>
      </c>
      <c r="J181" s="44">
        <v>0</v>
      </c>
      <c r="K181" s="44">
        <v>0</v>
      </c>
      <c r="L181" s="44">
        <v>0</v>
      </c>
      <c r="M181" s="44">
        <v>0</v>
      </c>
      <c r="N181" s="44">
        <v>0</v>
      </c>
      <c r="O181" s="44">
        <v>0</v>
      </c>
      <c r="P181" s="44">
        <v>0</v>
      </c>
      <c r="Q181" s="44">
        <v>0</v>
      </c>
      <c r="R181" s="44">
        <v>0</v>
      </c>
      <c r="S181" s="44">
        <v>1</v>
      </c>
      <c r="T181" s="44">
        <v>1</v>
      </c>
      <c r="U181" s="44">
        <v>0</v>
      </c>
      <c r="V181" s="44">
        <v>0</v>
      </c>
      <c r="W181" s="44">
        <v>0</v>
      </c>
      <c r="X181" s="44">
        <v>0</v>
      </c>
      <c r="Y181" s="44">
        <v>0</v>
      </c>
      <c r="Z181" s="44">
        <v>1</v>
      </c>
      <c r="AA181" s="44">
        <v>1</v>
      </c>
      <c r="AB181" s="44">
        <v>0</v>
      </c>
      <c r="AC181" s="44">
        <v>1</v>
      </c>
      <c r="AD181" s="39">
        <v>0</v>
      </c>
    </row>
    <row r="182" spans="1:30" x14ac:dyDescent="0.35">
      <c r="A182" s="27" t="s">
        <v>22</v>
      </c>
      <c r="B182" s="28">
        <v>17</v>
      </c>
      <c r="C182" s="28" t="s">
        <v>14</v>
      </c>
      <c r="D182" s="29" t="s">
        <v>11</v>
      </c>
      <c r="E182" s="29" t="s">
        <v>11</v>
      </c>
      <c r="F182" s="29" t="s">
        <v>11</v>
      </c>
      <c r="G182" s="38">
        <v>1090</v>
      </c>
      <c r="H182" s="44">
        <v>0</v>
      </c>
      <c r="I182" s="44">
        <v>0</v>
      </c>
      <c r="J182" s="44">
        <v>0</v>
      </c>
      <c r="K182" s="44">
        <v>0</v>
      </c>
      <c r="L182" s="44">
        <v>0</v>
      </c>
      <c r="M182" s="44">
        <v>0</v>
      </c>
      <c r="N182" s="44">
        <v>0</v>
      </c>
      <c r="O182" s="44">
        <v>0</v>
      </c>
      <c r="P182" s="44">
        <v>0</v>
      </c>
      <c r="Q182" s="44">
        <v>0</v>
      </c>
      <c r="R182" s="44">
        <v>0</v>
      </c>
      <c r="S182" s="44">
        <v>1</v>
      </c>
      <c r="T182" s="44">
        <v>0</v>
      </c>
      <c r="U182" s="44">
        <v>1</v>
      </c>
      <c r="V182" s="44">
        <v>0</v>
      </c>
      <c r="W182" s="44">
        <v>0</v>
      </c>
      <c r="X182" s="44">
        <v>0</v>
      </c>
      <c r="Y182" s="44">
        <v>1</v>
      </c>
      <c r="Z182" s="44">
        <v>0</v>
      </c>
      <c r="AA182" s="44">
        <v>1</v>
      </c>
      <c r="AB182" s="44">
        <v>0</v>
      </c>
      <c r="AC182" s="44">
        <v>1</v>
      </c>
      <c r="AD182" s="39">
        <v>0</v>
      </c>
    </row>
    <row r="183" spans="1:30" x14ac:dyDescent="0.35">
      <c r="A183" s="27" t="s">
        <v>22</v>
      </c>
      <c r="B183" s="28">
        <v>18</v>
      </c>
      <c r="C183" s="28" t="s">
        <v>8</v>
      </c>
      <c r="D183" s="29" t="s">
        <v>11</v>
      </c>
      <c r="E183" s="29" t="s">
        <v>11</v>
      </c>
      <c r="F183" s="29" t="s">
        <v>11</v>
      </c>
      <c r="G183" s="38">
        <v>404</v>
      </c>
      <c r="H183" s="44">
        <v>0</v>
      </c>
      <c r="I183" s="44">
        <v>0</v>
      </c>
      <c r="J183" s="44">
        <v>0</v>
      </c>
      <c r="K183" s="44">
        <v>0</v>
      </c>
      <c r="L183" s="44">
        <v>0</v>
      </c>
      <c r="M183" s="44">
        <v>0</v>
      </c>
      <c r="N183" s="44">
        <v>0</v>
      </c>
      <c r="O183" s="44">
        <v>0</v>
      </c>
      <c r="P183" s="44">
        <v>0</v>
      </c>
      <c r="Q183" s="44">
        <v>0</v>
      </c>
      <c r="R183" s="44">
        <v>0</v>
      </c>
      <c r="S183" s="44">
        <v>1</v>
      </c>
      <c r="T183" s="44">
        <v>0</v>
      </c>
      <c r="U183" s="44">
        <v>0</v>
      </c>
      <c r="V183" s="44">
        <v>0</v>
      </c>
      <c r="W183" s="44">
        <v>1</v>
      </c>
      <c r="X183" s="44">
        <v>0</v>
      </c>
      <c r="Y183" s="44">
        <v>1</v>
      </c>
      <c r="Z183" s="44">
        <v>0</v>
      </c>
      <c r="AA183" s="44">
        <v>1</v>
      </c>
      <c r="AB183" s="44">
        <v>0</v>
      </c>
      <c r="AC183" s="44">
        <v>1</v>
      </c>
      <c r="AD183" s="39">
        <v>0</v>
      </c>
    </row>
    <row r="184" spans="1:30" x14ac:dyDescent="0.35">
      <c r="A184" s="27" t="s">
        <v>22</v>
      </c>
      <c r="B184" s="28">
        <v>19</v>
      </c>
      <c r="C184" s="28" t="s">
        <v>10</v>
      </c>
      <c r="D184" s="29" t="s">
        <v>11</v>
      </c>
      <c r="E184" s="29" t="s">
        <v>11</v>
      </c>
      <c r="F184" s="29" t="s">
        <v>11</v>
      </c>
      <c r="G184" s="38">
        <v>586</v>
      </c>
      <c r="H184" s="44">
        <v>0</v>
      </c>
      <c r="I184" s="44">
        <v>0</v>
      </c>
      <c r="J184" s="44">
        <v>0</v>
      </c>
      <c r="K184" s="44">
        <v>0</v>
      </c>
      <c r="L184" s="44">
        <v>0</v>
      </c>
      <c r="M184" s="44">
        <v>0</v>
      </c>
      <c r="N184" s="44">
        <v>0</v>
      </c>
      <c r="O184" s="44">
        <v>0</v>
      </c>
      <c r="P184" s="44">
        <v>0</v>
      </c>
      <c r="Q184" s="44">
        <v>0</v>
      </c>
      <c r="R184" s="44">
        <v>0</v>
      </c>
      <c r="S184" s="44">
        <v>1</v>
      </c>
      <c r="T184" s="44">
        <v>0</v>
      </c>
      <c r="U184" s="44">
        <v>0</v>
      </c>
      <c r="V184" s="44">
        <v>0</v>
      </c>
      <c r="W184" s="44">
        <v>0</v>
      </c>
      <c r="X184" s="44">
        <v>1</v>
      </c>
      <c r="Y184" s="44">
        <v>1</v>
      </c>
      <c r="Z184" s="44">
        <v>0</v>
      </c>
      <c r="AA184" s="44">
        <v>1</v>
      </c>
      <c r="AB184" s="44">
        <v>0</v>
      </c>
      <c r="AC184" s="44">
        <v>1</v>
      </c>
      <c r="AD184" s="39">
        <v>0</v>
      </c>
    </row>
    <row r="185" spans="1:30" x14ac:dyDescent="0.35">
      <c r="A185" s="27" t="s">
        <v>22</v>
      </c>
      <c r="B185" s="28">
        <v>20</v>
      </c>
      <c r="C185" s="28" t="s">
        <v>12</v>
      </c>
      <c r="D185" s="29" t="s">
        <v>11</v>
      </c>
      <c r="E185" s="29" t="s">
        <v>11</v>
      </c>
      <c r="F185" s="29" t="s">
        <v>11</v>
      </c>
      <c r="G185" s="38">
        <v>683</v>
      </c>
      <c r="H185" s="44">
        <v>0</v>
      </c>
      <c r="I185" s="44">
        <v>0</v>
      </c>
      <c r="J185" s="44">
        <v>0</v>
      </c>
      <c r="K185" s="44">
        <v>0</v>
      </c>
      <c r="L185" s="44">
        <v>0</v>
      </c>
      <c r="M185" s="44">
        <v>0</v>
      </c>
      <c r="N185" s="44">
        <v>0</v>
      </c>
      <c r="O185" s="44">
        <v>0</v>
      </c>
      <c r="P185" s="44">
        <v>0</v>
      </c>
      <c r="Q185" s="44">
        <v>0</v>
      </c>
      <c r="R185" s="44">
        <v>0</v>
      </c>
      <c r="S185" s="44">
        <v>1</v>
      </c>
      <c r="T185" s="44">
        <v>0</v>
      </c>
      <c r="U185" s="44">
        <v>0</v>
      </c>
      <c r="V185" s="44">
        <v>1</v>
      </c>
      <c r="W185" s="44">
        <v>0</v>
      </c>
      <c r="X185" s="44">
        <v>0</v>
      </c>
      <c r="Y185" s="44">
        <v>1</v>
      </c>
      <c r="Z185" s="44">
        <v>0</v>
      </c>
      <c r="AA185" s="44">
        <v>1</v>
      </c>
      <c r="AB185" s="44">
        <v>0</v>
      </c>
      <c r="AC185" s="44">
        <v>1</v>
      </c>
      <c r="AD185" s="39">
        <v>0</v>
      </c>
    </row>
    <row r="186" spans="1:30" x14ac:dyDescent="0.35">
      <c r="A186" s="27" t="s">
        <v>22</v>
      </c>
      <c r="B186" s="28">
        <v>21</v>
      </c>
      <c r="C186" s="28" t="s">
        <v>13</v>
      </c>
      <c r="D186" s="29" t="s">
        <v>11</v>
      </c>
      <c r="E186" s="29" t="s">
        <v>11</v>
      </c>
      <c r="F186" s="29" t="s">
        <v>11</v>
      </c>
      <c r="G186" s="38">
        <v>1124</v>
      </c>
      <c r="H186" s="44">
        <v>0</v>
      </c>
      <c r="I186" s="44">
        <v>0</v>
      </c>
      <c r="J186" s="44">
        <v>0</v>
      </c>
      <c r="K186" s="44">
        <v>0</v>
      </c>
      <c r="L186" s="44">
        <v>0</v>
      </c>
      <c r="M186" s="44">
        <v>0</v>
      </c>
      <c r="N186" s="44">
        <v>0</v>
      </c>
      <c r="O186" s="44">
        <v>0</v>
      </c>
      <c r="P186" s="44">
        <v>0</v>
      </c>
      <c r="Q186" s="44">
        <v>0</v>
      </c>
      <c r="R186" s="44">
        <v>0</v>
      </c>
      <c r="S186" s="44">
        <v>1</v>
      </c>
      <c r="T186" s="44">
        <v>1</v>
      </c>
      <c r="U186" s="44">
        <v>0</v>
      </c>
      <c r="V186" s="44">
        <v>0</v>
      </c>
      <c r="W186" s="44">
        <v>0</v>
      </c>
      <c r="X186" s="44">
        <v>0</v>
      </c>
      <c r="Y186" s="44">
        <v>1</v>
      </c>
      <c r="Z186" s="44">
        <v>0</v>
      </c>
      <c r="AA186" s="44">
        <v>1</v>
      </c>
      <c r="AB186" s="44">
        <v>0</v>
      </c>
      <c r="AC186" s="44">
        <v>1</v>
      </c>
      <c r="AD186" s="39">
        <v>0</v>
      </c>
    </row>
    <row r="187" spans="1:30" x14ac:dyDescent="0.35">
      <c r="A187" s="27" t="s">
        <v>22</v>
      </c>
      <c r="B187" s="28">
        <v>24</v>
      </c>
      <c r="C187" s="28" t="s">
        <v>14</v>
      </c>
      <c r="D187" s="29" t="s">
        <v>11</v>
      </c>
      <c r="E187" s="29" t="s">
        <v>11</v>
      </c>
      <c r="F187" s="29" t="s">
        <v>11</v>
      </c>
      <c r="G187" s="38">
        <v>953</v>
      </c>
      <c r="H187" s="44">
        <v>0</v>
      </c>
      <c r="I187" s="44">
        <v>0</v>
      </c>
      <c r="J187" s="44">
        <v>0</v>
      </c>
      <c r="K187" s="44">
        <v>0</v>
      </c>
      <c r="L187" s="44">
        <v>0</v>
      </c>
      <c r="M187" s="44">
        <v>0</v>
      </c>
      <c r="N187" s="44">
        <v>0</v>
      </c>
      <c r="O187" s="44">
        <v>0</v>
      </c>
      <c r="P187" s="44">
        <v>0</v>
      </c>
      <c r="Q187" s="44">
        <v>0</v>
      </c>
      <c r="R187" s="44">
        <v>0</v>
      </c>
      <c r="S187" s="44">
        <v>1</v>
      </c>
      <c r="T187" s="44">
        <v>0</v>
      </c>
      <c r="U187" s="44">
        <v>1</v>
      </c>
      <c r="V187" s="44">
        <v>0</v>
      </c>
      <c r="W187" s="44">
        <v>0</v>
      </c>
      <c r="X187" s="44">
        <v>0</v>
      </c>
      <c r="Y187" s="44">
        <v>1</v>
      </c>
      <c r="Z187" s="44">
        <v>0</v>
      </c>
      <c r="AA187" s="44">
        <v>1</v>
      </c>
      <c r="AB187" s="44">
        <v>0</v>
      </c>
      <c r="AC187" s="44">
        <v>1</v>
      </c>
      <c r="AD187" s="39">
        <v>0</v>
      </c>
    </row>
    <row r="188" spans="1:30" x14ac:dyDescent="0.35">
      <c r="A188" s="27" t="s">
        <v>22</v>
      </c>
      <c r="B188" s="28">
        <v>25</v>
      </c>
      <c r="C188" s="28" t="s">
        <v>8</v>
      </c>
      <c r="D188" s="29" t="s">
        <v>11</v>
      </c>
      <c r="E188" s="29" t="s">
        <v>11</v>
      </c>
      <c r="F188" s="29" t="s">
        <v>11</v>
      </c>
      <c r="G188" s="38">
        <v>697</v>
      </c>
      <c r="H188" s="44">
        <v>0</v>
      </c>
      <c r="I188" s="44">
        <v>0</v>
      </c>
      <c r="J188" s="44">
        <v>0</v>
      </c>
      <c r="K188" s="44">
        <v>0</v>
      </c>
      <c r="L188" s="44">
        <v>0</v>
      </c>
      <c r="M188" s="44">
        <v>0</v>
      </c>
      <c r="N188" s="44">
        <v>0</v>
      </c>
      <c r="O188" s="44">
        <v>0</v>
      </c>
      <c r="P188" s="44">
        <v>0</v>
      </c>
      <c r="Q188" s="44">
        <v>0</v>
      </c>
      <c r="R188" s="44">
        <v>0</v>
      </c>
      <c r="S188" s="44">
        <v>1</v>
      </c>
      <c r="T188" s="44">
        <v>0</v>
      </c>
      <c r="U188" s="44">
        <v>0</v>
      </c>
      <c r="V188" s="44">
        <v>0</v>
      </c>
      <c r="W188" s="44">
        <v>1</v>
      </c>
      <c r="X188" s="44">
        <v>0</v>
      </c>
      <c r="Y188" s="44">
        <v>1</v>
      </c>
      <c r="Z188" s="44">
        <v>0</v>
      </c>
      <c r="AA188" s="44">
        <v>1</v>
      </c>
      <c r="AB188" s="44">
        <v>0</v>
      </c>
      <c r="AC188" s="44">
        <v>1</v>
      </c>
      <c r="AD188" s="39">
        <v>0</v>
      </c>
    </row>
    <row r="189" spans="1:30" x14ac:dyDescent="0.35">
      <c r="A189" s="27" t="s">
        <v>22</v>
      </c>
      <c r="B189" s="28">
        <v>26</v>
      </c>
      <c r="C189" s="28" t="s">
        <v>10</v>
      </c>
      <c r="D189" s="29" t="s">
        <v>11</v>
      </c>
      <c r="E189" s="29" t="s">
        <v>11</v>
      </c>
      <c r="F189" s="29" t="s">
        <v>11</v>
      </c>
      <c r="G189" s="38">
        <v>727</v>
      </c>
      <c r="H189" s="44">
        <v>0</v>
      </c>
      <c r="I189" s="44">
        <v>0</v>
      </c>
      <c r="J189" s="44">
        <v>0</v>
      </c>
      <c r="K189" s="44">
        <v>0</v>
      </c>
      <c r="L189" s="44">
        <v>0</v>
      </c>
      <c r="M189" s="44">
        <v>0</v>
      </c>
      <c r="N189" s="44">
        <v>0</v>
      </c>
      <c r="O189" s="44">
        <v>0</v>
      </c>
      <c r="P189" s="44">
        <v>0</v>
      </c>
      <c r="Q189" s="44">
        <v>0</v>
      </c>
      <c r="R189" s="44">
        <v>0</v>
      </c>
      <c r="S189" s="44">
        <v>1</v>
      </c>
      <c r="T189" s="44">
        <v>0</v>
      </c>
      <c r="U189" s="44">
        <v>0</v>
      </c>
      <c r="V189" s="44">
        <v>0</v>
      </c>
      <c r="W189" s="44">
        <v>0</v>
      </c>
      <c r="X189" s="44">
        <v>1</v>
      </c>
      <c r="Y189" s="44">
        <v>1</v>
      </c>
      <c r="Z189" s="44">
        <v>0</v>
      </c>
      <c r="AA189" s="44">
        <v>1</v>
      </c>
      <c r="AB189" s="44">
        <v>0</v>
      </c>
      <c r="AC189" s="44">
        <v>1</v>
      </c>
      <c r="AD189" s="39">
        <v>0</v>
      </c>
    </row>
    <row r="190" spans="1:30" x14ac:dyDescent="0.35">
      <c r="A190" s="27" t="s">
        <v>22</v>
      </c>
      <c r="B190" s="28">
        <v>27</v>
      </c>
      <c r="C190" s="28" t="s">
        <v>12</v>
      </c>
      <c r="D190" s="29" t="s">
        <v>11</v>
      </c>
      <c r="E190" s="29" t="s">
        <v>11</v>
      </c>
      <c r="F190" s="29" t="s">
        <v>11</v>
      </c>
      <c r="G190" s="38">
        <v>678</v>
      </c>
      <c r="H190" s="44">
        <v>0</v>
      </c>
      <c r="I190" s="44">
        <v>0</v>
      </c>
      <c r="J190" s="44">
        <v>0</v>
      </c>
      <c r="K190" s="44">
        <v>0</v>
      </c>
      <c r="L190" s="44">
        <v>0</v>
      </c>
      <c r="M190" s="44">
        <v>0</v>
      </c>
      <c r="N190" s="44">
        <v>0</v>
      </c>
      <c r="O190" s="44">
        <v>0</v>
      </c>
      <c r="P190" s="44">
        <v>0</v>
      </c>
      <c r="Q190" s="44">
        <v>0</v>
      </c>
      <c r="R190" s="44">
        <v>0</v>
      </c>
      <c r="S190" s="44">
        <v>1</v>
      </c>
      <c r="T190" s="44">
        <v>0</v>
      </c>
      <c r="U190" s="44">
        <v>0</v>
      </c>
      <c r="V190" s="44">
        <v>1</v>
      </c>
      <c r="W190" s="44">
        <v>0</v>
      </c>
      <c r="X190" s="44">
        <v>0</v>
      </c>
      <c r="Y190" s="44">
        <v>1</v>
      </c>
      <c r="Z190" s="44">
        <v>0</v>
      </c>
      <c r="AA190" s="44">
        <v>1</v>
      </c>
      <c r="AB190" s="44">
        <v>0</v>
      </c>
      <c r="AC190" s="44">
        <v>1</v>
      </c>
      <c r="AD190" s="39">
        <v>0</v>
      </c>
    </row>
    <row r="191" spans="1:30" x14ac:dyDescent="0.35">
      <c r="A191" s="27" t="s">
        <v>22</v>
      </c>
      <c r="B191" s="28">
        <v>28</v>
      </c>
      <c r="C191" s="28" t="s">
        <v>13</v>
      </c>
      <c r="D191" s="29" t="s">
        <v>9</v>
      </c>
      <c r="E191" s="29" t="s">
        <v>11</v>
      </c>
      <c r="F191" s="29" t="s">
        <v>11</v>
      </c>
      <c r="G191" s="38">
        <v>1761</v>
      </c>
      <c r="H191" s="44">
        <v>0</v>
      </c>
      <c r="I191" s="44">
        <v>0</v>
      </c>
      <c r="J191" s="44">
        <v>0</v>
      </c>
      <c r="K191" s="44">
        <v>0</v>
      </c>
      <c r="L191" s="44">
        <v>0</v>
      </c>
      <c r="M191" s="44">
        <v>0</v>
      </c>
      <c r="N191" s="44">
        <v>0</v>
      </c>
      <c r="O191" s="44">
        <v>0</v>
      </c>
      <c r="P191" s="44">
        <v>0</v>
      </c>
      <c r="Q191" s="44">
        <v>0</v>
      </c>
      <c r="R191" s="44">
        <v>0</v>
      </c>
      <c r="S191" s="44">
        <v>1</v>
      </c>
      <c r="T191" s="44">
        <v>1</v>
      </c>
      <c r="U191" s="44">
        <v>0</v>
      </c>
      <c r="V191" s="44">
        <v>0</v>
      </c>
      <c r="W191" s="44">
        <v>0</v>
      </c>
      <c r="X191" s="44">
        <v>0</v>
      </c>
      <c r="Y191" s="44">
        <v>0</v>
      </c>
      <c r="Z191" s="44">
        <v>1</v>
      </c>
      <c r="AA191" s="44">
        <v>1</v>
      </c>
      <c r="AB191" s="44">
        <v>0</v>
      </c>
      <c r="AC191" s="44">
        <v>1</v>
      </c>
      <c r="AD191" s="39">
        <v>0</v>
      </c>
    </row>
    <row r="192" spans="1:30" x14ac:dyDescent="0.35">
      <c r="A192" s="27" t="s">
        <v>23</v>
      </c>
      <c r="B192" s="28">
        <v>1</v>
      </c>
      <c r="C192" s="28" t="s">
        <v>14</v>
      </c>
      <c r="D192" s="29" t="s">
        <v>11</v>
      </c>
      <c r="E192" s="29" t="s">
        <v>9</v>
      </c>
      <c r="F192" s="29" t="s">
        <v>11</v>
      </c>
      <c r="G192" s="38">
        <v>1615</v>
      </c>
      <c r="H192" s="44">
        <v>0</v>
      </c>
      <c r="I192" s="44">
        <v>0</v>
      </c>
      <c r="J192" s="44">
        <v>0</v>
      </c>
      <c r="K192" s="44">
        <v>0</v>
      </c>
      <c r="L192" s="44">
        <v>0</v>
      </c>
      <c r="M192" s="44">
        <v>0</v>
      </c>
      <c r="N192" s="44">
        <v>0</v>
      </c>
      <c r="O192" s="44">
        <v>0</v>
      </c>
      <c r="P192" s="44">
        <v>0</v>
      </c>
      <c r="Q192" s="44">
        <v>0</v>
      </c>
      <c r="R192" s="44">
        <v>1</v>
      </c>
      <c r="S192" s="44">
        <v>0</v>
      </c>
      <c r="T192" s="44">
        <v>0</v>
      </c>
      <c r="U192" s="44">
        <v>1</v>
      </c>
      <c r="V192" s="44">
        <v>0</v>
      </c>
      <c r="W192" s="44">
        <v>0</v>
      </c>
      <c r="X192" s="44">
        <v>0</v>
      </c>
      <c r="Y192" s="44">
        <v>1</v>
      </c>
      <c r="Z192" s="44">
        <v>0</v>
      </c>
      <c r="AA192" s="44">
        <v>0</v>
      </c>
      <c r="AB192" s="44">
        <v>1</v>
      </c>
      <c r="AC192" s="44">
        <v>1</v>
      </c>
      <c r="AD192" s="39">
        <v>0</v>
      </c>
    </row>
    <row r="193" spans="1:30" x14ac:dyDescent="0.35">
      <c r="A193" s="27" t="s">
        <v>23</v>
      </c>
      <c r="B193" s="28">
        <v>2</v>
      </c>
      <c r="C193" s="28" t="s">
        <v>8</v>
      </c>
      <c r="D193" s="29" t="s">
        <v>11</v>
      </c>
      <c r="E193" s="29" t="s">
        <v>11</v>
      </c>
      <c r="F193" s="29" t="s">
        <v>11</v>
      </c>
      <c r="G193" s="38">
        <v>1019</v>
      </c>
      <c r="H193" s="44">
        <v>0</v>
      </c>
      <c r="I193" s="44">
        <v>0</v>
      </c>
      <c r="J193" s="44">
        <v>0</v>
      </c>
      <c r="K193" s="44">
        <v>0</v>
      </c>
      <c r="L193" s="44">
        <v>0</v>
      </c>
      <c r="M193" s="44">
        <v>0</v>
      </c>
      <c r="N193" s="44">
        <v>0</v>
      </c>
      <c r="O193" s="44">
        <v>0</v>
      </c>
      <c r="P193" s="44">
        <v>0</v>
      </c>
      <c r="Q193" s="44">
        <v>0</v>
      </c>
      <c r="R193" s="44">
        <v>1</v>
      </c>
      <c r="S193" s="44">
        <v>0</v>
      </c>
      <c r="T193" s="44">
        <v>0</v>
      </c>
      <c r="U193" s="44">
        <v>0</v>
      </c>
      <c r="V193" s="44">
        <v>0</v>
      </c>
      <c r="W193" s="44">
        <v>1</v>
      </c>
      <c r="X193" s="44">
        <v>0</v>
      </c>
      <c r="Y193" s="44">
        <v>1</v>
      </c>
      <c r="Z193" s="44">
        <v>0</v>
      </c>
      <c r="AA193" s="44">
        <v>1</v>
      </c>
      <c r="AB193" s="44">
        <v>0</v>
      </c>
      <c r="AC193" s="44">
        <v>1</v>
      </c>
      <c r="AD193" s="39">
        <v>0</v>
      </c>
    </row>
    <row r="194" spans="1:30" x14ac:dyDescent="0.35">
      <c r="A194" s="27" t="s">
        <v>23</v>
      </c>
      <c r="B194" s="28">
        <v>3</v>
      </c>
      <c r="C194" s="28" t="s">
        <v>10</v>
      </c>
      <c r="D194" s="29" t="s">
        <v>11</v>
      </c>
      <c r="E194" s="29" t="s">
        <v>11</v>
      </c>
      <c r="F194" s="29" t="s">
        <v>11</v>
      </c>
      <c r="G194" s="38">
        <v>854</v>
      </c>
      <c r="H194" s="44">
        <v>0</v>
      </c>
      <c r="I194" s="44">
        <v>0</v>
      </c>
      <c r="J194" s="44">
        <v>0</v>
      </c>
      <c r="K194" s="44">
        <v>0</v>
      </c>
      <c r="L194" s="44">
        <v>0</v>
      </c>
      <c r="M194" s="44">
        <v>0</v>
      </c>
      <c r="N194" s="44">
        <v>0</v>
      </c>
      <c r="O194" s="44">
        <v>0</v>
      </c>
      <c r="P194" s="44">
        <v>0</v>
      </c>
      <c r="Q194" s="44">
        <v>0</v>
      </c>
      <c r="R194" s="44">
        <v>1</v>
      </c>
      <c r="S194" s="44">
        <v>0</v>
      </c>
      <c r="T194" s="44">
        <v>0</v>
      </c>
      <c r="U194" s="44">
        <v>0</v>
      </c>
      <c r="V194" s="44">
        <v>0</v>
      </c>
      <c r="W194" s="44">
        <v>0</v>
      </c>
      <c r="X194" s="44">
        <v>1</v>
      </c>
      <c r="Y194" s="44">
        <v>1</v>
      </c>
      <c r="Z194" s="44">
        <v>0</v>
      </c>
      <c r="AA194" s="44">
        <v>1</v>
      </c>
      <c r="AB194" s="44">
        <v>0</v>
      </c>
      <c r="AC194" s="44">
        <v>1</v>
      </c>
      <c r="AD194" s="39">
        <v>0</v>
      </c>
    </row>
    <row r="195" spans="1:30" x14ac:dyDescent="0.35">
      <c r="A195" s="27" t="s">
        <v>23</v>
      </c>
      <c r="B195" s="28">
        <v>4</v>
      </c>
      <c r="C195" s="28" t="s">
        <v>12</v>
      </c>
      <c r="D195" s="29" t="s">
        <v>11</v>
      </c>
      <c r="E195" s="29" t="s">
        <v>11</v>
      </c>
      <c r="F195" s="29" t="s">
        <v>11</v>
      </c>
      <c r="G195" s="38">
        <v>897</v>
      </c>
      <c r="H195" s="44">
        <v>0</v>
      </c>
      <c r="I195" s="44">
        <v>0</v>
      </c>
      <c r="J195" s="44">
        <v>0</v>
      </c>
      <c r="K195" s="44">
        <v>0</v>
      </c>
      <c r="L195" s="44">
        <v>0</v>
      </c>
      <c r="M195" s="44">
        <v>0</v>
      </c>
      <c r="N195" s="44">
        <v>0</v>
      </c>
      <c r="O195" s="44">
        <v>0</v>
      </c>
      <c r="P195" s="44">
        <v>0</v>
      </c>
      <c r="Q195" s="44">
        <v>0</v>
      </c>
      <c r="R195" s="44">
        <v>1</v>
      </c>
      <c r="S195" s="44">
        <v>0</v>
      </c>
      <c r="T195" s="44">
        <v>0</v>
      </c>
      <c r="U195" s="44">
        <v>0</v>
      </c>
      <c r="V195" s="44">
        <v>1</v>
      </c>
      <c r="W195" s="44">
        <v>0</v>
      </c>
      <c r="X195" s="44">
        <v>0</v>
      </c>
      <c r="Y195" s="44">
        <v>1</v>
      </c>
      <c r="Z195" s="44">
        <v>0</v>
      </c>
      <c r="AA195" s="44">
        <v>1</v>
      </c>
      <c r="AB195" s="44">
        <v>0</v>
      </c>
      <c r="AC195" s="44">
        <v>1</v>
      </c>
      <c r="AD195" s="39">
        <v>0</v>
      </c>
    </row>
    <row r="196" spans="1:30" x14ac:dyDescent="0.35">
      <c r="A196" s="27" t="s">
        <v>23</v>
      </c>
      <c r="B196" s="28">
        <v>5</v>
      </c>
      <c r="C196" s="28" t="s">
        <v>13</v>
      </c>
      <c r="D196" s="29" t="s">
        <v>11</v>
      </c>
      <c r="E196" s="29" t="s">
        <v>11</v>
      </c>
      <c r="F196" s="29" t="s">
        <v>11</v>
      </c>
      <c r="G196" s="38">
        <v>1307</v>
      </c>
      <c r="H196" s="44">
        <v>0</v>
      </c>
      <c r="I196" s="44">
        <v>0</v>
      </c>
      <c r="J196" s="44">
        <v>0</v>
      </c>
      <c r="K196" s="44">
        <v>0</v>
      </c>
      <c r="L196" s="44">
        <v>0</v>
      </c>
      <c r="M196" s="44">
        <v>0</v>
      </c>
      <c r="N196" s="44">
        <v>0</v>
      </c>
      <c r="O196" s="44">
        <v>0</v>
      </c>
      <c r="P196" s="44">
        <v>0</v>
      </c>
      <c r="Q196" s="44">
        <v>0</v>
      </c>
      <c r="R196" s="44">
        <v>1</v>
      </c>
      <c r="S196" s="44">
        <v>0</v>
      </c>
      <c r="T196" s="44">
        <v>1</v>
      </c>
      <c r="U196" s="44">
        <v>0</v>
      </c>
      <c r="V196" s="44">
        <v>0</v>
      </c>
      <c r="W196" s="44">
        <v>0</v>
      </c>
      <c r="X196" s="44">
        <v>0</v>
      </c>
      <c r="Y196" s="44">
        <v>1</v>
      </c>
      <c r="Z196" s="44">
        <v>0</v>
      </c>
      <c r="AA196" s="44">
        <v>1</v>
      </c>
      <c r="AB196" s="44">
        <v>0</v>
      </c>
      <c r="AC196" s="44">
        <v>1</v>
      </c>
      <c r="AD196" s="39">
        <v>0</v>
      </c>
    </row>
    <row r="197" spans="1:30" x14ac:dyDescent="0.35">
      <c r="A197" s="27" t="s">
        <v>23</v>
      </c>
      <c r="B197" s="28">
        <v>8</v>
      </c>
      <c r="C197" s="28" t="s">
        <v>14</v>
      </c>
      <c r="D197" s="29" t="s">
        <v>11</v>
      </c>
      <c r="E197" s="29" t="s">
        <v>11</v>
      </c>
      <c r="F197" s="29" t="s">
        <v>11</v>
      </c>
      <c r="G197" s="38">
        <v>796</v>
      </c>
      <c r="H197" s="44">
        <v>0</v>
      </c>
      <c r="I197" s="44">
        <v>0</v>
      </c>
      <c r="J197" s="44">
        <v>0</v>
      </c>
      <c r="K197" s="44">
        <v>0</v>
      </c>
      <c r="L197" s="44">
        <v>0</v>
      </c>
      <c r="M197" s="44">
        <v>0</v>
      </c>
      <c r="N197" s="44">
        <v>0</v>
      </c>
      <c r="O197" s="44">
        <v>0</v>
      </c>
      <c r="P197" s="44">
        <v>0</v>
      </c>
      <c r="Q197" s="44">
        <v>0</v>
      </c>
      <c r="R197" s="44">
        <v>1</v>
      </c>
      <c r="S197" s="44">
        <v>0</v>
      </c>
      <c r="T197" s="44">
        <v>0</v>
      </c>
      <c r="U197" s="44">
        <v>1</v>
      </c>
      <c r="V197" s="44">
        <v>0</v>
      </c>
      <c r="W197" s="44">
        <v>0</v>
      </c>
      <c r="X197" s="44">
        <v>0</v>
      </c>
      <c r="Y197" s="44">
        <v>1</v>
      </c>
      <c r="Z197" s="44">
        <v>0</v>
      </c>
      <c r="AA197" s="44">
        <v>1</v>
      </c>
      <c r="AB197" s="44">
        <v>0</v>
      </c>
      <c r="AC197" s="44">
        <v>1</v>
      </c>
      <c r="AD197" s="39">
        <v>0</v>
      </c>
    </row>
    <row r="198" spans="1:30" x14ac:dyDescent="0.35">
      <c r="A198" s="27" t="s">
        <v>23</v>
      </c>
      <c r="B198" s="28">
        <v>9</v>
      </c>
      <c r="C198" s="28" t="s">
        <v>8</v>
      </c>
      <c r="D198" s="29" t="s">
        <v>11</v>
      </c>
      <c r="E198" s="29" t="s">
        <v>11</v>
      </c>
      <c r="F198" s="29" t="s">
        <v>11</v>
      </c>
      <c r="G198" s="38">
        <v>648</v>
      </c>
      <c r="H198" s="44">
        <v>0</v>
      </c>
      <c r="I198" s="44">
        <v>0</v>
      </c>
      <c r="J198" s="44">
        <v>0</v>
      </c>
      <c r="K198" s="44">
        <v>0</v>
      </c>
      <c r="L198" s="44">
        <v>0</v>
      </c>
      <c r="M198" s="44">
        <v>0</v>
      </c>
      <c r="N198" s="44">
        <v>0</v>
      </c>
      <c r="O198" s="44">
        <v>0</v>
      </c>
      <c r="P198" s="44">
        <v>0</v>
      </c>
      <c r="Q198" s="44">
        <v>0</v>
      </c>
      <c r="R198" s="44">
        <v>1</v>
      </c>
      <c r="S198" s="44">
        <v>0</v>
      </c>
      <c r="T198" s="44">
        <v>0</v>
      </c>
      <c r="U198" s="44">
        <v>0</v>
      </c>
      <c r="V198" s="44">
        <v>0</v>
      </c>
      <c r="W198" s="44">
        <v>1</v>
      </c>
      <c r="X198" s="44">
        <v>0</v>
      </c>
      <c r="Y198" s="44">
        <v>1</v>
      </c>
      <c r="Z198" s="44">
        <v>0</v>
      </c>
      <c r="AA198" s="44">
        <v>1</v>
      </c>
      <c r="AB198" s="44">
        <v>0</v>
      </c>
      <c r="AC198" s="44">
        <v>1</v>
      </c>
      <c r="AD198" s="39">
        <v>0</v>
      </c>
    </row>
    <row r="199" spans="1:30" x14ac:dyDescent="0.35">
      <c r="A199" s="27" t="s">
        <v>23</v>
      </c>
      <c r="B199" s="28">
        <v>10</v>
      </c>
      <c r="C199" s="28" t="s">
        <v>10</v>
      </c>
      <c r="D199" s="29" t="s">
        <v>11</v>
      </c>
      <c r="E199" s="29" t="s">
        <v>11</v>
      </c>
      <c r="F199" s="29" t="s">
        <v>11</v>
      </c>
      <c r="G199" s="38">
        <v>735</v>
      </c>
      <c r="H199" s="44">
        <v>0</v>
      </c>
      <c r="I199" s="44">
        <v>0</v>
      </c>
      <c r="J199" s="44">
        <v>0</v>
      </c>
      <c r="K199" s="44">
        <v>0</v>
      </c>
      <c r="L199" s="44">
        <v>0</v>
      </c>
      <c r="M199" s="44">
        <v>0</v>
      </c>
      <c r="N199" s="44">
        <v>0</v>
      </c>
      <c r="O199" s="44">
        <v>0</v>
      </c>
      <c r="P199" s="44">
        <v>0</v>
      </c>
      <c r="Q199" s="44">
        <v>0</v>
      </c>
      <c r="R199" s="44">
        <v>1</v>
      </c>
      <c r="S199" s="44">
        <v>0</v>
      </c>
      <c r="T199" s="44">
        <v>0</v>
      </c>
      <c r="U199" s="44">
        <v>0</v>
      </c>
      <c r="V199" s="44">
        <v>0</v>
      </c>
      <c r="W199" s="44">
        <v>0</v>
      </c>
      <c r="X199" s="44">
        <v>1</v>
      </c>
      <c r="Y199" s="44">
        <v>1</v>
      </c>
      <c r="Z199" s="44">
        <v>0</v>
      </c>
      <c r="AA199" s="44">
        <v>1</v>
      </c>
      <c r="AB199" s="44">
        <v>0</v>
      </c>
      <c r="AC199" s="44">
        <v>1</v>
      </c>
      <c r="AD199" s="39">
        <v>0</v>
      </c>
    </row>
    <row r="200" spans="1:30" x14ac:dyDescent="0.35">
      <c r="A200" s="27" t="s">
        <v>23</v>
      </c>
      <c r="B200" s="28">
        <v>11</v>
      </c>
      <c r="C200" s="28" t="s">
        <v>12</v>
      </c>
      <c r="D200" s="29" t="s">
        <v>11</v>
      </c>
      <c r="E200" s="29" t="s">
        <v>11</v>
      </c>
      <c r="F200" s="29" t="s">
        <v>11</v>
      </c>
      <c r="G200" s="38">
        <v>843</v>
      </c>
      <c r="H200" s="44">
        <v>0</v>
      </c>
      <c r="I200" s="44">
        <v>0</v>
      </c>
      <c r="J200" s="44">
        <v>0</v>
      </c>
      <c r="K200" s="44">
        <v>0</v>
      </c>
      <c r="L200" s="44">
        <v>0</v>
      </c>
      <c r="M200" s="44">
        <v>0</v>
      </c>
      <c r="N200" s="44">
        <v>0</v>
      </c>
      <c r="O200" s="44">
        <v>0</v>
      </c>
      <c r="P200" s="44">
        <v>0</v>
      </c>
      <c r="Q200" s="44">
        <v>0</v>
      </c>
      <c r="R200" s="44">
        <v>1</v>
      </c>
      <c r="S200" s="44">
        <v>0</v>
      </c>
      <c r="T200" s="44">
        <v>0</v>
      </c>
      <c r="U200" s="44">
        <v>0</v>
      </c>
      <c r="V200" s="44">
        <v>1</v>
      </c>
      <c r="W200" s="44">
        <v>0</v>
      </c>
      <c r="X200" s="44">
        <v>0</v>
      </c>
      <c r="Y200" s="44">
        <v>1</v>
      </c>
      <c r="Z200" s="44">
        <v>0</v>
      </c>
      <c r="AA200" s="44">
        <v>1</v>
      </c>
      <c r="AB200" s="44">
        <v>0</v>
      </c>
      <c r="AC200" s="44">
        <v>1</v>
      </c>
      <c r="AD200" s="39">
        <v>0</v>
      </c>
    </row>
    <row r="201" spans="1:30" x14ac:dyDescent="0.35">
      <c r="A201" s="27" t="s">
        <v>23</v>
      </c>
      <c r="B201" s="28">
        <v>12</v>
      </c>
      <c r="C201" s="28" t="s">
        <v>13</v>
      </c>
      <c r="D201" s="29" t="s">
        <v>9</v>
      </c>
      <c r="E201" s="29" t="s">
        <v>11</v>
      </c>
      <c r="F201" s="29" t="s">
        <v>11</v>
      </c>
      <c r="G201" s="38">
        <v>1759</v>
      </c>
      <c r="H201" s="44">
        <v>0</v>
      </c>
      <c r="I201" s="44">
        <v>0</v>
      </c>
      <c r="J201" s="44">
        <v>0</v>
      </c>
      <c r="K201" s="44">
        <v>0</v>
      </c>
      <c r="L201" s="44">
        <v>0</v>
      </c>
      <c r="M201" s="44">
        <v>0</v>
      </c>
      <c r="N201" s="44">
        <v>0</v>
      </c>
      <c r="O201" s="44">
        <v>0</v>
      </c>
      <c r="P201" s="44">
        <v>0</v>
      </c>
      <c r="Q201" s="44">
        <v>0</v>
      </c>
      <c r="R201" s="44">
        <v>1</v>
      </c>
      <c r="S201" s="44">
        <v>0</v>
      </c>
      <c r="T201" s="44">
        <v>1</v>
      </c>
      <c r="U201" s="44">
        <v>0</v>
      </c>
      <c r="V201" s="44">
        <v>0</v>
      </c>
      <c r="W201" s="44">
        <v>0</v>
      </c>
      <c r="X201" s="44">
        <v>0</v>
      </c>
      <c r="Y201" s="44">
        <v>0</v>
      </c>
      <c r="Z201" s="44">
        <v>1</v>
      </c>
      <c r="AA201" s="44">
        <v>1</v>
      </c>
      <c r="AB201" s="44">
        <v>0</v>
      </c>
      <c r="AC201" s="44">
        <v>1</v>
      </c>
      <c r="AD201" s="39">
        <v>0</v>
      </c>
    </row>
    <row r="202" spans="1:30" x14ac:dyDescent="0.35">
      <c r="A202" s="27" t="s">
        <v>23</v>
      </c>
      <c r="B202" s="28">
        <v>15</v>
      </c>
      <c r="C202" s="28" t="s">
        <v>14</v>
      </c>
      <c r="D202" s="29" t="s">
        <v>11</v>
      </c>
      <c r="E202" s="29" t="s">
        <v>11</v>
      </c>
      <c r="F202" s="29" t="s">
        <v>11</v>
      </c>
      <c r="G202" s="38">
        <v>1151</v>
      </c>
      <c r="H202" s="44">
        <v>0</v>
      </c>
      <c r="I202" s="44">
        <v>0</v>
      </c>
      <c r="J202" s="44">
        <v>0</v>
      </c>
      <c r="K202" s="44">
        <v>0</v>
      </c>
      <c r="L202" s="44">
        <v>0</v>
      </c>
      <c r="M202" s="44">
        <v>0</v>
      </c>
      <c r="N202" s="44">
        <v>0</v>
      </c>
      <c r="O202" s="44">
        <v>0</v>
      </c>
      <c r="P202" s="44">
        <v>0</v>
      </c>
      <c r="Q202" s="44">
        <v>0</v>
      </c>
      <c r="R202" s="44">
        <v>1</v>
      </c>
      <c r="S202" s="44">
        <v>0</v>
      </c>
      <c r="T202" s="44">
        <v>0</v>
      </c>
      <c r="U202" s="44">
        <v>1</v>
      </c>
      <c r="V202" s="44">
        <v>0</v>
      </c>
      <c r="W202" s="44">
        <v>0</v>
      </c>
      <c r="X202" s="44">
        <v>0</v>
      </c>
      <c r="Y202" s="44">
        <v>1</v>
      </c>
      <c r="Z202" s="44">
        <v>0</v>
      </c>
      <c r="AA202" s="44">
        <v>1</v>
      </c>
      <c r="AB202" s="44">
        <v>0</v>
      </c>
      <c r="AC202" s="44">
        <v>1</v>
      </c>
      <c r="AD202" s="39">
        <v>0</v>
      </c>
    </row>
    <row r="203" spans="1:30" x14ac:dyDescent="0.35">
      <c r="A203" s="27" t="s">
        <v>23</v>
      </c>
      <c r="B203" s="28">
        <v>16</v>
      </c>
      <c r="C203" s="28" t="s">
        <v>8</v>
      </c>
      <c r="D203" s="29" t="s">
        <v>11</v>
      </c>
      <c r="E203" s="29" t="s">
        <v>11</v>
      </c>
      <c r="F203" s="29" t="s">
        <v>11</v>
      </c>
      <c r="G203" s="38">
        <v>752</v>
      </c>
      <c r="H203" s="44">
        <v>0</v>
      </c>
      <c r="I203" s="44">
        <v>0</v>
      </c>
      <c r="J203" s="44">
        <v>0</v>
      </c>
      <c r="K203" s="44">
        <v>0</v>
      </c>
      <c r="L203" s="44">
        <v>0</v>
      </c>
      <c r="M203" s="44">
        <v>0</v>
      </c>
      <c r="N203" s="44">
        <v>0</v>
      </c>
      <c r="O203" s="44">
        <v>0</v>
      </c>
      <c r="P203" s="44">
        <v>0</v>
      </c>
      <c r="Q203" s="44">
        <v>0</v>
      </c>
      <c r="R203" s="44">
        <v>1</v>
      </c>
      <c r="S203" s="44">
        <v>0</v>
      </c>
      <c r="T203" s="44">
        <v>0</v>
      </c>
      <c r="U203" s="44">
        <v>0</v>
      </c>
      <c r="V203" s="44">
        <v>0</v>
      </c>
      <c r="W203" s="44">
        <v>1</v>
      </c>
      <c r="X203" s="44">
        <v>0</v>
      </c>
      <c r="Y203" s="44">
        <v>1</v>
      </c>
      <c r="Z203" s="44">
        <v>0</v>
      </c>
      <c r="AA203" s="44">
        <v>1</v>
      </c>
      <c r="AB203" s="44">
        <v>0</v>
      </c>
      <c r="AC203" s="44">
        <v>1</v>
      </c>
      <c r="AD203" s="39">
        <v>0</v>
      </c>
    </row>
    <row r="204" spans="1:30" x14ac:dyDescent="0.35">
      <c r="A204" s="27" t="s">
        <v>23</v>
      </c>
      <c r="B204" s="28">
        <v>17</v>
      </c>
      <c r="C204" s="28" t="s">
        <v>10</v>
      </c>
      <c r="D204" s="29" t="s">
        <v>11</v>
      </c>
      <c r="E204" s="29" t="s">
        <v>11</v>
      </c>
      <c r="F204" s="29" t="s">
        <v>11</v>
      </c>
      <c r="G204" s="38">
        <v>693</v>
      </c>
      <c r="H204" s="44">
        <v>0</v>
      </c>
      <c r="I204" s="44">
        <v>0</v>
      </c>
      <c r="J204" s="44">
        <v>0</v>
      </c>
      <c r="K204" s="44">
        <v>0</v>
      </c>
      <c r="L204" s="44">
        <v>0</v>
      </c>
      <c r="M204" s="44">
        <v>0</v>
      </c>
      <c r="N204" s="44">
        <v>0</v>
      </c>
      <c r="O204" s="44">
        <v>0</v>
      </c>
      <c r="P204" s="44">
        <v>0</v>
      </c>
      <c r="Q204" s="44">
        <v>0</v>
      </c>
      <c r="R204" s="44">
        <v>1</v>
      </c>
      <c r="S204" s="44">
        <v>0</v>
      </c>
      <c r="T204" s="44">
        <v>0</v>
      </c>
      <c r="U204" s="44">
        <v>0</v>
      </c>
      <c r="V204" s="44">
        <v>0</v>
      </c>
      <c r="W204" s="44">
        <v>0</v>
      </c>
      <c r="X204" s="44">
        <v>1</v>
      </c>
      <c r="Y204" s="44">
        <v>1</v>
      </c>
      <c r="Z204" s="44">
        <v>0</v>
      </c>
      <c r="AA204" s="44">
        <v>1</v>
      </c>
      <c r="AB204" s="44">
        <v>0</v>
      </c>
      <c r="AC204" s="44">
        <v>1</v>
      </c>
      <c r="AD204" s="39">
        <v>0</v>
      </c>
    </row>
    <row r="205" spans="1:30" x14ac:dyDescent="0.35">
      <c r="A205" s="27" t="s">
        <v>23</v>
      </c>
      <c r="B205" s="28">
        <v>18</v>
      </c>
      <c r="C205" s="28" t="s">
        <v>12</v>
      </c>
      <c r="D205" s="29" t="s">
        <v>11</v>
      </c>
      <c r="E205" s="29" t="s">
        <v>11</v>
      </c>
      <c r="F205" s="29" t="s">
        <v>11</v>
      </c>
      <c r="G205" s="38">
        <v>649</v>
      </c>
      <c r="H205" s="44">
        <v>0</v>
      </c>
      <c r="I205" s="44">
        <v>0</v>
      </c>
      <c r="J205" s="44">
        <v>0</v>
      </c>
      <c r="K205" s="44">
        <v>0</v>
      </c>
      <c r="L205" s="44">
        <v>0</v>
      </c>
      <c r="M205" s="44">
        <v>0</v>
      </c>
      <c r="N205" s="44">
        <v>0</v>
      </c>
      <c r="O205" s="44">
        <v>0</v>
      </c>
      <c r="P205" s="44">
        <v>0</v>
      </c>
      <c r="Q205" s="44">
        <v>0</v>
      </c>
      <c r="R205" s="44">
        <v>1</v>
      </c>
      <c r="S205" s="44">
        <v>0</v>
      </c>
      <c r="T205" s="44">
        <v>0</v>
      </c>
      <c r="U205" s="44">
        <v>0</v>
      </c>
      <c r="V205" s="44">
        <v>1</v>
      </c>
      <c r="W205" s="44">
        <v>0</v>
      </c>
      <c r="X205" s="44">
        <v>0</v>
      </c>
      <c r="Y205" s="44">
        <v>1</v>
      </c>
      <c r="Z205" s="44">
        <v>0</v>
      </c>
      <c r="AA205" s="44">
        <v>1</v>
      </c>
      <c r="AB205" s="44">
        <v>0</v>
      </c>
      <c r="AC205" s="44">
        <v>1</v>
      </c>
      <c r="AD205" s="39">
        <v>0</v>
      </c>
    </row>
    <row r="206" spans="1:30" x14ac:dyDescent="0.35">
      <c r="A206" s="27" t="s">
        <v>23</v>
      </c>
      <c r="B206" s="28">
        <v>19</v>
      </c>
      <c r="C206" s="28" t="s">
        <v>13</v>
      </c>
      <c r="D206" s="29" t="s">
        <v>11</v>
      </c>
      <c r="E206" s="29" t="s">
        <v>11</v>
      </c>
      <c r="F206" s="29" t="s">
        <v>11</v>
      </c>
      <c r="G206" s="38">
        <v>1158</v>
      </c>
      <c r="H206" s="44">
        <v>0</v>
      </c>
      <c r="I206" s="44">
        <v>0</v>
      </c>
      <c r="J206" s="44">
        <v>0</v>
      </c>
      <c r="K206" s="44">
        <v>0</v>
      </c>
      <c r="L206" s="44">
        <v>0</v>
      </c>
      <c r="M206" s="44">
        <v>0</v>
      </c>
      <c r="N206" s="44">
        <v>0</v>
      </c>
      <c r="O206" s="44">
        <v>0</v>
      </c>
      <c r="P206" s="44">
        <v>0</v>
      </c>
      <c r="Q206" s="44">
        <v>0</v>
      </c>
      <c r="R206" s="44">
        <v>1</v>
      </c>
      <c r="S206" s="44">
        <v>0</v>
      </c>
      <c r="T206" s="44">
        <v>1</v>
      </c>
      <c r="U206" s="44">
        <v>0</v>
      </c>
      <c r="V206" s="44">
        <v>0</v>
      </c>
      <c r="W206" s="44">
        <v>0</v>
      </c>
      <c r="X206" s="44">
        <v>0</v>
      </c>
      <c r="Y206" s="44">
        <v>1</v>
      </c>
      <c r="Z206" s="44">
        <v>0</v>
      </c>
      <c r="AA206" s="44">
        <v>1</v>
      </c>
      <c r="AB206" s="44">
        <v>0</v>
      </c>
      <c r="AC206" s="44">
        <v>1</v>
      </c>
      <c r="AD206" s="39">
        <v>0</v>
      </c>
    </row>
    <row r="207" spans="1:30" x14ac:dyDescent="0.35">
      <c r="A207" s="27" t="s">
        <v>23</v>
      </c>
      <c r="B207" s="28">
        <v>22</v>
      </c>
      <c r="C207" s="28" t="s">
        <v>14</v>
      </c>
      <c r="D207" s="29" t="s">
        <v>11</v>
      </c>
      <c r="E207" s="29" t="s">
        <v>11</v>
      </c>
      <c r="F207" s="29" t="s">
        <v>11</v>
      </c>
      <c r="G207" s="38">
        <v>931</v>
      </c>
      <c r="H207" s="44">
        <v>0</v>
      </c>
      <c r="I207" s="44">
        <v>0</v>
      </c>
      <c r="J207" s="44">
        <v>0</v>
      </c>
      <c r="K207" s="44">
        <v>0</v>
      </c>
      <c r="L207" s="44">
        <v>0</v>
      </c>
      <c r="M207" s="44">
        <v>0</v>
      </c>
      <c r="N207" s="44">
        <v>0</v>
      </c>
      <c r="O207" s="44">
        <v>0</v>
      </c>
      <c r="P207" s="44">
        <v>0</v>
      </c>
      <c r="Q207" s="44">
        <v>0</v>
      </c>
      <c r="R207" s="44">
        <v>1</v>
      </c>
      <c r="S207" s="44">
        <v>0</v>
      </c>
      <c r="T207" s="44">
        <v>0</v>
      </c>
      <c r="U207" s="44">
        <v>1</v>
      </c>
      <c r="V207" s="44">
        <v>0</v>
      </c>
      <c r="W207" s="44">
        <v>0</v>
      </c>
      <c r="X207" s="44">
        <v>0</v>
      </c>
      <c r="Y207" s="44">
        <v>1</v>
      </c>
      <c r="Z207" s="44">
        <v>0</v>
      </c>
      <c r="AA207" s="44">
        <v>1</v>
      </c>
      <c r="AB207" s="44">
        <v>0</v>
      </c>
      <c r="AC207" s="44">
        <v>1</v>
      </c>
      <c r="AD207" s="39">
        <v>0</v>
      </c>
    </row>
    <row r="208" spans="1:30" x14ac:dyDescent="0.35">
      <c r="A208" s="27" t="s">
        <v>23</v>
      </c>
      <c r="B208" s="28">
        <v>23</v>
      </c>
      <c r="C208" s="28" t="s">
        <v>8</v>
      </c>
      <c r="D208" s="29" t="s">
        <v>11</v>
      </c>
      <c r="E208" s="29" t="s">
        <v>11</v>
      </c>
      <c r="F208" s="29" t="s">
        <v>11</v>
      </c>
      <c r="G208" s="38">
        <v>761</v>
      </c>
      <c r="H208" s="44">
        <v>0</v>
      </c>
      <c r="I208" s="44">
        <v>0</v>
      </c>
      <c r="J208" s="44">
        <v>0</v>
      </c>
      <c r="K208" s="44">
        <v>0</v>
      </c>
      <c r="L208" s="44">
        <v>0</v>
      </c>
      <c r="M208" s="44">
        <v>0</v>
      </c>
      <c r="N208" s="44">
        <v>0</v>
      </c>
      <c r="O208" s="44">
        <v>0</v>
      </c>
      <c r="P208" s="44">
        <v>0</v>
      </c>
      <c r="Q208" s="44">
        <v>0</v>
      </c>
      <c r="R208" s="44">
        <v>1</v>
      </c>
      <c r="S208" s="44">
        <v>0</v>
      </c>
      <c r="T208" s="44">
        <v>0</v>
      </c>
      <c r="U208" s="44">
        <v>0</v>
      </c>
      <c r="V208" s="44">
        <v>0</v>
      </c>
      <c r="W208" s="44">
        <v>1</v>
      </c>
      <c r="X208" s="44">
        <v>0</v>
      </c>
      <c r="Y208" s="44">
        <v>1</v>
      </c>
      <c r="Z208" s="44">
        <v>0</v>
      </c>
      <c r="AA208" s="44">
        <v>1</v>
      </c>
      <c r="AB208" s="44">
        <v>0</v>
      </c>
      <c r="AC208" s="44">
        <v>1</v>
      </c>
      <c r="AD208" s="39">
        <v>0</v>
      </c>
    </row>
    <row r="209" spans="1:30" x14ac:dyDescent="0.35">
      <c r="A209" s="27" t="s">
        <v>23</v>
      </c>
      <c r="B209" s="28">
        <v>24</v>
      </c>
      <c r="C209" s="28" t="s">
        <v>10</v>
      </c>
      <c r="D209" s="29" t="s">
        <v>11</v>
      </c>
      <c r="E209" s="29" t="s">
        <v>11</v>
      </c>
      <c r="F209" s="29" t="s">
        <v>11</v>
      </c>
      <c r="G209" s="38">
        <v>670</v>
      </c>
      <c r="H209" s="44">
        <v>0</v>
      </c>
      <c r="I209" s="44">
        <v>0</v>
      </c>
      <c r="J209" s="44">
        <v>0</v>
      </c>
      <c r="K209" s="44">
        <v>0</v>
      </c>
      <c r="L209" s="44">
        <v>0</v>
      </c>
      <c r="M209" s="44">
        <v>0</v>
      </c>
      <c r="N209" s="44">
        <v>0</v>
      </c>
      <c r="O209" s="44">
        <v>0</v>
      </c>
      <c r="P209" s="44">
        <v>0</v>
      </c>
      <c r="Q209" s="44">
        <v>0</v>
      </c>
      <c r="R209" s="44">
        <v>1</v>
      </c>
      <c r="S209" s="44">
        <v>0</v>
      </c>
      <c r="T209" s="44">
        <v>0</v>
      </c>
      <c r="U209" s="44">
        <v>0</v>
      </c>
      <c r="V209" s="44">
        <v>0</v>
      </c>
      <c r="W209" s="44">
        <v>0</v>
      </c>
      <c r="X209" s="44">
        <v>1</v>
      </c>
      <c r="Y209" s="44">
        <v>1</v>
      </c>
      <c r="Z209" s="44">
        <v>0</v>
      </c>
      <c r="AA209" s="44">
        <v>1</v>
      </c>
      <c r="AB209" s="44">
        <v>0</v>
      </c>
      <c r="AC209" s="44">
        <v>1</v>
      </c>
      <c r="AD209" s="39">
        <v>0</v>
      </c>
    </row>
    <row r="210" spans="1:30" x14ac:dyDescent="0.35">
      <c r="A210" s="27" t="s">
        <v>23</v>
      </c>
      <c r="B210" s="28">
        <v>25</v>
      </c>
      <c r="C210" s="28" t="s">
        <v>12</v>
      </c>
      <c r="D210" s="29" t="s">
        <v>11</v>
      </c>
      <c r="E210" s="29" t="s">
        <v>11</v>
      </c>
      <c r="F210" s="29" t="s">
        <v>11</v>
      </c>
      <c r="G210" s="38">
        <v>820</v>
      </c>
      <c r="H210" s="44">
        <v>0</v>
      </c>
      <c r="I210" s="44">
        <v>0</v>
      </c>
      <c r="J210" s="44">
        <v>0</v>
      </c>
      <c r="K210" s="44">
        <v>0</v>
      </c>
      <c r="L210" s="44">
        <v>0</v>
      </c>
      <c r="M210" s="44">
        <v>0</v>
      </c>
      <c r="N210" s="44">
        <v>0</v>
      </c>
      <c r="O210" s="44">
        <v>0</v>
      </c>
      <c r="P210" s="44">
        <v>0</v>
      </c>
      <c r="Q210" s="44">
        <v>0</v>
      </c>
      <c r="R210" s="44">
        <v>1</v>
      </c>
      <c r="S210" s="44">
        <v>0</v>
      </c>
      <c r="T210" s="44">
        <v>0</v>
      </c>
      <c r="U210" s="44">
        <v>0</v>
      </c>
      <c r="V210" s="44">
        <v>1</v>
      </c>
      <c r="W210" s="44">
        <v>0</v>
      </c>
      <c r="X210" s="44">
        <v>0</v>
      </c>
      <c r="Y210" s="44">
        <v>1</v>
      </c>
      <c r="Z210" s="44">
        <v>0</v>
      </c>
      <c r="AA210" s="44">
        <v>1</v>
      </c>
      <c r="AB210" s="44">
        <v>0</v>
      </c>
      <c r="AC210" s="44">
        <v>1</v>
      </c>
      <c r="AD210" s="39">
        <v>0</v>
      </c>
    </row>
    <row r="211" spans="1:30" x14ac:dyDescent="0.35">
      <c r="A211" s="27" t="s">
        <v>23</v>
      </c>
      <c r="B211" s="28">
        <v>26</v>
      </c>
      <c r="C211" s="28" t="s">
        <v>13</v>
      </c>
      <c r="D211" s="29" t="s">
        <v>9</v>
      </c>
      <c r="E211" s="29" t="s">
        <v>11</v>
      </c>
      <c r="F211" s="29" t="s">
        <v>11</v>
      </c>
      <c r="G211" s="38">
        <v>1543</v>
      </c>
      <c r="H211" s="44">
        <v>0</v>
      </c>
      <c r="I211" s="44">
        <v>0</v>
      </c>
      <c r="J211" s="44">
        <v>0</v>
      </c>
      <c r="K211" s="44">
        <v>0</v>
      </c>
      <c r="L211" s="44">
        <v>0</v>
      </c>
      <c r="M211" s="44">
        <v>0</v>
      </c>
      <c r="N211" s="44">
        <v>0</v>
      </c>
      <c r="O211" s="44">
        <v>0</v>
      </c>
      <c r="P211" s="44">
        <v>0</v>
      </c>
      <c r="Q211" s="44">
        <v>0</v>
      </c>
      <c r="R211" s="44">
        <v>1</v>
      </c>
      <c r="S211" s="44">
        <v>0</v>
      </c>
      <c r="T211" s="44">
        <v>1</v>
      </c>
      <c r="U211" s="44">
        <v>0</v>
      </c>
      <c r="V211" s="44">
        <v>0</v>
      </c>
      <c r="W211" s="44">
        <v>0</v>
      </c>
      <c r="X211" s="44">
        <v>0</v>
      </c>
      <c r="Y211" s="44">
        <v>0</v>
      </c>
      <c r="Z211" s="44">
        <v>1</v>
      </c>
      <c r="AA211" s="44">
        <v>1</v>
      </c>
      <c r="AB211" s="44">
        <v>0</v>
      </c>
      <c r="AC211" s="44">
        <v>1</v>
      </c>
      <c r="AD211" s="39">
        <v>0</v>
      </c>
    </row>
    <row r="212" spans="1:30" x14ac:dyDescent="0.35">
      <c r="A212" s="27" t="s">
        <v>23</v>
      </c>
      <c r="B212" s="28">
        <v>29</v>
      </c>
      <c r="C212" s="28" t="s">
        <v>14</v>
      </c>
      <c r="D212" s="29" t="s">
        <v>11</v>
      </c>
      <c r="E212" s="29" t="s">
        <v>11</v>
      </c>
      <c r="F212" s="29" t="s">
        <v>11</v>
      </c>
      <c r="G212" s="38">
        <v>974</v>
      </c>
      <c r="H212" s="44">
        <v>0</v>
      </c>
      <c r="I212" s="44">
        <v>0</v>
      </c>
      <c r="J212" s="44">
        <v>0</v>
      </c>
      <c r="K212" s="44">
        <v>0</v>
      </c>
      <c r="L212" s="44">
        <v>0</v>
      </c>
      <c r="M212" s="44">
        <v>0</v>
      </c>
      <c r="N212" s="44">
        <v>0</v>
      </c>
      <c r="O212" s="44">
        <v>0</v>
      </c>
      <c r="P212" s="44">
        <v>0</v>
      </c>
      <c r="Q212" s="44">
        <v>0</v>
      </c>
      <c r="R212" s="44">
        <v>1</v>
      </c>
      <c r="S212" s="44">
        <v>0</v>
      </c>
      <c r="T212" s="44">
        <v>0</v>
      </c>
      <c r="U212" s="44">
        <v>1</v>
      </c>
      <c r="V212" s="44">
        <v>0</v>
      </c>
      <c r="W212" s="44">
        <v>0</v>
      </c>
      <c r="X212" s="44">
        <v>0</v>
      </c>
      <c r="Y212" s="44">
        <v>1</v>
      </c>
      <c r="Z212" s="44">
        <v>0</v>
      </c>
      <c r="AA212" s="44">
        <v>1</v>
      </c>
      <c r="AB212" s="44">
        <v>0</v>
      </c>
      <c r="AC212" s="44">
        <v>1</v>
      </c>
      <c r="AD212" s="39">
        <v>0</v>
      </c>
    </row>
    <row r="213" spans="1:30" x14ac:dyDescent="0.35">
      <c r="A213" s="27" t="s">
        <v>23</v>
      </c>
      <c r="B213" s="28">
        <v>30</v>
      </c>
      <c r="C213" s="28" t="s">
        <v>8</v>
      </c>
      <c r="D213" s="29" t="s">
        <v>11</v>
      </c>
      <c r="E213" s="29" t="s">
        <v>11</v>
      </c>
      <c r="F213" s="29" t="s">
        <v>11</v>
      </c>
      <c r="G213" s="38">
        <v>685</v>
      </c>
      <c r="H213" s="44">
        <v>0</v>
      </c>
      <c r="I213" s="44">
        <v>0</v>
      </c>
      <c r="J213" s="44">
        <v>0</v>
      </c>
      <c r="K213" s="44">
        <v>0</v>
      </c>
      <c r="L213" s="44">
        <v>0</v>
      </c>
      <c r="M213" s="44">
        <v>0</v>
      </c>
      <c r="N213" s="44">
        <v>0</v>
      </c>
      <c r="O213" s="44">
        <v>0</v>
      </c>
      <c r="P213" s="44">
        <v>0</v>
      </c>
      <c r="Q213" s="44">
        <v>0</v>
      </c>
      <c r="R213" s="44">
        <v>1</v>
      </c>
      <c r="S213" s="44">
        <v>0</v>
      </c>
      <c r="T213" s="44">
        <v>0</v>
      </c>
      <c r="U213" s="44">
        <v>0</v>
      </c>
      <c r="V213" s="44">
        <v>0</v>
      </c>
      <c r="W213" s="44">
        <v>1</v>
      </c>
      <c r="X213" s="44">
        <v>0</v>
      </c>
      <c r="Y213" s="44">
        <v>1</v>
      </c>
      <c r="Z213" s="44">
        <v>0</v>
      </c>
      <c r="AA213" s="44">
        <v>1</v>
      </c>
      <c r="AB213" s="44">
        <v>0</v>
      </c>
      <c r="AC213" s="44">
        <v>1</v>
      </c>
      <c r="AD213" s="39">
        <v>0</v>
      </c>
    </row>
    <row r="214" spans="1:30" x14ac:dyDescent="0.35">
      <c r="A214" s="27" t="s">
        <v>23</v>
      </c>
      <c r="B214" s="28">
        <v>31</v>
      </c>
      <c r="C214" s="28" t="s">
        <v>10</v>
      </c>
      <c r="D214" s="29" t="s">
        <v>11</v>
      </c>
      <c r="E214" s="29" t="s">
        <v>11</v>
      </c>
      <c r="F214" s="29" t="s">
        <v>11</v>
      </c>
      <c r="G214" s="38">
        <v>848</v>
      </c>
      <c r="H214" s="44">
        <v>0</v>
      </c>
      <c r="I214" s="44">
        <v>0</v>
      </c>
      <c r="J214" s="44">
        <v>0</v>
      </c>
      <c r="K214" s="44">
        <v>0</v>
      </c>
      <c r="L214" s="44">
        <v>0</v>
      </c>
      <c r="M214" s="44">
        <v>0</v>
      </c>
      <c r="N214" s="44">
        <v>0</v>
      </c>
      <c r="O214" s="44">
        <v>0</v>
      </c>
      <c r="P214" s="44">
        <v>0</v>
      </c>
      <c r="Q214" s="44">
        <v>0</v>
      </c>
      <c r="R214" s="44">
        <v>1</v>
      </c>
      <c r="S214" s="44">
        <v>0</v>
      </c>
      <c r="T214" s="44">
        <v>0</v>
      </c>
      <c r="U214" s="44">
        <v>0</v>
      </c>
      <c r="V214" s="44">
        <v>0</v>
      </c>
      <c r="W214" s="44">
        <v>0</v>
      </c>
      <c r="X214" s="44">
        <v>1</v>
      </c>
      <c r="Y214" s="44">
        <v>1</v>
      </c>
      <c r="Z214" s="44">
        <v>0</v>
      </c>
      <c r="AA214" s="44">
        <v>1</v>
      </c>
      <c r="AB214" s="44">
        <v>0</v>
      </c>
      <c r="AC214" s="44">
        <v>1</v>
      </c>
      <c r="AD214" s="39">
        <v>0</v>
      </c>
    </row>
    <row r="215" spans="1:30" x14ac:dyDescent="0.35">
      <c r="A215" s="27" t="s">
        <v>24</v>
      </c>
      <c r="B215" s="28">
        <v>1</v>
      </c>
      <c r="C215" s="28" t="s">
        <v>12</v>
      </c>
      <c r="D215" s="29" t="s">
        <v>11</v>
      </c>
      <c r="E215" s="29" t="s">
        <v>9</v>
      </c>
      <c r="F215" s="29" t="s">
        <v>11</v>
      </c>
      <c r="G215" s="38">
        <v>1406</v>
      </c>
      <c r="H215" s="44">
        <v>0</v>
      </c>
      <c r="I215" s="44">
        <v>0</v>
      </c>
      <c r="J215" s="44">
        <v>0</v>
      </c>
      <c r="K215" s="44">
        <v>0</v>
      </c>
      <c r="L215" s="44">
        <v>0</v>
      </c>
      <c r="M215" s="44">
        <v>0</v>
      </c>
      <c r="N215" s="44">
        <v>0</v>
      </c>
      <c r="O215" s="44">
        <v>0</v>
      </c>
      <c r="P215" s="44">
        <v>0</v>
      </c>
      <c r="Q215" s="44">
        <v>1</v>
      </c>
      <c r="R215" s="44">
        <v>0</v>
      </c>
      <c r="S215" s="44">
        <v>0</v>
      </c>
      <c r="T215" s="44">
        <v>0</v>
      </c>
      <c r="U215" s="44">
        <v>0</v>
      </c>
      <c r="V215" s="44">
        <v>1</v>
      </c>
      <c r="W215" s="44">
        <v>0</v>
      </c>
      <c r="X215" s="44">
        <v>0</v>
      </c>
      <c r="Y215" s="44">
        <v>1</v>
      </c>
      <c r="Z215" s="44">
        <v>0</v>
      </c>
      <c r="AA215" s="44">
        <v>0</v>
      </c>
      <c r="AB215" s="44">
        <v>1</v>
      </c>
      <c r="AC215" s="44">
        <v>1</v>
      </c>
      <c r="AD215" s="39">
        <v>0</v>
      </c>
    </row>
    <row r="216" spans="1:30" x14ac:dyDescent="0.35">
      <c r="A216" s="27" t="s">
        <v>24</v>
      </c>
      <c r="B216" s="28">
        <v>2</v>
      </c>
      <c r="C216" s="28" t="s">
        <v>13</v>
      </c>
      <c r="D216" s="29" t="s">
        <v>11</v>
      </c>
      <c r="E216" s="29" t="s">
        <v>11</v>
      </c>
      <c r="F216" s="29" t="s">
        <v>11</v>
      </c>
      <c r="G216" s="38">
        <v>1578</v>
      </c>
      <c r="H216" s="44">
        <v>0</v>
      </c>
      <c r="I216" s="44">
        <v>0</v>
      </c>
      <c r="J216" s="44">
        <v>0</v>
      </c>
      <c r="K216" s="44">
        <v>0</v>
      </c>
      <c r="L216" s="44">
        <v>0</v>
      </c>
      <c r="M216" s="44">
        <v>0</v>
      </c>
      <c r="N216" s="44">
        <v>0</v>
      </c>
      <c r="O216" s="44">
        <v>0</v>
      </c>
      <c r="P216" s="44">
        <v>0</v>
      </c>
      <c r="Q216" s="44">
        <v>1</v>
      </c>
      <c r="R216" s="44">
        <v>0</v>
      </c>
      <c r="S216" s="44">
        <v>0</v>
      </c>
      <c r="T216" s="44">
        <v>1</v>
      </c>
      <c r="U216" s="44">
        <v>0</v>
      </c>
      <c r="V216" s="44">
        <v>0</v>
      </c>
      <c r="W216" s="44">
        <v>0</v>
      </c>
      <c r="X216" s="44">
        <v>0</v>
      </c>
      <c r="Y216" s="44">
        <v>1</v>
      </c>
      <c r="Z216" s="44">
        <v>0</v>
      </c>
      <c r="AA216" s="44">
        <v>1</v>
      </c>
      <c r="AB216" s="44">
        <v>0</v>
      </c>
      <c r="AC216" s="44">
        <v>1</v>
      </c>
      <c r="AD216" s="39">
        <v>0</v>
      </c>
    </row>
    <row r="217" spans="1:30" x14ac:dyDescent="0.35">
      <c r="A217" s="27" t="s">
        <v>24</v>
      </c>
      <c r="B217" s="28">
        <v>5</v>
      </c>
      <c r="C217" s="28" t="s">
        <v>14</v>
      </c>
      <c r="D217" s="29" t="s">
        <v>11</v>
      </c>
      <c r="E217" s="29" t="s">
        <v>11</v>
      </c>
      <c r="F217" s="29" t="s">
        <v>11</v>
      </c>
      <c r="G217" s="38">
        <v>1004</v>
      </c>
      <c r="H217" s="44">
        <v>0</v>
      </c>
      <c r="I217" s="44">
        <v>0</v>
      </c>
      <c r="J217" s="44">
        <v>0</v>
      </c>
      <c r="K217" s="44">
        <v>0</v>
      </c>
      <c r="L217" s="44">
        <v>0</v>
      </c>
      <c r="M217" s="44">
        <v>0</v>
      </c>
      <c r="N217" s="44">
        <v>0</v>
      </c>
      <c r="O217" s="44">
        <v>0</v>
      </c>
      <c r="P217" s="44">
        <v>0</v>
      </c>
      <c r="Q217" s="44">
        <v>1</v>
      </c>
      <c r="R217" s="44">
        <v>0</v>
      </c>
      <c r="S217" s="44">
        <v>0</v>
      </c>
      <c r="T217" s="44">
        <v>0</v>
      </c>
      <c r="U217" s="44">
        <v>1</v>
      </c>
      <c r="V217" s="44">
        <v>0</v>
      </c>
      <c r="W217" s="44">
        <v>0</v>
      </c>
      <c r="X217" s="44">
        <v>0</v>
      </c>
      <c r="Y217" s="44">
        <v>1</v>
      </c>
      <c r="Z217" s="44">
        <v>0</v>
      </c>
      <c r="AA217" s="44">
        <v>1</v>
      </c>
      <c r="AB217" s="44">
        <v>0</v>
      </c>
      <c r="AC217" s="44">
        <v>1</v>
      </c>
      <c r="AD217" s="39">
        <v>0</v>
      </c>
    </row>
    <row r="218" spans="1:30" x14ac:dyDescent="0.35">
      <c r="A218" s="27" t="s">
        <v>24</v>
      </c>
      <c r="B218" s="28">
        <v>6</v>
      </c>
      <c r="C218" s="28" t="s">
        <v>8</v>
      </c>
      <c r="D218" s="29" t="s">
        <v>11</v>
      </c>
      <c r="E218" s="29" t="s">
        <v>11</v>
      </c>
      <c r="F218" s="29" t="s">
        <v>11</v>
      </c>
      <c r="G218" s="38">
        <v>742</v>
      </c>
      <c r="H218" s="44">
        <v>0</v>
      </c>
      <c r="I218" s="44">
        <v>0</v>
      </c>
      <c r="J218" s="44">
        <v>0</v>
      </c>
      <c r="K218" s="44">
        <v>0</v>
      </c>
      <c r="L218" s="44">
        <v>0</v>
      </c>
      <c r="M218" s="44">
        <v>0</v>
      </c>
      <c r="N218" s="44">
        <v>0</v>
      </c>
      <c r="O218" s="44">
        <v>0</v>
      </c>
      <c r="P218" s="44">
        <v>0</v>
      </c>
      <c r="Q218" s="44">
        <v>1</v>
      </c>
      <c r="R218" s="44">
        <v>0</v>
      </c>
      <c r="S218" s="44">
        <v>0</v>
      </c>
      <c r="T218" s="44">
        <v>0</v>
      </c>
      <c r="U218" s="44">
        <v>0</v>
      </c>
      <c r="V218" s="44">
        <v>0</v>
      </c>
      <c r="W218" s="44">
        <v>1</v>
      </c>
      <c r="X218" s="44">
        <v>0</v>
      </c>
      <c r="Y218" s="44">
        <v>1</v>
      </c>
      <c r="Z218" s="44">
        <v>0</v>
      </c>
      <c r="AA218" s="44">
        <v>1</v>
      </c>
      <c r="AB218" s="44">
        <v>0</v>
      </c>
      <c r="AC218" s="44">
        <v>1</v>
      </c>
      <c r="AD218" s="39">
        <v>0</v>
      </c>
    </row>
    <row r="219" spans="1:30" x14ac:dyDescent="0.35">
      <c r="A219" s="27" t="s">
        <v>24</v>
      </c>
      <c r="B219" s="28">
        <v>7</v>
      </c>
      <c r="C219" s="28" t="s">
        <v>10</v>
      </c>
      <c r="D219" s="29" t="s">
        <v>11</v>
      </c>
      <c r="E219" s="29" t="s">
        <v>11</v>
      </c>
      <c r="F219" s="29" t="s">
        <v>11</v>
      </c>
      <c r="G219" s="38">
        <v>685</v>
      </c>
      <c r="H219" s="44">
        <v>0</v>
      </c>
      <c r="I219" s="44">
        <v>0</v>
      </c>
      <c r="J219" s="44">
        <v>0</v>
      </c>
      <c r="K219" s="44">
        <v>0</v>
      </c>
      <c r="L219" s="44">
        <v>0</v>
      </c>
      <c r="M219" s="44">
        <v>0</v>
      </c>
      <c r="N219" s="44">
        <v>0</v>
      </c>
      <c r="O219" s="44">
        <v>0</v>
      </c>
      <c r="P219" s="44">
        <v>0</v>
      </c>
      <c r="Q219" s="44">
        <v>1</v>
      </c>
      <c r="R219" s="44">
        <v>0</v>
      </c>
      <c r="S219" s="44">
        <v>0</v>
      </c>
      <c r="T219" s="44">
        <v>0</v>
      </c>
      <c r="U219" s="44">
        <v>0</v>
      </c>
      <c r="V219" s="44">
        <v>0</v>
      </c>
      <c r="W219" s="44">
        <v>0</v>
      </c>
      <c r="X219" s="44">
        <v>1</v>
      </c>
      <c r="Y219" s="44">
        <v>1</v>
      </c>
      <c r="Z219" s="44">
        <v>0</v>
      </c>
      <c r="AA219" s="44">
        <v>1</v>
      </c>
      <c r="AB219" s="44">
        <v>0</v>
      </c>
      <c r="AC219" s="44">
        <v>1</v>
      </c>
      <c r="AD219" s="39">
        <v>0</v>
      </c>
    </row>
    <row r="220" spans="1:30" x14ac:dyDescent="0.35">
      <c r="A220" s="27" t="s">
        <v>24</v>
      </c>
      <c r="B220" s="28">
        <v>8</v>
      </c>
      <c r="C220" s="28" t="s">
        <v>12</v>
      </c>
      <c r="D220" s="29" t="s">
        <v>11</v>
      </c>
      <c r="E220" s="29" t="s">
        <v>11</v>
      </c>
      <c r="F220" s="29" t="s">
        <v>11</v>
      </c>
      <c r="G220" s="38">
        <v>800</v>
      </c>
      <c r="H220" s="44">
        <v>0</v>
      </c>
      <c r="I220" s="44">
        <v>0</v>
      </c>
      <c r="J220" s="44">
        <v>0</v>
      </c>
      <c r="K220" s="44">
        <v>0</v>
      </c>
      <c r="L220" s="44">
        <v>0</v>
      </c>
      <c r="M220" s="44">
        <v>0</v>
      </c>
      <c r="N220" s="44">
        <v>0</v>
      </c>
      <c r="O220" s="44">
        <v>0</v>
      </c>
      <c r="P220" s="44">
        <v>0</v>
      </c>
      <c r="Q220" s="44">
        <v>1</v>
      </c>
      <c r="R220" s="44">
        <v>0</v>
      </c>
      <c r="S220" s="44">
        <v>0</v>
      </c>
      <c r="T220" s="44">
        <v>0</v>
      </c>
      <c r="U220" s="44">
        <v>0</v>
      </c>
      <c r="V220" s="44">
        <v>1</v>
      </c>
      <c r="W220" s="44">
        <v>0</v>
      </c>
      <c r="X220" s="44">
        <v>0</v>
      </c>
      <c r="Y220" s="44">
        <v>1</v>
      </c>
      <c r="Z220" s="44">
        <v>0</v>
      </c>
      <c r="AA220" s="44">
        <v>1</v>
      </c>
      <c r="AB220" s="44">
        <v>0</v>
      </c>
      <c r="AC220" s="44">
        <v>1</v>
      </c>
      <c r="AD220" s="39">
        <v>0</v>
      </c>
    </row>
    <row r="221" spans="1:30" x14ac:dyDescent="0.35">
      <c r="A221" s="27" t="s">
        <v>24</v>
      </c>
      <c r="B221" s="28">
        <v>9</v>
      </c>
      <c r="C221" s="28" t="s">
        <v>13</v>
      </c>
      <c r="D221" s="29" t="s">
        <v>9</v>
      </c>
      <c r="E221" s="29" t="s">
        <v>11</v>
      </c>
      <c r="F221" s="29" t="s">
        <v>11</v>
      </c>
      <c r="G221" s="38">
        <v>1454</v>
      </c>
      <c r="H221" s="44">
        <v>0</v>
      </c>
      <c r="I221" s="44">
        <v>0</v>
      </c>
      <c r="J221" s="44">
        <v>0</v>
      </c>
      <c r="K221" s="44">
        <v>0</v>
      </c>
      <c r="L221" s="44">
        <v>0</v>
      </c>
      <c r="M221" s="44">
        <v>0</v>
      </c>
      <c r="N221" s="44">
        <v>0</v>
      </c>
      <c r="O221" s="44">
        <v>0</v>
      </c>
      <c r="P221" s="44">
        <v>0</v>
      </c>
      <c r="Q221" s="44">
        <v>1</v>
      </c>
      <c r="R221" s="44">
        <v>0</v>
      </c>
      <c r="S221" s="44">
        <v>0</v>
      </c>
      <c r="T221" s="44">
        <v>1</v>
      </c>
      <c r="U221" s="44">
        <v>0</v>
      </c>
      <c r="V221" s="44">
        <v>0</v>
      </c>
      <c r="W221" s="44">
        <v>0</v>
      </c>
      <c r="X221" s="44">
        <v>0</v>
      </c>
      <c r="Y221" s="44">
        <v>0</v>
      </c>
      <c r="Z221" s="44">
        <v>1</v>
      </c>
      <c r="AA221" s="44">
        <v>1</v>
      </c>
      <c r="AB221" s="44">
        <v>0</v>
      </c>
      <c r="AC221" s="44">
        <v>1</v>
      </c>
      <c r="AD221" s="39">
        <v>0</v>
      </c>
    </row>
    <row r="222" spans="1:30" x14ac:dyDescent="0.35">
      <c r="A222" s="27" t="s">
        <v>24</v>
      </c>
      <c r="B222" s="28">
        <v>12</v>
      </c>
      <c r="C222" s="28" t="s">
        <v>14</v>
      </c>
      <c r="D222" s="29" t="s">
        <v>11</v>
      </c>
      <c r="E222" s="29" t="s">
        <v>11</v>
      </c>
      <c r="F222" s="29" t="s">
        <v>11</v>
      </c>
      <c r="G222" s="38">
        <v>890</v>
      </c>
      <c r="H222" s="44">
        <v>0</v>
      </c>
      <c r="I222" s="44">
        <v>0</v>
      </c>
      <c r="J222" s="44">
        <v>0</v>
      </c>
      <c r="K222" s="44">
        <v>0</v>
      </c>
      <c r="L222" s="44">
        <v>0</v>
      </c>
      <c r="M222" s="44">
        <v>0</v>
      </c>
      <c r="N222" s="44">
        <v>0</v>
      </c>
      <c r="O222" s="44">
        <v>0</v>
      </c>
      <c r="P222" s="44">
        <v>0</v>
      </c>
      <c r="Q222" s="44">
        <v>1</v>
      </c>
      <c r="R222" s="44">
        <v>0</v>
      </c>
      <c r="S222" s="44">
        <v>0</v>
      </c>
      <c r="T222" s="44">
        <v>0</v>
      </c>
      <c r="U222" s="44">
        <v>1</v>
      </c>
      <c r="V222" s="44">
        <v>0</v>
      </c>
      <c r="W222" s="44">
        <v>0</v>
      </c>
      <c r="X222" s="44">
        <v>0</v>
      </c>
      <c r="Y222" s="44">
        <v>1</v>
      </c>
      <c r="Z222" s="44">
        <v>0</v>
      </c>
      <c r="AA222" s="44">
        <v>1</v>
      </c>
      <c r="AB222" s="44">
        <v>0</v>
      </c>
      <c r="AC222" s="44">
        <v>1</v>
      </c>
      <c r="AD222" s="39">
        <v>0</v>
      </c>
    </row>
    <row r="223" spans="1:30" x14ac:dyDescent="0.35">
      <c r="A223" s="27" t="s">
        <v>24</v>
      </c>
      <c r="B223" s="28">
        <v>13</v>
      </c>
      <c r="C223" s="28" t="s">
        <v>8</v>
      </c>
      <c r="D223" s="29" t="s">
        <v>11</v>
      </c>
      <c r="E223" s="29" t="s">
        <v>11</v>
      </c>
      <c r="F223" s="29" t="s">
        <v>11</v>
      </c>
      <c r="G223" s="38">
        <v>693</v>
      </c>
      <c r="H223" s="44">
        <v>0</v>
      </c>
      <c r="I223" s="44">
        <v>0</v>
      </c>
      <c r="J223" s="44">
        <v>0</v>
      </c>
      <c r="K223" s="44">
        <v>0</v>
      </c>
      <c r="L223" s="44">
        <v>0</v>
      </c>
      <c r="M223" s="44">
        <v>0</v>
      </c>
      <c r="N223" s="44">
        <v>0</v>
      </c>
      <c r="O223" s="44">
        <v>0</v>
      </c>
      <c r="P223" s="44">
        <v>0</v>
      </c>
      <c r="Q223" s="44">
        <v>1</v>
      </c>
      <c r="R223" s="44">
        <v>0</v>
      </c>
      <c r="S223" s="44">
        <v>0</v>
      </c>
      <c r="T223" s="44">
        <v>0</v>
      </c>
      <c r="U223" s="44">
        <v>0</v>
      </c>
      <c r="V223" s="44">
        <v>0</v>
      </c>
      <c r="W223" s="44">
        <v>1</v>
      </c>
      <c r="X223" s="44">
        <v>0</v>
      </c>
      <c r="Y223" s="44">
        <v>1</v>
      </c>
      <c r="Z223" s="44">
        <v>0</v>
      </c>
      <c r="AA223" s="44">
        <v>1</v>
      </c>
      <c r="AB223" s="44">
        <v>0</v>
      </c>
      <c r="AC223" s="44">
        <v>1</v>
      </c>
      <c r="AD223" s="39">
        <v>0</v>
      </c>
    </row>
    <row r="224" spans="1:30" x14ac:dyDescent="0.35">
      <c r="A224" s="27" t="s">
        <v>24</v>
      </c>
      <c r="B224" s="28">
        <v>14</v>
      </c>
      <c r="C224" s="28" t="s">
        <v>10</v>
      </c>
      <c r="D224" s="29" t="s">
        <v>11</v>
      </c>
      <c r="E224" s="29" t="s">
        <v>11</v>
      </c>
      <c r="F224" s="29" t="s">
        <v>11</v>
      </c>
      <c r="G224" s="38">
        <v>693</v>
      </c>
      <c r="H224" s="44">
        <v>0</v>
      </c>
      <c r="I224" s="44">
        <v>0</v>
      </c>
      <c r="J224" s="44">
        <v>0</v>
      </c>
      <c r="K224" s="44">
        <v>0</v>
      </c>
      <c r="L224" s="44">
        <v>0</v>
      </c>
      <c r="M224" s="44">
        <v>0</v>
      </c>
      <c r="N224" s="44">
        <v>0</v>
      </c>
      <c r="O224" s="44">
        <v>0</v>
      </c>
      <c r="P224" s="44">
        <v>0</v>
      </c>
      <c r="Q224" s="44">
        <v>1</v>
      </c>
      <c r="R224" s="44">
        <v>0</v>
      </c>
      <c r="S224" s="44">
        <v>0</v>
      </c>
      <c r="T224" s="44">
        <v>0</v>
      </c>
      <c r="U224" s="44">
        <v>0</v>
      </c>
      <c r="V224" s="44">
        <v>0</v>
      </c>
      <c r="W224" s="44">
        <v>0</v>
      </c>
      <c r="X224" s="44">
        <v>1</v>
      </c>
      <c r="Y224" s="44">
        <v>1</v>
      </c>
      <c r="Z224" s="44">
        <v>0</v>
      </c>
      <c r="AA224" s="44">
        <v>1</v>
      </c>
      <c r="AB224" s="44">
        <v>0</v>
      </c>
      <c r="AC224" s="44">
        <v>1</v>
      </c>
      <c r="AD224" s="39">
        <v>0</v>
      </c>
    </row>
    <row r="225" spans="1:30" x14ac:dyDescent="0.35">
      <c r="A225" s="27" t="s">
        <v>24</v>
      </c>
      <c r="B225" s="28">
        <v>15</v>
      </c>
      <c r="C225" s="28" t="s">
        <v>12</v>
      </c>
      <c r="D225" s="29" t="s">
        <v>11</v>
      </c>
      <c r="E225" s="29" t="s">
        <v>11</v>
      </c>
      <c r="F225" s="29" t="s">
        <v>11</v>
      </c>
      <c r="G225" s="38">
        <v>914</v>
      </c>
      <c r="H225" s="44">
        <v>0</v>
      </c>
      <c r="I225" s="44">
        <v>0</v>
      </c>
      <c r="J225" s="44">
        <v>0</v>
      </c>
      <c r="K225" s="44">
        <v>0</v>
      </c>
      <c r="L225" s="44">
        <v>0</v>
      </c>
      <c r="M225" s="44">
        <v>0</v>
      </c>
      <c r="N225" s="44">
        <v>0</v>
      </c>
      <c r="O225" s="44">
        <v>0</v>
      </c>
      <c r="P225" s="44">
        <v>0</v>
      </c>
      <c r="Q225" s="44">
        <v>1</v>
      </c>
      <c r="R225" s="44">
        <v>0</v>
      </c>
      <c r="S225" s="44">
        <v>0</v>
      </c>
      <c r="T225" s="44">
        <v>0</v>
      </c>
      <c r="U225" s="44">
        <v>0</v>
      </c>
      <c r="V225" s="44">
        <v>1</v>
      </c>
      <c r="W225" s="44">
        <v>0</v>
      </c>
      <c r="X225" s="44">
        <v>0</v>
      </c>
      <c r="Y225" s="44">
        <v>1</v>
      </c>
      <c r="Z225" s="44">
        <v>0</v>
      </c>
      <c r="AA225" s="44">
        <v>1</v>
      </c>
      <c r="AB225" s="44">
        <v>0</v>
      </c>
      <c r="AC225" s="44">
        <v>1</v>
      </c>
      <c r="AD225" s="39">
        <v>0</v>
      </c>
    </row>
    <row r="226" spans="1:30" x14ac:dyDescent="0.35">
      <c r="A226" s="27" t="s">
        <v>24</v>
      </c>
      <c r="B226" s="28">
        <v>16</v>
      </c>
      <c r="C226" s="28" t="s">
        <v>13</v>
      </c>
      <c r="D226" s="29" t="s">
        <v>11</v>
      </c>
      <c r="E226" s="29" t="s">
        <v>11</v>
      </c>
      <c r="F226" s="29" t="s">
        <v>11</v>
      </c>
      <c r="G226" s="38">
        <v>1271</v>
      </c>
      <c r="H226" s="44">
        <v>0</v>
      </c>
      <c r="I226" s="44">
        <v>0</v>
      </c>
      <c r="J226" s="44">
        <v>0</v>
      </c>
      <c r="K226" s="44">
        <v>0</v>
      </c>
      <c r="L226" s="44">
        <v>0</v>
      </c>
      <c r="M226" s="44">
        <v>0</v>
      </c>
      <c r="N226" s="44">
        <v>0</v>
      </c>
      <c r="O226" s="44">
        <v>0</v>
      </c>
      <c r="P226" s="44">
        <v>0</v>
      </c>
      <c r="Q226" s="44">
        <v>1</v>
      </c>
      <c r="R226" s="44">
        <v>0</v>
      </c>
      <c r="S226" s="44">
        <v>0</v>
      </c>
      <c r="T226" s="44">
        <v>1</v>
      </c>
      <c r="U226" s="44">
        <v>0</v>
      </c>
      <c r="V226" s="44">
        <v>0</v>
      </c>
      <c r="W226" s="44">
        <v>0</v>
      </c>
      <c r="X226" s="44">
        <v>0</v>
      </c>
      <c r="Y226" s="44">
        <v>1</v>
      </c>
      <c r="Z226" s="44">
        <v>0</v>
      </c>
      <c r="AA226" s="44">
        <v>1</v>
      </c>
      <c r="AB226" s="44">
        <v>0</v>
      </c>
      <c r="AC226" s="44">
        <v>1</v>
      </c>
      <c r="AD226" s="39">
        <v>0</v>
      </c>
    </row>
    <row r="227" spans="1:30" x14ac:dyDescent="0.35">
      <c r="A227" s="27" t="s">
        <v>24</v>
      </c>
      <c r="B227" s="28">
        <v>19</v>
      </c>
      <c r="C227" s="28" t="s">
        <v>14</v>
      </c>
      <c r="D227" s="29" t="s">
        <v>11</v>
      </c>
      <c r="E227" s="29" t="s">
        <v>11</v>
      </c>
      <c r="F227" s="29" t="s">
        <v>11</v>
      </c>
      <c r="G227" s="38">
        <v>1031</v>
      </c>
      <c r="H227" s="44">
        <v>0</v>
      </c>
      <c r="I227" s="44">
        <v>0</v>
      </c>
      <c r="J227" s="44">
        <v>0</v>
      </c>
      <c r="K227" s="44">
        <v>0</v>
      </c>
      <c r="L227" s="44">
        <v>0</v>
      </c>
      <c r="M227" s="44">
        <v>0</v>
      </c>
      <c r="N227" s="44">
        <v>0</v>
      </c>
      <c r="O227" s="44">
        <v>0</v>
      </c>
      <c r="P227" s="44">
        <v>0</v>
      </c>
      <c r="Q227" s="44">
        <v>1</v>
      </c>
      <c r="R227" s="44">
        <v>0</v>
      </c>
      <c r="S227" s="44">
        <v>0</v>
      </c>
      <c r="T227" s="44">
        <v>0</v>
      </c>
      <c r="U227" s="44">
        <v>1</v>
      </c>
      <c r="V227" s="44">
        <v>0</v>
      </c>
      <c r="W227" s="44">
        <v>0</v>
      </c>
      <c r="X227" s="44">
        <v>0</v>
      </c>
      <c r="Y227" s="44">
        <v>1</v>
      </c>
      <c r="Z227" s="44">
        <v>0</v>
      </c>
      <c r="AA227" s="44">
        <v>1</v>
      </c>
      <c r="AB227" s="44">
        <v>0</v>
      </c>
      <c r="AC227" s="44">
        <v>1</v>
      </c>
      <c r="AD227" s="39">
        <v>0</v>
      </c>
    </row>
    <row r="228" spans="1:30" x14ac:dyDescent="0.35">
      <c r="A228" s="27" t="s">
        <v>24</v>
      </c>
      <c r="B228" s="28">
        <v>20</v>
      </c>
      <c r="C228" s="28" t="s">
        <v>8</v>
      </c>
      <c r="D228" s="29" t="s">
        <v>11</v>
      </c>
      <c r="E228" s="29" t="s">
        <v>11</v>
      </c>
      <c r="F228" s="29" t="s">
        <v>11</v>
      </c>
      <c r="G228" s="38">
        <v>949</v>
      </c>
      <c r="H228" s="44">
        <v>0</v>
      </c>
      <c r="I228" s="44">
        <v>0</v>
      </c>
      <c r="J228" s="44">
        <v>0</v>
      </c>
      <c r="K228" s="44">
        <v>0</v>
      </c>
      <c r="L228" s="44">
        <v>0</v>
      </c>
      <c r="M228" s="44">
        <v>0</v>
      </c>
      <c r="N228" s="44">
        <v>0</v>
      </c>
      <c r="O228" s="44">
        <v>0</v>
      </c>
      <c r="P228" s="44">
        <v>0</v>
      </c>
      <c r="Q228" s="44">
        <v>1</v>
      </c>
      <c r="R228" s="44">
        <v>0</v>
      </c>
      <c r="S228" s="44">
        <v>0</v>
      </c>
      <c r="T228" s="44">
        <v>0</v>
      </c>
      <c r="U228" s="44">
        <v>0</v>
      </c>
      <c r="V228" s="44">
        <v>0</v>
      </c>
      <c r="W228" s="44">
        <v>1</v>
      </c>
      <c r="X228" s="44">
        <v>0</v>
      </c>
      <c r="Y228" s="44">
        <v>1</v>
      </c>
      <c r="Z228" s="44">
        <v>0</v>
      </c>
      <c r="AA228" s="44">
        <v>1</v>
      </c>
      <c r="AB228" s="44">
        <v>0</v>
      </c>
      <c r="AC228" s="44">
        <v>1</v>
      </c>
      <c r="AD228" s="39">
        <v>0</v>
      </c>
    </row>
    <row r="229" spans="1:30" x14ac:dyDescent="0.35">
      <c r="A229" s="27" t="s">
        <v>24</v>
      </c>
      <c r="B229" s="28">
        <v>21</v>
      </c>
      <c r="C229" s="28" t="s">
        <v>10</v>
      </c>
      <c r="D229" s="29" t="s">
        <v>11</v>
      </c>
      <c r="E229" s="29" t="s">
        <v>11</v>
      </c>
      <c r="F229" s="29" t="s">
        <v>9</v>
      </c>
      <c r="G229" s="38">
        <v>1356</v>
      </c>
      <c r="H229" s="44">
        <v>0</v>
      </c>
      <c r="I229" s="44">
        <v>0</v>
      </c>
      <c r="J229" s="44">
        <v>0</v>
      </c>
      <c r="K229" s="44">
        <v>0</v>
      </c>
      <c r="L229" s="44">
        <v>0</v>
      </c>
      <c r="M229" s="44">
        <v>0</v>
      </c>
      <c r="N229" s="44">
        <v>0</v>
      </c>
      <c r="O229" s="44">
        <v>0</v>
      </c>
      <c r="P229" s="44">
        <v>0</v>
      </c>
      <c r="Q229" s="44">
        <v>1</v>
      </c>
      <c r="R229" s="44">
        <v>0</v>
      </c>
      <c r="S229" s="44">
        <v>0</v>
      </c>
      <c r="T229" s="44">
        <v>0</v>
      </c>
      <c r="U229" s="44">
        <v>0</v>
      </c>
      <c r="V229" s="44">
        <v>0</v>
      </c>
      <c r="W229" s="44">
        <v>0</v>
      </c>
      <c r="X229" s="44">
        <v>1</v>
      </c>
      <c r="Y229" s="44">
        <v>1</v>
      </c>
      <c r="Z229" s="44">
        <v>0</v>
      </c>
      <c r="AA229" s="44">
        <v>1</v>
      </c>
      <c r="AB229" s="44">
        <v>0</v>
      </c>
      <c r="AC229" s="44">
        <v>0</v>
      </c>
      <c r="AD229" s="39">
        <v>1</v>
      </c>
    </row>
    <row r="230" spans="1:30" x14ac:dyDescent="0.35">
      <c r="A230" s="27" t="s">
        <v>24</v>
      </c>
      <c r="B230" s="28">
        <v>23</v>
      </c>
      <c r="C230" s="28" t="s">
        <v>13</v>
      </c>
      <c r="D230" s="29" t="s">
        <v>11</v>
      </c>
      <c r="E230" s="29" t="s">
        <v>11</v>
      </c>
      <c r="F230" s="29" t="s">
        <v>9</v>
      </c>
      <c r="G230" s="38">
        <v>1085</v>
      </c>
      <c r="H230" s="44">
        <v>0</v>
      </c>
      <c r="I230" s="44">
        <v>0</v>
      </c>
      <c r="J230" s="44">
        <v>0</v>
      </c>
      <c r="K230" s="44">
        <v>0</v>
      </c>
      <c r="L230" s="44">
        <v>0</v>
      </c>
      <c r="M230" s="44">
        <v>0</v>
      </c>
      <c r="N230" s="44">
        <v>0</v>
      </c>
      <c r="O230" s="44">
        <v>0</v>
      </c>
      <c r="P230" s="44">
        <v>0</v>
      </c>
      <c r="Q230" s="44">
        <v>1</v>
      </c>
      <c r="R230" s="44">
        <v>0</v>
      </c>
      <c r="S230" s="44">
        <v>0</v>
      </c>
      <c r="T230" s="44">
        <v>1</v>
      </c>
      <c r="U230" s="44">
        <v>0</v>
      </c>
      <c r="V230" s="44">
        <v>0</v>
      </c>
      <c r="W230" s="44">
        <v>0</v>
      </c>
      <c r="X230" s="44">
        <v>0</v>
      </c>
      <c r="Y230" s="44">
        <v>1</v>
      </c>
      <c r="Z230" s="44">
        <v>0</v>
      </c>
      <c r="AA230" s="44">
        <v>1</v>
      </c>
      <c r="AB230" s="44">
        <v>0</v>
      </c>
      <c r="AC230" s="44">
        <v>0</v>
      </c>
      <c r="AD230" s="39">
        <v>1</v>
      </c>
    </row>
    <row r="231" spans="1:30" x14ac:dyDescent="0.35">
      <c r="A231" s="27" t="s">
        <v>24</v>
      </c>
      <c r="B231" s="28">
        <v>26</v>
      </c>
      <c r="C231" s="28" t="s">
        <v>14</v>
      </c>
      <c r="D231" s="29" t="s">
        <v>11</v>
      </c>
      <c r="E231" s="29" t="s">
        <v>11</v>
      </c>
      <c r="F231" s="29" t="s">
        <v>11</v>
      </c>
      <c r="G231" s="38">
        <v>1063</v>
      </c>
      <c r="H231" s="44">
        <v>0</v>
      </c>
      <c r="I231" s="44">
        <v>0</v>
      </c>
      <c r="J231" s="44">
        <v>0</v>
      </c>
      <c r="K231" s="44">
        <v>0</v>
      </c>
      <c r="L231" s="44">
        <v>0</v>
      </c>
      <c r="M231" s="44">
        <v>0</v>
      </c>
      <c r="N231" s="44">
        <v>0</v>
      </c>
      <c r="O231" s="44">
        <v>0</v>
      </c>
      <c r="P231" s="44">
        <v>0</v>
      </c>
      <c r="Q231" s="44">
        <v>1</v>
      </c>
      <c r="R231" s="44">
        <v>0</v>
      </c>
      <c r="S231" s="44">
        <v>0</v>
      </c>
      <c r="T231" s="44">
        <v>0</v>
      </c>
      <c r="U231" s="44">
        <v>1</v>
      </c>
      <c r="V231" s="44">
        <v>0</v>
      </c>
      <c r="W231" s="44">
        <v>0</v>
      </c>
      <c r="X231" s="44">
        <v>0</v>
      </c>
      <c r="Y231" s="44">
        <v>1</v>
      </c>
      <c r="Z231" s="44">
        <v>0</v>
      </c>
      <c r="AA231" s="44">
        <v>1</v>
      </c>
      <c r="AB231" s="44">
        <v>0</v>
      </c>
      <c r="AC231" s="44">
        <v>1</v>
      </c>
      <c r="AD231" s="39">
        <v>0</v>
      </c>
    </row>
    <row r="232" spans="1:30" x14ac:dyDescent="0.35">
      <c r="A232" s="27" t="s">
        <v>24</v>
      </c>
      <c r="B232" s="28">
        <v>27</v>
      </c>
      <c r="C232" s="28" t="s">
        <v>8</v>
      </c>
      <c r="D232" s="29" t="s">
        <v>11</v>
      </c>
      <c r="E232" s="29" t="s">
        <v>11</v>
      </c>
      <c r="F232" s="29" t="s">
        <v>11</v>
      </c>
      <c r="G232" s="38">
        <v>797</v>
      </c>
      <c r="H232" s="44">
        <v>0</v>
      </c>
      <c r="I232" s="44">
        <v>0</v>
      </c>
      <c r="J232" s="44">
        <v>0</v>
      </c>
      <c r="K232" s="44">
        <v>0</v>
      </c>
      <c r="L232" s="44">
        <v>0</v>
      </c>
      <c r="M232" s="44">
        <v>0</v>
      </c>
      <c r="N232" s="44">
        <v>0</v>
      </c>
      <c r="O232" s="44">
        <v>0</v>
      </c>
      <c r="P232" s="44">
        <v>0</v>
      </c>
      <c r="Q232" s="44">
        <v>1</v>
      </c>
      <c r="R232" s="44">
        <v>0</v>
      </c>
      <c r="S232" s="44">
        <v>0</v>
      </c>
      <c r="T232" s="44">
        <v>0</v>
      </c>
      <c r="U232" s="44">
        <v>0</v>
      </c>
      <c r="V232" s="44">
        <v>0</v>
      </c>
      <c r="W232" s="44">
        <v>1</v>
      </c>
      <c r="X232" s="44">
        <v>0</v>
      </c>
      <c r="Y232" s="44">
        <v>1</v>
      </c>
      <c r="Z232" s="44">
        <v>0</v>
      </c>
      <c r="AA232" s="44">
        <v>1</v>
      </c>
      <c r="AB232" s="44">
        <v>0</v>
      </c>
      <c r="AC232" s="44">
        <v>1</v>
      </c>
      <c r="AD232" s="39">
        <v>0</v>
      </c>
    </row>
    <row r="233" spans="1:30" x14ac:dyDescent="0.35">
      <c r="A233" s="27" t="s">
        <v>24</v>
      </c>
      <c r="B233" s="28">
        <v>28</v>
      </c>
      <c r="C233" s="28" t="s">
        <v>10</v>
      </c>
      <c r="D233" s="29" t="s">
        <v>11</v>
      </c>
      <c r="E233" s="29" t="s">
        <v>11</v>
      </c>
      <c r="F233" s="29" t="s">
        <v>11</v>
      </c>
      <c r="G233" s="38">
        <v>632</v>
      </c>
      <c r="H233" s="44">
        <v>0</v>
      </c>
      <c r="I233" s="44">
        <v>0</v>
      </c>
      <c r="J233" s="44">
        <v>0</v>
      </c>
      <c r="K233" s="44">
        <v>0</v>
      </c>
      <c r="L233" s="44">
        <v>0</v>
      </c>
      <c r="M233" s="44">
        <v>0</v>
      </c>
      <c r="N233" s="44">
        <v>0</v>
      </c>
      <c r="O233" s="44">
        <v>0</v>
      </c>
      <c r="P233" s="44">
        <v>0</v>
      </c>
      <c r="Q233" s="44">
        <v>1</v>
      </c>
      <c r="R233" s="44">
        <v>0</v>
      </c>
      <c r="S233" s="44">
        <v>0</v>
      </c>
      <c r="T233" s="44">
        <v>0</v>
      </c>
      <c r="U233" s="44">
        <v>0</v>
      </c>
      <c r="V233" s="44">
        <v>0</v>
      </c>
      <c r="W233" s="44">
        <v>0</v>
      </c>
      <c r="X233" s="44">
        <v>1</v>
      </c>
      <c r="Y233" s="44">
        <v>1</v>
      </c>
      <c r="Z233" s="44">
        <v>0</v>
      </c>
      <c r="AA233" s="44">
        <v>1</v>
      </c>
      <c r="AB233" s="44">
        <v>0</v>
      </c>
      <c r="AC233" s="44">
        <v>1</v>
      </c>
      <c r="AD233" s="39">
        <v>0</v>
      </c>
    </row>
    <row r="234" spans="1:30" x14ac:dyDescent="0.35">
      <c r="A234" s="27" t="s">
        <v>24</v>
      </c>
      <c r="B234" s="28">
        <v>29</v>
      </c>
      <c r="C234" s="28" t="s">
        <v>12</v>
      </c>
      <c r="D234" s="29" t="s">
        <v>11</v>
      </c>
      <c r="E234" s="29" t="s">
        <v>11</v>
      </c>
      <c r="F234" s="29" t="s">
        <v>11</v>
      </c>
      <c r="G234" s="38">
        <v>698</v>
      </c>
      <c r="H234" s="44">
        <v>0</v>
      </c>
      <c r="I234" s="44">
        <v>0</v>
      </c>
      <c r="J234" s="44">
        <v>0</v>
      </c>
      <c r="K234" s="44">
        <v>0</v>
      </c>
      <c r="L234" s="44">
        <v>0</v>
      </c>
      <c r="M234" s="44">
        <v>0</v>
      </c>
      <c r="N234" s="44">
        <v>0</v>
      </c>
      <c r="O234" s="44">
        <v>0</v>
      </c>
      <c r="P234" s="44">
        <v>0</v>
      </c>
      <c r="Q234" s="44">
        <v>1</v>
      </c>
      <c r="R234" s="44">
        <v>0</v>
      </c>
      <c r="S234" s="44">
        <v>0</v>
      </c>
      <c r="T234" s="44">
        <v>0</v>
      </c>
      <c r="U234" s="44">
        <v>0</v>
      </c>
      <c r="V234" s="44">
        <v>1</v>
      </c>
      <c r="W234" s="44">
        <v>0</v>
      </c>
      <c r="X234" s="44">
        <v>0</v>
      </c>
      <c r="Y234" s="44">
        <v>1</v>
      </c>
      <c r="Z234" s="44">
        <v>0</v>
      </c>
      <c r="AA234" s="44">
        <v>1</v>
      </c>
      <c r="AB234" s="44">
        <v>0</v>
      </c>
      <c r="AC234" s="44">
        <v>1</v>
      </c>
      <c r="AD234" s="39">
        <v>0</v>
      </c>
    </row>
    <row r="235" spans="1:30" x14ac:dyDescent="0.35">
      <c r="A235" s="27" t="s">
        <v>24</v>
      </c>
      <c r="B235" s="28">
        <v>30</v>
      </c>
      <c r="C235" s="28" t="s">
        <v>13</v>
      </c>
      <c r="D235" s="29" t="s">
        <v>11</v>
      </c>
      <c r="E235" s="29" t="s">
        <v>9</v>
      </c>
      <c r="F235" s="29" t="s">
        <v>11</v>
      </c>
      <c r="G235" s="38">
        <v>1691</v>
      </c>
      <c r="H235" s="44">
        <v>0</v>
      </c>
      <c r="I235" s="44">
        <v>0</v>
      </c>
      <c r="J235" s="44">
        <v>0</v>
      </c>
      <c r="K235" s="44">
        <v>0</v>
      </c>
      <c r="L235" s="44">
        <v>0</v>
      </c>
      <c r="M235" s="44">
        <v>0</v>
      </c>
      <c r="N235" s="44">
        <v>0</v>
      </c>
      <c r="O235" s="44">
        <v>0</v>
      </c>
      <c r="P235" s="44">
        <v>0</v>
      </c>
      <c r="Q235" s="44">
        <v>1</v>
      </c>
      <c r="R235" s="44">
        <v>0</v>
      </c>
      <c r="S235" s="44">
        <v>0</v>
      </c>
      <c r="T235" s="44">
        <v>1</v>
      </c>
      <c r="U235" s="44">
        <v>0</v>
      </c>
      <c r="V235" s="44">
        <v>0</v>
      </c>
      <c r="W235" s="44">
        <v>0</v>
      </c>
      <c r="X235" s="44">
        <v>0</v>
      </c>
      <c r="Y235" s="44">
        <v>1</v>
      </c>
      <c r="Z235" s="44">
        <v>0</v>
      </c>
      <c r="AA235" s="44">
        <v>0</v>
      </c>
      <c r="AB235" s="44">
        <v>1</v>
      </c>
      <c r="AC235" s="44">
        <v>1</v>
      </c>
      <c r="AD235" s="39">
        <v>0</v>
      </c>
    </row>
    <row r="236" spans="1:30" x14ac:dyDescent="0.35">
      <c r="A236" s="27" t="s">
        <v>25</v>
      </c>
      <c r="B236" s="28">
        <v>3</v>
      </c>
      <c r="C236" s="28" t="s">
        <v>14</v>
      </c>
      <c r="D236" s="29" t="s">
        <v>11</v>
      </c>
      <c r="E236" s="29" t="s">
        <v>11</v>
      </c>
      <c r="F236" s="29" t="s">
        <v>11</v>
      </c>
      <c r="G236" s="38">
        <v>1504</v>
      </c>
      <c r="H236" s="44">
        <v>0</v>
      </c>
      <c r="I236" s="44">
        <v>0</v>
      </c>
      <c r="J236" s="44">
        <v>1</v>
      </c>
      <c r="K236" s="44">
        <v>0</v>
      </c>
      <c r="L236" s="44">
        <v>0</v>
      </c>
      <c r="M236" s="44">
        <v>0</v>
      </c>
      <c r="N236" s="44">
        <v>0</v>
      </c>
      <c r="O236" s="44">
        <v>0</v>
      </c>
      <c r="P236" s="44">
        <v>0</v>
      </c>
      <c r="Q236" s="44">
        <v>0</v>
      </c>
      <c r="R236" s="44">
        <v>0</v>
      </c>
      <c r="S236" s="44">
        <v>0</v>
      </c>
      <c r="T236" s="44">
        <v>0</v>
      </c>
      <c r="U236" s="44">
        <v>1</v>
      </c>
      <c r="V236" s="44">
        <v>0</v>
      </c>
      <c r="W236" s="44">
        <v>0</v>
      </c>
      <c r="X236" s="44">
        <v>0</v>
      </c>
      <c r="Y236" s="44">
        <v>1</v>
      </c>
      <c r="Z236" s="44">
        <v>0</v>
      </c>
      <c r="AA236" s="44">
        <v>1</v>
      </c>
      <c r="AB236" s="44">
        <v>0</v>
      </c>
      <c r="AC236" s="44">
        <v>1</v>
      </c>
      <c r="AD236" s="39">
        <v>0</v>
      </c>
    </row>
    <row r="237" spans="1:30" x14ac:dyDescent="0.35">
      <c r="A237" s="27" t="s">
        <v>25</v>
      </c>
      <c r="B237" s="28">
        <v>4</v>
      </c>
      <c r="C237" s="28" t="s">
        <v>8</v>
      </c>
      <c r="D237" s="29" t="s">
        <v>11</v>
      </c>
      <c r="E237" s="29" t="s">
        <v>11</v>
      </c>
      <c r="F237" s="29" t="s">
        <v>11</v>
      </c>
      <c r="G237" s="38">
        <v>828</v>
      </c>
      <c r="H237" s="44">
        <v>0</v>
      </c>
      <c r="I237" s="44">
        <v>0</v>
      </c>
      <c r="J237" s="44">
        <v>1</v>
      </c>
      <c r="K237" s="44">
        <v>0</v>
      </c>
      <c r="L237" s="44">
        <v>0</v>
      </c>
      <c r="M237" s="44">
        <v>0</v>
      </c>
      <c r="N237" s="44">
        <v>0</v>
      </c>
      <c r="O237" s="44">
        <v>0</v>
      </c>
      <c r="P237" s="44">
        <v>0</v>
      </c>
      <c r="Q237" s="44">
        <v>0</v>
      </c>
      <c r="R237" s="44">
        <v>0</v>
      </c>
      <c r="S237" s="44">
        <v>0</v>
      </c>
      <c r="T237" s="44">
        <v>0</v>
      </c>
      <c r="U237" s="44">
        <v>0</v>
      </c>
      <c r="V237" s="44">
        <v>0</v>
      </c>
      <c r="W237" s="44">
        <v>1</v>
      </c>
      <c r="X237" s="44">
        <v>0</v>
      </c>
      <c r="Y237" s="44">
        <v>1</v>
      </c>
      <c r="Z237" s="44">
        <v>0</v>
      </c>
      <c r="AA237" s="44">
        <v>1</v>
      </c>
      <c r="AB237" s="44">
        <v>0</v>
      </c>
      <c r="AC237" s="44">
        <v>1</v>
      </c>
      <c r="AD237" s="39">
        <v>0</v>
      </c>
    </row>
    <row r="238" spans="1:30" x14ac:dyDescent="0.35">
      <c r="A238" s="27" t="s">
        <v>25</v>
      </c>
      <c r="B238" s="28">
        <v>5</v>
      </c>
      <c r="C238" s="28" t="s">
        <v>10</v>
      </c>
      <c r="D238" s="29" t="s">
        <v>11</v>
      </c>
      <c r="E238" s="29" t="s">
        <v>11</v>
      </c>
      <c r="F238" s="29" t="s">
        <v>11</v>
      </c>
      <c r="G238" s="38">
        <v>863</v>
      </c>
      <c r="H238" s="44">
        <v>0</v>
      </c>
      <c r="I238" s="44">
        <v>0</v>
      </c>
      <c r="J238" s="44">
        <v>1</v>
      </c>
      <c r="K238" s="44">
        <v>0</v>
      </c>
      <c r="L238" s="44">
        <v>0</v>
      </c>
      <c r="M238" s="44">
        <v>0</v>
      </c>
      <c r="N238" s="44">
        <v>0</v>
      </c>
      <c r="O238" s="44">
        <v>0</v>
      </c>
      <c r="P238" s="44">
        <v>0</v>
      </c>
      <c r="Q238" s="44">
        <v>0</v>
      </c>
      <c r="R238" s="44">
        <v>0</v>
      </c>
      <c r="S238" s="44">
        <v>0</v>
      </c>
      <c r="T238" s="44">
        <v>0</v>
      </c>
      <c r="U238" s="44">
        <v>0</v>
      </c>
      <c r="V238" s="44">
        <v>0</v>
      </c>
      <c r="W238" s="44">
        <v>0</v>
      </c>
      <c r="X238" s="44">
        <v>1</v>
      </c>
      <c r="Y238" s="44">
        <v>1</v>
      </c>
      <c r="Z238" s="44">
        <v>0</v>
      </c>
      <c r="AA238" s="44">
        <v>1</v>
      </c>
      <c r="AB238" s="44">
        <v>0</v>
      </c>
      <c r="AC238" s="44">
        <v>1</v>
      </c>
      <c r="AD238" s="39">
        <v>0</v>
      </c>
    </row>
    <row r="239" spans="1:30" x14ac:dyDescent="0.35">
      <c r="A239" s="27" t="s">
        <v>25</v>
      </c>
      <c r="B239" s="28">
        <v>6</v>
      </c>
      <c r="C239" s="28" t="s">
        <v>12</v>
      </c>
      <c r="D239" s="29" t="s">
        <v>11</v>
      </c>
      <c r="E239" s="29" t="s">
        <v>11</v>
      </c>
      <c r="F239" s="29" t="s">
        <v>11</v>
      </c>
      <c r="G239" s="38">
        <v>957</v>
      </c>
      <c r="H239" s="44">
        <v>0</v>
      </c>
      <c r="I239" s="44">
        <v>0</v>
      </c>
      <c r="J239" s="44">
        <v>1</v>
      </c>
      <c r="K239" s="44">
        <v>0</v>
      </c>
      <c r="L239" s="44">
        <v>0</v>
      </c>
      <c r="M239" s="44">
        <v>0</v>
      </c>
      <c r="N239" s="44">
        <v>0</v>
      </c>
      <c r="O239" s="44">
        <v>0</v>
      </c>
      <c r="P239" s="44">
        <v>0</v>
      </c>
      <c r="Q239" s="44">
        <v>0</v>
      </c>
      <c r="R239" s="44">
        <v>0</v>
      </c>
      <c r="S239" s="44">
        <v>0</v>
      </c>
      <c r="T239" s="44">
        <v>0</v>
      </c>
      <c r="U239" s="44">
        <v>0</v>
      </c>
      <c r="V239" s="44">
        <v>1</v>
      </c>
      <c r="W239" s="44">
        <v>0</v>
      </c>
      <c r="X239" s="44">
        <v>0</v>
      </c>
      <c r="Y239" s="44">
        <v>1</v>
      </c>
      <c r="Z239" s="44">
        <v>0</v>
      </c>
      <c r="AA239" s="44">
        <v>1</v>
      </c>
      <c r="AB239" s="44">
        <v>0</v>
      </c>
      <c r="AC239" s="44">
        <v>1</v>
      </c>
      <c r="AD239" s="39">
        <v>0</v>
      </c>
    </row>
    <row r="240" spans="1:30" x14ac:dyDescent="0.35">
      <c r="A240" s="27" t="s">
        <v>25</v>
      </c>
      <c r="B240" s="28">
        <v>7</v>
      </c>
      <c r="C240" s="28" t="s">
        <v>13</v>
      </c>
      <c r="D240" s="29" t="s">
        <v>9</v>
      </c>
      <c r="E240" s="29" t="s">
        <v>11</v>
      </c>
      <c r="F240" s="29" t="s">
        <v>11</v>
      </c>
      <c r="G240" s="38">
        <v>1585</v>
      </c>
      <c r="H240" s="44">
        <v>0</v>
      </c>
      <c r="I240" s="44">
        <v>0</v>
      </c>
      <c r="J240" s="44">
        <v>1</v>
      </c>
      <c r="K240" s="44">
        <v>0</v>
      </c>
      <c r="L240" s="44">
        <v>0</v>
      </c>
      <c r="M240" s="44">
        <v>0</v>
      </c>
      <c r="N240" s="44">
        <v>0</v>
      </c>
      <c r="O240" s="44">
        <v>0</v>
      </c>
      <c r="P240" s="44">
        <v>0</v>
      </c>
      <c r="Q240" s="44">
        <v>0</v>
      </c>
      <c r="R240" s="44">
        <v>0</v>
      </c>
      <c r="S240" s="44">
        <v>0</v>
      </c>
      <c r="T240" s="44">
        <v>1</v>
      </c>
      <c r="U240" s="44">
        <v>0</v>
      </c>
      <c r="V240" s="44">
        <v>0</v>
      </c>
      <c r="W240" s="44">
        <v>0</v>
      </c>
      <c r="X240" s="44">
        <v>0</v>
      </c>
      <c r="Y240" s="44">
        <v>0</v>
      </c>
      <c r="Z240" s="44">
        <v>1</v>
      </c>
      <c r="AA240" s="44">
        <v>1</v>
      </c>
      <c r="AB240" s="44">
        <v>0</v>
      </c>
      <c r="AC240" s="44">
        <v>1</v>
      </c>
      <c r="AD240" s="39">
        <v>0</v>
      </c>
    </row>
    <row r="241" spans="1:30" x14ac:dyDescent="0.35">
      <c r="A241" s="27" t="s">
        <v>25</v>
      </c>
      <c r="B241" s="28">
        <v>10</v>
      </c>
      <c r="C241" s="28" t="s">
        <v>14</v>
      </c>
      <c r="D241" s="29" t="s">
        <v>11</v>
      </c>
      <c r="E241" s="29" t="s">
        <v>11</v>
      </c>
      <c r="F241" s="29" t="s">
        <v>11</v>
      </c>
      <c r="G241" s="38">
        <v>1126</v>
      </c>
      <c r="H241" s="44">
        <v>0</v>
      </c>
      <c r="I241" s="44">
        <v>0</v>
      </c>
      <c r="J241" s="44">
        <v>1</v>
      </c>
      <c r="K241" s="44">
        <v>0</v>
      </c>
      <c r="L241" s="44">
        <v>0</v>
      </c>
      <c r="M241" s="44">
        <v>0</v>
      </c>
      <c r="N241" s="44">
        <v>0</v>
      </c>
      <c r="O241" s="44">
        <v>0</v>
      </c>
      <c r="P241" s="44">
        <v>0</v>
      </c>
      <c r="Q241" s="44">
        <v>0</v>
      </c>
      <c r="R241" s="44">
        <v>0</v>
      </c>
      <c r="S241" s="44">
        <v>0</v>
      </c>
      <c r="T241" s="44">
        <v>0</v>
      </c>
      <c r="U241" s="44">
        <v>1</v>
      </c>
      <c r="V241" s="44">
        <v>0</v>
      </c>
      <c r="W241" s="44">
        <v>0</v>
      </c>
      <c r="X241" s="44">
        <v>0</v>
      </c>
      <c r="Y241" s="44">
        <v>1</v>
      </c>
      <c r="Z241" s="44">
        <v>0</v>
      </c>
      <c r="AA241" s="44">
        <v>1</v>
      </c>
      <c r="AB241" s="44">
        <v>0</v>
      </c>
      <c r="AC241" s="44">
        <v>1</v>
      </c>
      <c r="AD241" s="39">
        <v>0</v>
      </c>
    </row>
    <row r="242" spans="1:30" x14ac:dyDescent="0.35">
      <c r="A242" s="27" t="s">
        <v>25</v>
      </c>
      <c r="B242" s="28">
        <v>11</v>
      </c>
      <c r="C242" s="28" t="s">
        <v>8</v>
      </c>
      <c r="D242" s="29" t="s">
        <v>11</v>
      </c>
      <c r="E242" s="29" t="s">
        <v>11</v>
      </c>
      <c r="F242" s="29" t="s">
        <v>11</v>
      </c>
      <c r="G242" s="38">
        <v>896</v>
      </c>
      <c r="H242" s="44">
        <v>0</v>
      </c>
      <c r="I242" s="44">
        <v>0</v>
      </c>
      <c r="J242" s="44">
        <v>1</v>
      </c>
      <c r="K242" s="44">
        <v>0</v>
      </c>
      <c r="L242" s="44">
        <v>0</v>
      </c>
      <c r="M242" s="44">
        <v>0</v>
      </c>
      <c r="N242" s="44">
        <v>0</v>
      </c>
      <c r="O242" s="44">
        <v>0</v>
      </c>
      <c r="P242" s="44">
        <v>0</v>
      </c>
      <c r="Q242" s="44">
        <v>0</v>
      </c>
      <c r="R242" s="44">
        <v>0</v>
      </c>
      <c r="S242" s="44">
        <v>0</v>
      </c>
      <c r="T242" s="44">
        <v>0</v>
      </c>
      <c r="U242" s="44">
        <v>0</v>
      </c>
      <c r="V242" s="44">
        <v>0</v>
      </c>
      <c r="W242" s="44">
        <v>1</v>
      </c>
      <c r="X242" s="44">
        <v>0</v>
      </c>
      <c r="Y242" s="44">
        <v>1</v>
      </c>
      <c r="Z242" s="44">
        <v>0</v>
      </c>
      <c r="AA242" s="44">
        <v>1</v>
      </c>
      <c r="AB242" s="44">
        <v>0</v>
      </c>
      <c r="AC242" s="44">
        <v>1</v>
      </c>
      <c r="AD242" s="39">
        <v>0</v>
      </c>
    </row>
    <row r="243" spans="1:30" x14ac:dyDescent="0.35">
      <c r="A243" s="27" t="s">
        <v>25</v>
      </c>
      <c r="B243" s="28">
        <v>12</v>
      </c>
      <c r="C243" s="28" t="s">
        <v>10</v>
      </c>
      <c r="D243" s="29" t="s">
        <v>11</v>
      </c>
      <c r="E243" s="29" t="s">
        <v>11</v>
      </c>
      <c r="F243" s="29" t="s">
        <v>11</v>
      </c>
      <c r="G243" s="38">
        <v>870</v>
      </c>
      <c r="H243" s="44">
        <v>0</v>
      </c>
      <c r="I243" s="44">
        <v>0</v>
      </c>
      <c r="J243" s="44">
        <v>1</v>
      </c>
      <c r="K243" s="44">
        <v>0</v>
      </c>
      <c r="L243" s="44">
        <v>0</v>
      </c>
      <c r="M243" s="44">
        <v>0</v>
      </c>
      <c r="N243" s="44">
        <v>0</v>
      </c>
      <c r="O243" s="44">
        <v>0</v>
      </c>
      <c r="P243" s="44">
        <v>0</v>
      </c>
      <c r="Q243" s="44">
        <v>0</v>
      </c>
      <c r="R243" s="44">
        <v>0</v>
      </c>
      <c r="S243" s="44">
        <v>0</v>
      </c>
      <c r="T243" s="44">
        <v>0</v>
      </c>
      <c r="U243" s="44">
        <v>0</v>
      </c>
      <c r="V243" s="44">
        <v>0</v>
      </c>
      <c r="W243" s="44">
        <v>0</v>
      </c>
      <c r="X243" s="44">
        <v>1</v>
      </c>
      <c r="Y243" s="44">
        <v>1</v>
      </c>
      <c r="Z243" s="44">
        <v>0</v>
      </c>
      <c r="AA243" s="44">
        <v>1</v>
      </c>
      <c r="AB243" s="44">
        <v>0</v>
      </c>
      <c r="AC243" s="44">
        <v>1</v>
      </c>
      <c r="AD243" s="39">
        <v>0</v>
      </c>
    </row>
    <row r="244" spans="1:30" x14ac:dyDescent="0.35">
      <c r="A244" s="27" t="s">
        <v>25</v>
      </c>
      <c r="B244" s="28">
        <v>13</v>
      </c>
      <c r="C244" s="28" t="s">
        <v>12</v>
      </c>
      <c r="D244" s="29" t="s">
        <v>11</v>
      </c>
      <c r="E244" s="29" t="s">
        <v>11</v>
      </c>
      <c r="F244" s="29" t="s">
        <v>11</v>
      </c>
      <c r="G244" s="38">
        <v>873</v>
      </c>
      <c r="H244" s="44">
        <v>0</v>
      </c>
      <c r="I244" s="44">
        <v>0</v>
      </c>
      <c r="J244" s="44">
        <v>1</v>
      </c>
      <c r="K244" s="44">
        <v>0</v>
      </c>
      <c r="L244" s="44">
        <v>0</v>
      </c>
      <c r="M244" s="44">
        <v>0</v>
      </c>
      <c r="N244" s="44">
        <v>0</v>
      </c>
      <c r="O244" s="44">
        <v>0</v>
      </c>
      <c r="P244" s="44">
        <v>0</v>
      </c>
      <c r="Q244" s="44">
        <v>0</v>
      </c>
      <c r="R244" s="44">
        <v>0</v>
      </c>
      <c r="S244" s="44">
        <v>0</v>
      </c>
      <c r="T244" s="44">
        <v>0</v>
      </c>
      <c r="U244" s="44">
        <v>0</v>
      </c>
      <c r="V244" s="44">
        <v>1</v>
      </c>
      <c r="W244" s="44">
        <v>0</v>
      </c>
      <c r="X244" s="44">
        <v>0</v>
      </c>
      <c r="Y244" s="44">
        <v>1</v>
      </c>
      <c r="Z244" s="44">
        <v>0</v>
      </c>
      <c r="AA244" s="44">
        <v>1</v>
      </c>
      <c r="AB244" s="44">
        <v>0</v>
      </c>
      <c r="AC244" s="44">
        <v>1</v>
      </c>
      <c r="AD244" s="39">
        <v>0</v>
      </c>
    </row>
    <row r="245" spans="1:30" x14ac:dyDescent="0.35">
      <c r="A245" s="27" t="s">
        <v>25</v>
      </c>
      <c r="B245" s="28">
        <v>14</v>
      </c>
      <c r="C245" s="28" t="s">
        <v>13</v>
      </c>
      <c r="D245" s="29" t="s">
        <v>11</v>
      </c>
      <c r="E245" s="29" t="s">
        <v>11</v>
      </c>
      <c r="F245" s="29" t="s">
        <v>11</v>
      </c>
      <c r="G245" s="38">
        <v>1471</v>
      </c>
      <c r="H245" s="44">
        <v>0</v>
      </c>
      <c r="I245" s="44">
        <v>0</v>
      </c>
      <c r="J245" s="44">
        <v>1</v>
      </c>
      <c r="K245" s="44">
        <v>0</v>
      </c>
      <c r="L245" s="44">
        <v>0</v>
      </c>
      <c r="M245" s="44">
        <v>0</v>
      </c>
      <c r="N245" s="44">
        <v>0</v>
      </c>
      <c r="O245" s="44">
        <v>0</v>
      </c>
      <c r="P245" s="44">
        <v>0</v>
      </c>
      <c r="Q245" s="44">
        <v>0</v>
      </c>
      <c r="R245" s="44">
        <v>0</v>
      </c>
      <c r="S245" s="44">
        <v>0</v>
      </c>
      <c r="T245" s="44">
        <v>1</v>
      </c>
      <c r="U245" s="44">
        <v>0</v>
      </c>
      <c r="V245" s="44">
        <v>0</v>
      </c>
      <c r="W245" s="44">
        <v>0</v>
      </c>
      <c r="X245" s="44">
        <v>0</v>
      </c>
      <c r="Y245" s="44">
        <v>1</v>
      </c>
      <c r="Z245" s="44">
        <v>0</v>
      </c>
      <c r="AA245" s="44">
        <v>1</v>
      </c>
      <c r="AB245" s="44">
        <v>0</v>
      </c>
      <c r="AC245" s="44">
        <v>1</v>
      </c>
      <c r="AD245" s="39">
        <v>0</v>
      </c>
    </row>
    <row r="246" spans="1:30" x14ac:dyDescent="0.35">
      <c r="A246" s="27" t="s">
        <v>25</v>
      </c>
      <c r="B246" s="28">
        <v>17</v>
      </c>
      <c r="C246" s="28" t="s">
        <v>14</v>
      </c>
      <c r="D246" s="29" t="s">
        <v>11</v>
      </c>
      <c r="E246" s="29" t="s">
        <v>11</v>
      </c>
      <c r="F246" s="29" t="s">
        <v>11</v>
      </c>
      <c r="G246" s="38">
        <v>1299</v>
      </c>
      <c r="H246" s="44">
        <v>0</v>
      </c>
      <c r="I246" s="44">
        <v>0</v>
      </c>
      <c r="J246" s="44">
        <v>1</v>
      </c>
      <c r="K246" s="44">
        <v>0</v>
      </c>
      <c r="L246" s="44">
        <v>0</v>
      </c>
      <c r="M246" s="44">
        <v>0</v>
      </c>
      <c r="N246" s="44">
        <v>0</v>
      </c>
      <c r="O246" s="44">
        <v>0</v>
      </c>
      <c r="P246" s="44">
        <v>0</v>
      </c>
      <c r="Q246" s="44">
        <v>0</v>
      </c>
      <c r="R246" s="44">
        <v>0</v>
      </c>
      <c r="S246" s="44">
        <v>0</v>
      </c>
      <c r="T246" s="44">
        <v>0</v>
      </c>
      <c r="U246" s="44">
        <v>1</v>
      </c>
      <c r="V246" s="44">
        <v>0</v>
      </c>
      <c r="W246" s="44">
        <v>0</v>
      </c>
      <c r="X246" s="44">
        <v>0</v>
      </c>
      <c r="Y246" s="44">
        <v>1</v>
      </c>
      <c r="Z246" s="44">
        <v>0</v>
      </c>
      <c r="AA246" s="44">
        <v>1</v>
      </c>
      <c r="AB246" s="44">
        <v>0</v>
      </c>
      <c r="AC246" s="44">
        <v>1</v>
      </c>
      <c r="AD246" s="39">
        <v>0</v>
      </c>
    </row>
    <row r="247" spans="1:30" x14ac:dyDescent="0.35">
      <c r="A247" s="27" t="s">
        <v>25</v>
      </c>
      <c r="B247" s="28">
        <v>18</v>
      </c>
      <c r="C247" s="28" t="s">
        <v>8</v>
      </c>
      <c r="D247" s="29" t="s">
        <v>11</v>
      </c>
      <c r="E247" s="29" t="s">
        <v>11</v>
      </c>
      <c r="F247" s="29" t="s">
        <v>11</v>
      </c>
      <c r="G247" s="38">
        <v>1058</v>
      </c>
      <c r="H247" s="44">
        <v>0</v>
      </c>
      <c r="I247" s="44">
        <v>0</v>
      </c>
      <c r="J247" s="44">
        <v>1</v>
      </c>
      <c r="K247" s="44">
        <v>0</v>
      </c>
      <c r="L247" s="44">
        <v>0</v>
      </c>
      <c r="M247" s="44">
        <v>0</v>
      </c>
      <c r="N247" s="44">
        <v>0</v>
      </c>
      <c r="O247" s="44">
        <v>0</v>
      </c>
      <c r="P247" s="44">
        <v>0</v>
      </c>
      <c r="Q247" s="44">
        <v>0</v>
      </c>
      <c r="R247" s="44">
        <v>0</v>
      </c>
      <c r="S247" s="44">
        <v>0</v>
      </c>
      <c r="T247" s="44">
        <v>0</v>
      </c>
      <c r="U247" s="44">
        <v>0</v>
      </c>
      <c r="V247" s="44">
        <v>0</v>
      </c>
      <c r="W247" s="44">
        <v>1</v>
      </c>
      <c r="X247" s="44">
        <v>0</v>
      </c>
      <c r="Y247" s="44">
        <v>1</v>
      </c>
      <c r="Z247" s="44">
        <v>0</v>
      </c>
      <c r="AA247" s="44">
        <v>1</v>
      </c>
      <c r="AB247" s="44">
        <v>0</v>
      </c>
      <c r="AC247" s="44">
        <v>1</v>
      </c>
      <c r="AD247" s="39">
        <v>0</v>
      </c>
    </row>
    <row r="248" spans="1:30" x14ac:dyDescent="0.35">
      <c r="A248" s="27" t="s">
        <v>25</v>
      </c>
      <c r="B248" s="28">
        <v>19</v>
      </c>
      <c r="C248" s="28" t="s">
        <v>10</v>
      </c>
      <c r="D248" s="29" t="s">
        <v>11</v>
      </c>
      <c r="E248" s="29" t="s">
        <v>11</v>
      </c>
      <c r="F248" s="29" t="s">
        <v>11</v>
      </c>
      <c r="G248" s="38">
        <v>1104</v>
      </c>
      <c r="H248" s="44">
        <v>0</v>
      </c>
      <c r="I248" s="44">
        <v>0</v>
      </c>
      <c r="J248" s="44">
        <v>1</v>
      </c>
      <c r="K248" s="44">
        <v>0</v>
      </c>
      <c r="L248" s="44">
        <v>0</v>
      </c>
      <c r="M248" s="44">
        <v>0</v>
      </c>
      <c r="N248" s="44">
        <v>0</v>
      </c>
      <c r="O248" s="44">
        <v>0</v>
      </c>
      <c r="P248" s="44">
        <v>0</v>
      </c>
      <c r="Q248" s="44">
        <v>0</v>
      </c>
      <c r="R248" s="44">
        <v>0</v>
      </c>
      <c r="S248" s="44">
        <v>0</v>
      </c>
      <c r="T248" s="44">
        <v>0</v>
      </c>
      <c r="U248" s="44">
        <v>0</v>
      </c>
      <c r="V248" s="44">
        <v>0</v>
      </c>
      <c r="W248" s="44">
        <v>0</v>
      </c>
      <c r="X248" s="44">
        <v>1</v>
      </c>
      <c r="Y248" s="44">
        <v>1</v>
      </c>
      <c r="Z248" s="44">
        <v>0</v>
      </c>
      <c r="AA248" s="44">
        <v>1</v>
      </c>
      <c r="AB248" s="44">
        <v>0</v>
      </c>
      <c r="AC248" s="44">
        <v>1</v>
      </c>
      <c r="AD248" s="39">
        <v>0</v>
      </c>
    </row>
    <row r="249" spans="1:30" x14ac:dyDescent="0.35">
      <c r="A249" s="27" t="s">
        <v>25</v>
      </c>
      <c r="B249" s="28">
        <v>20</v>
      </c>
      <c r="C249" s="28" t="s">
        <v>12</v>
      </c>
      <c r="D249" s="29" t="s">
        <v>11</v>
      </c>
      <c r="E249" s="29" t="s">
        <v>11</v>
      </c>
      <c r="F249" s="29" t="s">
        <v>11</v>
      </c>
      <c r="G249" s="38">
        <v>1018</v>
      </c>
      <c r="H249" s="44">
        <v>0</v>
      </c>
      <c r="I249" s="44">
        <v>0</v>
      </c>
      <c r="J249" s="44">
        <v>1</v>
      </c>
      <c r="K249" s="44">
        <v>0</v>
      </c>
      <c r="L249" s="44">
        <v>0</v>
      </c>
      <c r="M249" s="44">
        <v>0</v>
      </c>
      <c r="N249" s="44">
        <v>0</v>
      </c>
      <c r="O249" s="44">
        <v>0</v>
      </c>
      <c r="P249" s="44">
        <v>0</v>
      </c>
      <c r="Q249" s="44">
        <v>0</v>
      </c>
      <c r="R249" s="44">
        <v>0</v>
      </c>
      <c r="S249" s="44">
        <v>0</v>
      </c>
      <c r="T249" s="44">
        <v>0</v>
      </c>
      <c r="U249" s="44">
        <v>0</v>
      </c>
      <c r="V249" s="44">
        <v>1</v>
      </c>
      <c r="W249" s="44">
        <v>0</v>
      </c>
      <c r="X249" s="44">
        <v>0</v>
      </c>
      <c r="Y249" s="44">
        <v>1</v>
      </c>
      <c r="Z249" s="44">
        <v>0</v>
      </c>
      <c r="AA249" s="44">
        <v>1</v>
      </c>
      <c r="AB249" s="44">
        <v>0</v>
      </c>
      <c r="AC249" s="44">
        <v>1</v>
      </c>
      <c r="AD249" s="39">
        <v>0</v>
      </c>
    </row>
    <row r="250" spans="1:30" x14ac:dyDescent="0.35">
      <c r="A250" s="27" t="s">
        <v>25</v>
      </c>
      <c r="B250" s="28">
        <v>21</v>
      </c>
      <c r="C250" s="28" t="s">
        <v>13</v>
      </c>
      <c r="D250" s="29" t="s">
        <v>9</v>
      </c>
      <c r="E250" s="29" t="s">
        <v>11</v>
      </c>
      <c r="F250" s="29" t="s">
        <v>11</v>
      </c>
      <c r="G250" s="38">
        <v>1955</v>
      </c>
      <c r="H250" s="44">
        <v>0</v>
      </c>
      <c r="I250" s="44">
        <v>0</v>
      </c>
      <c r="J250" s="44">
        <v>1</v>
      </c>
      <c r="K250" s="44">
        <v>0</v>
      </c>
      <c r="L250" s="44">
        <v>0</v>
      </c>
      <c r="M250" s="44">
        <v>0</v>
      </c>
      <c r="N250" s="44">
        <v>0</v>
      </c>
      <c r="O250" s="44">
        <v>0</v>
      </c>
      <c r="P250" s="44">
        <v>0</v>
      </c>
      <c r="Q250" s="44">
        <v>0</v>
      </c>
      <c r="R250" s="44">
        <v>0</v>
      </c>
      <c r="S250" s="44">
        <v>0</v>
      </c>
      <c r="T250" s="44">
        <v>1</v>
      </c>
      <c r="U250" s="44">
        <v>0</v>
      </c>
      <c r="V250" s="44">
        <v>0</v>
      </c>
      <c r="W250" s="44">
        <v>0</v>
      </c>
      <c r="X250" s="44">
        <v>0</v>
      </c>
      <c r="Y250" s="44">
        <v>0</v>
      </c>
      <c r="Z250" s="44">
        <v>1</v>
      </c>
      <c r="AA250" s="44">
        <v>1</v>
      </c>
      <c r="AB250" s="44">
        <v>0</v>
      </c>
      <c r="AC250" s="44">
        <v>1</v>
      </c>
      <c r="AD250" s="39">
        <v>0</v>
      </c>
    </row>
    <row r="251" spans="1:30" x14ac:dyDescent="0.35">
      <c r="A251" s="27" t="s">
        <v>25</v>
      </c>
      <c r="B251" s="28">
        <v>24</v>
      </c>
      <c r="C251" s="28" t="s">
        <v>14</v>
      </c>
      <c r="D251" s="29" t="s">
        <v>11</v>
      </c>
      <c r="E251" s="29" t="s">
        <v>11</v>
      </c>
      <c r="F251" s="29" t="s">
        <v>9</v>
      </c>
      <c r="G251" s="38">
        <v>941</v>
      </c>
      <c r="H251" s="44">
        <v>0</v>
      </c>
      <c r="I251" s="44">
        <v>0</v>
      </c>
      <c r="J251" s="44">
        <v>1</v>
      </c>
      <c r="K251" s="44">
        <v>0</v>
      </c>
      <c r="L251" s="44">
        <v>0</v>
      </c>
      <c r="M251" s="44">
        <v>0</v>
      </c>
      <c r="N251" s="44">
        <v>0</v>
      </c>
      <c r="O251" s="44">
        <v>0</v>
      </c>
      <c r="P251" s="44">
        <v>0</v>
      </c>
      <c r="Q251" s="44">
        <v>0</v>
      </c>
      <c r="R251" s="44">
        <v>0</v>
      </c>
      <c r="S251" s="44">
        <v>0</v>
      </c>
      <c r="T251" s="44">
        <v>0</v>
      </c>
      <c r="U251" s="44">
        <v>1</v>
      </c>
      <c r="V251" s="44">
        <v>0</v>
      </c>
      <c r="W251" s="44">
        <v>0</v>
      </c>
      <c r="X251" s="44">
        <v>0</v>
      </c>
      <c r="Y251" s="44">
        <v>1</v>
      </c>
      <c r="Z251" s="44">
        <v>0</v>
      </c>
      <c r="AA251" s="44">
        <v>1</v>
      </c>
      <c r="AB251" s="44">
        <v>0</v>
      </c>
      <c r="AC251" s="44">
        <v>0</v>
      </c>
      <c r="AD251" s="39">
        <v>1</v>
      </c>
    </row>
    <row r="252" spans="1:30" x14ac:dyDescent="0.35">
      <c r="A252" s="27" t="s">
        <v>25</v>
      </c>
      <c r="B252" s="28">
        <v>26</v>
      </c>
      <c r="C252" s="28" t="s">
        <v>10</v>
      </c>
      <c r="D252" s="29" t="s">
        <v>11</v>
      </c>
      <c r="E252" s="29" t="s">
        <v>11</v>
      </c>
      <c r="F252" s="29" t="s">
        <v>9</v>
      </c>
      <c r="G252" s="38">
        <v>999</v>
      </c>
      <c r="H252" s="44">
        <v>0</v>
      </c>
      <c r="I252" s="44">
        <v>0</v>
      </c>
      <c r="J252" s="44">
        <v>1</v>
      </c>
      <c r="K252" s="44">
        <v>0</v>
      </c>
      <c r="L252" s="44">
        <v>0</v>
      </c>
      <c r="M252" s="44">
        <v>0</v>
      </c>
      <c r="N252" s="44">
        <v>0</v>
      </c>
      <c r="O252" s="44">
        <v>0</v>
      </c>
      <c r="P252" s="44">
        <v>0</v>
      </c>
      <c r="Q252" s="44">
        <v>0</v>
      </c>
      <c r="R252" s="44">
        <v>0</v>
      </c>
      <c r="S252" s="44">
        <v>0</v>
      </c>
      <c r="T252" s="44">
        <v>0</v>
      </c>
      <c r="U252" s="44">
        <v>0</v>
      </c>
      <c r="V252" s="44">
        <v>0</v>
      </c>
      <c r="W252" s="44">
        <v>0</v>
      </c>
      <c r="X252" s="44">
        <v>1</v>
      </c>
      <c r="Y252" s="44">
        <v>1</v>
      </c>
      <c r="Z252" s="44">
        <v>0</v>
      </c>
      <c r="AA252" s="44">
        <v>1</v>
      </c>
      <c r="AB252" s="44">
        <v>0</v>
      </c>
      <c r="AC252" s="44">
        <v>0</v>
      </c>
      <c r="AD252" s="39">
        <v>1</v>
      </c>
    </row>
    <row r="253" spans="1:30" x14ac:dyDescent="0.35">
      <c r="A253" s="27" t="s">
        <v>25</v>
      </c>
      <c r="B253" s="28">
        <v>27</v>
      </c>
      <c r="C253" s="28" t="s">
        <v>12</v>
      </c>
      <c r="D253" s="29" t="s">
        <v>11</v>
      </c>
      <c r="E253" s="29" t="s">
        <v>11</v>
      </c>
      <c r="F253" s="29" t="s">
        <v>11</v>
      </c>
      <c r="G253" s="38">
        <v>619</v>
      </c>
      <c r="H253" s="44">
        <v>0</v>
      </c>
      <c r="I253" s="44">
        <v>0</v>
      </c>
      <c r="J253" s="44">
        <v>1</v>
      </c>
      <c r="K253" s="44">
        <v>0</v>
      </c>
      <c r="L253" s="44">
        <v>0</v>
      </c>
      <c r="M253" s="44">
        <v>0</v>
      </c>
      <c r="N253" s="44">
        <v>0</v>
      </c>
      <c r="O253" s="44">
        <v>0</v>
      </c>
      <c r="P253" s="44">
        <v>0</v>
      </c>
      <c r="Q253" s="44">
        <v>0</v>
      </c>
      <c r="R253" s="44">
        <v>0</v>
      </c>
      <c r="S253" s="44">
        <v>0</v>
      </c>
      <c r="T253" s="44">
        <v>0</v>
      </c>
      <c r="U253" s="44">
        <v>0</v>
      </c>
      <c r="V253" s="44">
        <v>1</v>
      </c>
      <c r="W253" s="44">
        <v>0</v>
      </c>
      <c r="X253" s="44">
        <v>0</v>
      </c>
      <c r="Y253" s="44">
        <v>1</v>
      </c>
      <c r="Z253" s="44">
        <v>0</v>
      </c>
      <c r="AA253" s="44">
        <v>1</v>
      </c>
      <c r="AB253" s="44">
        <v>0</v>
      </c>
      <c r="AC253" s="44">
        <v>1</v>
      </c>
      <c r="AD253" s="39">
        <v>0</v>
      </c>
    </row>
    <row r="254" spans="1:30" x14ac:dyDescent="0.35">
      <c r="A254" s="27" t="s">
        <v>25</v>
      </c>
      <c r="B254" s="28">
        <v>28</v>
      </c>
      <c r="C254" s="28" t="s">
        <v>13</v>
      </c>
      <c r="D254" s="29" t="s">
        <v>11</v>
      </c>
      <c r="E254" s="29" t="s">
        <v>11</v>
      </c>
      <c r="F254" s="29" t="s">
        <v>11</v>
      </c>
      <c r="G254" s="38">
        <v>937</v>
      </c>
      <c r="H254" s="44">
        <v>0</v>
      </c>
      <c r="I254" s="44">
        <v>0</v>
      </c>
      <c r="J254" s="44">
        <v>1</v>
      </c>
      <c r="K254" s="44">
        <v>0</v>
      </c>
      <c r="L254" s="44">
        <v>0</v>
      </c>
      <c r="M254" s="44">
        <v>0</v>
      </c>
      <c r="N254" s="44">
        <v>0</v>
      </c>
      <c r="O254" s="44">
        <v>0</v>
      </c>
      <c r="P254" s="44">
        <v>0</v>
      </c>
      <c r="Q254" s="44">
        <v>0</v>
      </c>
      <c r="R254" s="44">
        <v>0</v>
      </c>
      <c r="S254" s="44">
        <v>0</v>
      </c>
      <c r="T254" s="44">
        <v>1</v>
      </c>
      <c r="U254" s="44">
        <v>0</v>
      </c>
      <c r="V254" s="44">
        <v>0</v>
      </c>
      <c r="W254" s="44">
        <v>0</v>
      </c>
      <c r="X254" s="44">
        <v>0</v>
      </c>
      <c r="Y254" s="44">
        <v>1</v>
      </c>
      <c r="Z254" s="44">
        <v>0</v>
      </c>
      <c r="AA254" s="44">
        <v>1</v>
      </c>
      <c r="AB254" s="44">
        <v>0</v>
      </c>
      <c r="AC254" s="44">
        <v>1</v>
      </c>
      <c r="AD254" s="39">
        <v>0</v>
      </c>
    </row>
    <row r="255" spans="1:30" ht="15" thickBot="1" x14ac:dyDescent="0.4">
      <c r="A255" s="30" t="s">
        <v>25</v>
      </c>
      <c r="B255" s="31">
        <v>31</v>
      </c>
      <c r="C255" s="31" t="s">
        <v>14</v>
      </c>
      <c r="D255" s="32" t="s">
        <v>11</v>
      </c>
      <c r="E255" s="32" t="s">
        <v>11</v>
      </c>
      <c r="F255" s="32" t="s">
        <v>11</v>
      </c>
      <c r="G255" s="40">
        <v>1146</v>
      </c>
      <c r="H255" s="45">
        <v>0</v>
      </c>
      <c r="I255" s="45">
        <v>0</v>
      </c>
      <c r="J255" s="45">
        <v>1</v>
      </c>
      <c r="K255" s="45">
        <v>0</v>
      </c>
      <c r="L255" s="45">
        <v>0</v>
      </c>
      <c r="M255" s="45">
        <v>0</v>
      </c>
      <c r="N255" s="45">
        <v>0</v>
      </c>
      <c r="O255" s="45">
        <v>0</v>
      </c>
      <c r="P255" s="45">
        <v>0</v>
      </c>
      <c r="Q255" s="45">
        <v>0</v>
      </c>
      <c r="R255" s="45">
        <v>0</v>
      </c>
      <c r="S255" s="45">
        <v>0</v>
      </c>
      <c r="T255" s="45">
        <v>0</v>
      </c>
      <c r="U255" s="45">
        <v>1</v>
      </c>
      <c r="V255" s="45">
        <v>0</v>
      </c>
      <c r="W255" s="45">
        <v>0</v>
      </c>
      <c r="X255" s="45">
        <v>0</v>
      </c>
      <c r="Y255" s="45">
        <v>1</v>
      </c>
      <c r="Z255" s="45">
        <v>0</v>
      </c>
      <c r="AA255" s="45">
        <v>1</v>
      </c>
      <c r="AB255" s="45">
        <v>0</v>
      </c>
      <c r="AC255" s="45">
        <v>1</v>
      </c>
      <c r="AD255" s="41">
        <v>0</v>
      </c>
    </row>
    <row r="256" spans="1:30" ht="15" thickTop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B0A4-607A-4CD2-9FA2-C4DADDFBAAC8}">
  <dimension ref="B9"/>
  <sheetViews>
    <sheetView workbookViewId="0"/>
  </sheetViews>
  <sheetFormatPr defaultRowHeight="14.5" x14ac:dyDescent="0.35"/>
  <sheetData>
    <row r="9" spans="2:2" x14ac:dyDescent="0.35">
      <c r="B9">
        <f>1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48655-B302-49AF-8286-4941F8C50853}">
  <dimension ref="A1:T71"/>
  <sheetViews>
    <sheetView workbookViewId="0"/>
  </sheetViews>
  <sheetFormatPr defaultColWidth="30.6328125" defaultRowHeight="14.5" x14ac:dyDescent="0.35"/>
  <cols>
    <col min="1" max="1" width="30.6328125" style="6"/>
    <col min="2" max="16384" width="30.6328125" style="5"/>
  </cols>
  <sheetData>
    <row r="1" spans="1:20" x14ac:dyDescent="0.35">
      <c r="A1" s="6" t="s">
        <v>35</v>
      </c>
      <c r="B1" s="5" t="s">
        <v>111</v>
      </c>
      <c r="C1" s="5" t="s">
        <v>26</v>
      </c>
      <c r="D1" s="5">
        <v>8</v>
      </c>
      <c r="E1" s="5" t="s">
        <v>27</v>
      </c>
      <c r="F1" s="5">
        <v>2</v>
      </c>
      <c r="G1" s="5" t="s">
        <v>28</v>
      </c>
      <c r="H1" s="5">
        <v>2</v>
      </c>
      <c r="I1" s="5" t="s">
        <v>29</v>
      </c>
      <c r="J1" s="5">
        <v>1</v>
      </c>
      <c r="K1" s="5" t="s">
        <v>30</v>
      </c>
      <c r="L1" s="5">
        <v>0</v>
      </c>
      <c r="M1" s="5" t="s">
        <v>31</v>
      </c>
      <c r="N1" s="5">
        <v>0</v>
      </c>
      <c r="O1" s="5" t="s">
        <v>32</v>
      </c>
      <c r="P1" s="5">
        <v>1</v>
      </c>
      <c r="Q1" s="5" t="s">
        <v>33</v>
      </c>
      <c r="R1" s="5">
        <v>0</v>
      </c>
      <c r="S1" s="5" t="s">
        <v>34</v>
      </c>
      <c r="T1" s="5">
        <v>0</v>
      </c>
    </row>
    <row r="2" spans="1:20" x14ac:dyDescent="0.35">
      <c r="A2" s="6" t="s">
        <v>36</v>
      </c>
      <c r="B2" s="5" t="s">
        <v>181</v>
      </c>
    </row>
    <row r="3" spans="1:20" x14ac:dyDescent="0.35">
      <c r="A3" s="6" t="s">
        <v>37</v>
      </c>
      <c r="B3" s="5" t="b">
        <f>IF(B10&gt;256,"TripUpST110AndEarlier",TRUE)</f>
        <v>1</v>
      </c>
    </row>
    <row r="4" spans="1:20" x14ac:dyDescent="0.35">
      <c r="A4" s="6" t="s">
        <v>38</v>
      </c>
      <c r="B4" s="5" t="s">
        <v>39</v>
      </c>
    </row>
    <row r="5" spans="1:20" x14ac:dyDescent="0.35">
      <c r="A5" s="6" t="s">
        <v>40</v>
      </c>
      <c r="B5" s="5" t="b">
        <v>1</v>
      </c>
    </row>
    <row r="6" spans="1:20" x14ac:dyDescent="0.35">
      <c r="A6" s="6" t="s">
        <v>41</v>
      </c>
      <c r="B6" s="5" t="b">
        <v>0</v>
      </c>
    </row>
    <row r="7" spans="1:20" x14ac:dyDescent="0.35">
      <c r="A7" s="6" t="s">
        <v>42</v>
      </c>
      <c r="B7" s="5" t="e">
        <f>#REF!</f>
        <v>#REF!</v>
      </c>
    </row>
    <row r="8" spans="1:20" x14ac:dyDescent="0.35">
      <c r="A8" s="6" t="s">
        <v>43</v>
      </c>
      <c r="B8" s="5">
        <v>2</v>
      </c>
    </row>
    <row r="9" spans="1:20" x14ac:dyDescent="0.35">
      <c r="A9" s="6" t="s">
        <v>44</v>
      </c>
      <c r="B9" s="5">
        <f>1</f>
        <v>1</v>
      </c>
    </row>
    <row r="10" spans="1:20" x14ac:dyDescent="0.35">
      <c r="A10" s="6" t="s">
        <v>45</v>
      </c>
      <c r="B10" s="5">
        <v>20</v>
      </c>
    </row>
    <row r="12" spans="1:20" x14ac:dyDescent="0.35">
      <c r="A12" s="6" t="s">
        <v>46</v>
      </c>
      <c r="B12" s="5" t="s">
        <v>182</v>
      </c>
      <c r="C12" s="5" t="s">
        <v>47</v>
      </c>
      <c r="D12" s="5" t="s">
        <v>112</v>
      </c>
      <c r="E12" s="5" t="b">
        <v>1</v>
      </c>
      <c r="F12" s="5">
        <v>0</v>
      </c>
      <c r="G12" s="5">
        <v>4</v>
      </c>
      <c r="H12" s="5">
        <v>1</v>
      </c>
    </row>
    <row r="13" spans="1:20" x14ac:dyDescent="0.35">
      <c r="A13" s="6" t="s">
        <v>48</v>
      </c>
      <c r="B13" s="5" t="e">
        <f>#REF!</f>
        <v>#REF!</v>
      </c>
    </row>
    <row r="14" spans="1:20" x14ac:dyDescent="0.35">
      <c r="A14" s="6" t="s">
        <v>49</v>
      </c>
    </row>
    <row r="15" spans="1:20" x14ac:dyDescent="0.35">
      <c r="A15" s="6" t="s">
        <v>50</v>
      </c>
      <c r="B15" s="5" t="s">
        <v>183</v>
      </c>
      <c r="C15" s="5" t="s">
        <v>51</v>
      </c>
      <c r="D15" s="5" t="s">
        <v>113</v>
      </c>
      <c r="E15" s="5" t="b">
        <v>1</v>
      </c>
      <c r="F15" s="5">
        <v>0</v>
      </c>
      <c r="G15" s="5">
        <v>4</v>
      </c>
      <c r="H15" s="5">
        <v>0</v>
      </c>
    </row>
    <row r="16" spans="1:20" x14ac:dyDescent="0.35">
      <c r="A16" s="6" t="s">
        <v>52</v>
      </c>
      <c r="B16" s="5" t="e">
        <f>#REF!</f>
        <v>#REF!</v>
      </c>
    </row>
    <row r="17" spans="1:8" x14ac:dyDescent="0.35">
      <c r="A17" s="6" t="s">
        <v>53</v>
      </c>
    </row>
    <row r="18" spans="1:8" x14ac:dyDescent="0.35">
      <c r="A18" s="6" t="s">
        <v>54</v>
      </c>
      <c r="B18" s="5" t="s">
        <v>184</v>
      </c>
      <c r="C18" s="5" t="s">
        <v>55</v>
      </c>
      <c r="D18" s="5" t="s">
        <v>114</v>
      </c>
      <c r="E18" s="5" t="b">
        <v>1</v>
      </c>
      <c r="F18" s="5">
        <v>0</v>
      </c>
      <c r="G18" s="5">
        <v>4</v>
      </c>
      <c r="H18" s="5">
        <v>1</v>
      </c>
    </row>
    <row r="19" spans="1:8" x14ac:dyDescent="0.35">
      <c r="A19" s="6" t="s">
        <v>56</v>
      </c>
      <c r="B19" s="5" t="e">
        <f>#REF!</f>
        <v>#REF!</v>
      </c>
    </row>
    <row r="20" spans="1:8" x14ac:dyDescent="0.35">
      <c r="A20" s="6" t="s">
        <v>57</v>
      </c>
    </row>
    <row r="21" spans="1:8" x14ac:dyDescent="0.35">
      <c r="A21" s="6" t="s">
        <v>115</v>
      </c>
      <c r="B21" s="5" t="s">
        <v>185</v>
      </c>
      <c r="C21" s="5" t="s">
        <v>116</v>
      </c>
      <c r="D21" s="5" t="s">
        <v>117</v>
      </c>
      <c r="E21" s="5" t="b">
        <v>1</v>
      </c>
      <c r="F21" s="5">
        <v>0</v>
      </c>
      <c r="G21" s="5">
        <v>4</v>
      </c>
      <c r="H21" s="5">
        <v>1</v>
      </c>
    </row>
    <row r="22" spans="1:8" x14ac:dyDescent="0.35">
      <c r="A22" s="6" t="s">
        <v>118</v>
      </c>
      <c r="B22" s="5" t="e">
        <f>#REF!</f>
        <v>#REF!</v>
      </c>
    </row>
    <row r="23" spans="1:8" x14ac:dyDescent="0.35">
      <c r="A23" s="6" t="s">
        <v>119</v>
      </c>
    </row>
    <row r="24" spans="1:8" x14ac:dyDescent="0.35">
      <c r="A24" s="6" t="s">
        <v>120</v>
      </c>
      <c r="B24" s="5" t="s">
        <v>186</v>
      </c>
      <c r="C24" s="5" t="s">
        <v>121</v>
      </c>
      <c r="D24" s="5" t="s">
        <v>122</v>
      </c>
      <c r="E24" s="5" t="b">
        <v>1</v>
      </c>
      <c r="F24" s="5">
        <v>0</v>
      </c>
      <c r="G24" s="5">
        <v>4</v>
      </c>
      <c r="H24" s="5">
        <v>1</v>
      </c>
    </row>
    <row r="25" spans="1:8" x14ac:dyDescent="0.35">
      <c r="A25" s="6" t="s">
        <v>123</v>
      </c>
      <c r="B25" s="5" t="e">
        <f>#REF!</f>
        <v>#REF!</v>
      </c>
    </row>
    <row r="26" spans="1:8" x14ac:dyDescent="0.35">
      <c r="A26" s="6" t="s">
        <v>124</v>
      </c>
    </row>
    <row r="27" spans="1:8" x14ac:dyDescent="0.35">
      <c r="A27" s="6" t="s">
        <v>125</v>
      </c>
      <c r="B27" s="5" t="s">
        <v>187</v>
      </c>
      <c r="C27" s="5" t="s">
        <v>126</v>
      </c>
      <c r="D27" s="5" t="s">
        <v>127</v>
      </c>
      <c r="E27" s="5" t="b">
        <v>1</v>
      </c>
      <c r="F27" s="5">
        <v>0</v>
      </c>
      <c r="G27" s="5">
        <v>4</v>
      </c>
      <c r="H27" s="5">
        <v>1</v>
      </c>
    </row>
    <row r="28" spans="1:8" x14ac:dyDescent="0.35">
      <c r="A28" s="6" t="s">
        <v>128</v>
      </c>
      <c r="B28" s="5" t="e">
        <f>#REF!</f>
        <v>#REF!</v>
      </c>
    </row>
    <row r="29" spans="1:8" x14ac:dyDescent="0.35">
      <c r="A29" s="6" t="s">
        <v>129</v>
      </c>
    </row>
    <row r="30" spans="1:8" x14ac:dyDescent="0.35">
      <c r="A30" s="6" t="s">
        <v>130</v>
      </c>
      <c r="B30" s="5" t="s">
        <v>188</v>
      </c>
      <c r="C30" s="5" t="s">
        <v>131</v>
      </c>
      <c r="D30" s="5" t="s">
        <v>132</v>
      </c>
      <c r="E30" s="5" t="b">
        <v>1</v>
      </c>
      <c r="F30" s="5">
        <v>0</v>
      </c>
      <c r="G30" s="5">
        <v>4</v>
      </c>
      <c r="H30" s="5">
        <v>1</v>
      </c>
    </row>
    <row r="31" spans="1:8" x14ac:dyDescent="0.35">
      <c r="A31" s="6" t="s">
        <v>133</v>
      </c>
      <c r="B31" s="5" t="e">
        <f>#REF!</f>
        <v>#REF!</v>
      </c>
    </row>
    <row r="32" spans="1:8" x14ac:dyDescent="0.35">
      <c r="A32" s="6" t="s">
        <v>134</v>
      </c>
    </row>
    <row r="33" spans="1:8" x14ac:dyDescent="0.35">
      <c r="A33" s="6" t="s">
        <v>135</v>
      </c>
      <c r="B33" s="5" t="s">
        <v>189</v>
      </c>
      <c r="C33" s="5" t="s">
        <v>136</v>
      </c>
      <c r="D33" s="5" t="s">
        <v>137</v>
      </c>
      <c r="E33" s="5" t="b">
        <v>1</v>
      </c>
      <c r="F33" s="5">
        <v>0</v>
      </c>
      <c r="G33" s="5">
        <v>4</v>
      </c>
      <c r="H33" s="5">
        <v>1</v>
      </c>
    </row>
    <row r="34" spans="1:8" x14ac:dyDescent="0.35">
      <c r="A34" s="6" t="s">
        <v>138</v>
      </c>
      <c r="B34" s="5" t="e">
        <f>#REF!</f>
        <v>#REF!</v>
      </c>
    </row>
    <row r="35" spans="1:8" x14ac:dyDescent="0.35">
      <c r="A35" s="6" t="s">
        <v>139</v>
      </c>
    </row>
    <row r="36" spans="1:8" x14ac:dyDescent="0.35">
      <c r="A36" s="6" t="s">
        <v>140</v>
      </c>
      <c r="B36" s="5" t="s">
        <v>190</v>
      </c>
      <c r="C36" s="5" t="s">
        <v>141</v>
      </c>
      <c r="D36" s="5" t="s">
        <v>142</v>
      </c>
      <c r="E36" s="5" t="b">
        <v>1</v>
      </c>
      <c r="F36" s="5">
        <v>0</v>
      </c>
      <c r="G36" s="5">
        <v>4</v>
      </c>
      <c r="H36" s="5">
        <v>1</v>
      </c>
    </row>
    <row r="37" spans="1:8" x14ac:dyDescent="0.35">
      <c r="A37" s="6" t="s">
        <v>143</v>
      </c>
      <c r="B37" s="5" t="e">
        <f>#REF!</f>
        <v>#REF!</v>
      </c>
    </row>
    <row r="38" spans="1:8" x14ac:dyDescent="0.35">
      <c r="A38" s="6" t="s">
        <v>144</v>
      </c>
    </row>
    <row r="39" spans="1:8" x14ac:dyDescent="0.35">
      <c r="A39" s="6" t="s">
        <v>145</v>
      </c>
      <c r="B39" s="5" t="s">
        <v>191</v>
      </c>
      <c r="C39" s="5" t="s">
        <v>146</v>
      </c>
      <c r="D39" s="5" t="s">
        <v>147</v>
      </c>
      <c r="E39" s="5" t="b">
        <v>1</v>
      </c>
      <c r="F39" s="5">
        <v>0</v>
      </c>
      <c r="G39" s="5">
        <v>4</v>
      </c>
      <c r="H39" s="5">
        <v>1</v>
      </c>
    </row>
    <row r="40" spans="1:8" x14ac:dyDescent="0.35">
      <c r="A40" s="6" t="s">
        <v>148</v>
      </c>
      <c r="B40" s="5" t="e">
        <f>#REF!</f>
        <v>#REF!</v>
      </c>
    </row>
    <row r="41" spans="1:8" x14ac:dyDescent="0.35">
      <c r="A41" s="6" t="s">
        <v>149</v>
      </c>
    </row>
    <row r="42" spans="1:8" x14ac:dyDescent="0.35">
      <c r="A42" s="6" t="s">
        <v>150</v>
      </c>
      <c r="B42" s="5" t="s">
        <v>192</v>
      </c>
      <c r="C42" s="5" t="s">
        <v>151</v>
      </c>
      <c r="D42" s="5" t="s">
        <v>152</v>
      </c>
      <c r="E42" s="5" t="b">
        <v>1</v>
      </c>
      <c r="F42" s="5">
        <v>0</v>
      </c>
      <c r="G42" s="5">
        <v>4</v>
      </c>
      <c r="H42" s="5">
        <v>1</v>
      </c>
    </row>
    <row r="43" spans="1:8" x14ac:dyDescent="0.35">
      <c r="A43" s="6" t="s">
        <v>153</v>
      </c>
      <c r="B43" s="5" t="e">
        <f>#REF!</f>
        <v>#REF!</v>
      </c>
    </row>
    <row r="44" spans="1:8" x14ac:dyDescent="0.35">
      <c r="A44" s="6" t="s">
        <v>154</v>
      </c>
    </row>
    <row r="45" spans="1:8" x14ac:dyDescent="0.35">
      <c r="A45" s="6" t="s">
        <v>155</v>
      </c>
      <c r="B45" s="5" t="s">
        <v>193</v>
      </c>
      <c r="C45" s="5" t="s">
        <v>156</v>
      </c>
      <c r="D45" s="5" t="s">
        <v>157</v>
      </c>
      <c r="E45" s="5" t="b">
        <v>1</v>
      </c>
      <c r="F45" s="5">
        <v>0</v>
      </c>
      <c r="G45" s="5">
        <v>4</v>
      </c>
      <c r="H45" s="5">
        <v>1</v>
      </c>
    </row>
    <row r="46" spans="1:8" x14ac:dyDescent="0.35">
      <c r="A46" s="6" t="s">
        <v>158</v>
      </c>
      <c r="B46" s="5" t="e">
        <f>#REF!</f>
        <v>#REF!</v>
      </c>
    </row>
    <row r="47" spans="1:8" x14ac:dyDescent="0.35">
      <c r="A47" s="6" t="s">
        <v>159</v>
      </c>
    </row>
    <row r="48" spans="1:8" x14ac:dyDescent="0.35">
      <c r="A48" s="6" t="s">
        <v>160</v>
      </c>
      <c r="B48" s="5" t="s">
        <v>194</v>
      </c>
      <c r="C48" s="5" t="s">
        <v>161</v>
      </c>
      <c r="D48" s="5" t="s">
        <v>58</v>
      </c>
      <c r="E48" s="5" t="b">
        <v>1</v>
      </c>
      <c r="F48" s="5">
        <v>0</v>
      </c>
      <c r="G48" s="5">
        <v>4</v>
      </c>
      <c r="H48" s="5">
        <v>1</v>
      </c>
    </row>
    <row r="49" spans="1:8" x14ac:dyDescent="0.35">
      <c r="A49" s="6" t="s">
        <v>162</v>
      </c>
      <c r="B49" s="5" t="e">
        <f>#REF!</f>
        <v>#REF!</v>
      </c>
    </row>
    <row r="50" spans="1:8" x14ac:dyDescent="0.35">
      <c r="A50" s="6" t="s">
        <v>163</v>
      </c>
    </row>
    <row r="51" spans="1:8" x14ac:dyDescent="0.35">
      <c r="A51" s="6" t="s">
        <v>164</v>
      </c>
      <c r="B51" s="5" t="s">
        <v>195</v>
      </c>
      <c r="C51" s="5" t="s">
        <v>165</v>
      </c>
      <c r="D51" s="5" t="s">
        <v>59</v>
      </c>
      <c r="E51" s="5" t="b">
        <v>1</v>
      </c>
      <c r="F51" s="5">
        <v>0</v>
      </c>
      <c r="G51" s="5">
        <v>4</v>
      </c>
      <c r="H51" s="5">
        <v>1</v>
      </c>
    </row>
    <row r="52" spans="1:8" x14ac:dyDescent="0.35">
      <c r="A52" s="6" t="s">
        <v>166</v>
      </c>
      <c r="B52" s="5" t="e">
        <f>#REF!</f>
        <v>#REF!</v>
      </c>
    </row>
    <row r="53" spans="1:8" x14ac:dyDescent="0.35">
      <c r="A53" s="6" t="s">
        <v>167</v>
      </c>
    </row>
    <row r="54" spans="1:8" x14ac:dyDescent="0.35">
      <c r="A54" s="6" t="s">
        <v>168</v>
      </c>
      <c r="B54" s="5" t="s">
        <v>196</v>
      </c>
      <c r="C54" s="5" t="s">
        <v>169</v>
      </c>
      <c r="D54" s="5" t="s">
        <v>60</v>
      </c>
      <c r="E54" s="5" t="b">
        <v>1</v>
      </c>
      <c r="F54" s="5">
        <v>0</v>
      </c>
      <c r="G54" s="5">
        <v>4</v>
      </c>
      <c r="H54" s="5">
        <v>0</v>
      </c>
    </row>
    <row r="55" spans="1:8" x14ac:dyDescent="0.35">
      <c r="A55" s="6" t="s">
        <v>170</v>
      </c>
      <c r="B55" s="5" t="e">
        <f>#REF!</f>
        <v>#REF!</v>
      </c>
    </row>
    <row r="56" spans="1:8" x14ac:dyDescent="0.35">
      <c r="A56" s="6" t="s">
        <v>171</v>
      </c>
    </row>
    <row r="57" spans="1:8" x14ac:dyDescent="0.35">
      <c r="A57" s="6" t="s">
        <v>176</v>
      </c>
      <c r="B57" s="5" t="s">
        <v>197</v>
      </c>
      <c r="C57" s="5" t="s">
        <v>198</v>
      </c>
      <c r="D57" s="5" t="s">
        <v>177</v>
      </c>
      <c r="E57" s="5" t="b">
        <v>1</v>
      </c>
      <c r="F57" s="5">
        <v>0</v>
      </c>
      <c r="G57" s="5">
        <v>4</v>
      </c>
      <c r="H57" s="5">
        <v>1</v>
      </c>
    </row>
    <row r="58" spans="1:8" x14ac:dyDescent="0.35">
      <c r="A58" s="6" t="s">
        <v>178</v>
      </c>
      <c r="B58" s="5" t="e">
        <f>#REF!</f>
        <v>#REF!</v>
      </c>
    </row>
    <row r="59" spans="1:8" x14ac:dyDescent="0.35">
      <c r="A59" s="6" t="s">
        <v>179</v>
      </c>
    </row>
    <row r="60" spans="1:8" x14ac:dyDescent="0.35">
      <c r="A60" s="6" t="s">
        <v>199</v>
      </c>
      <c r="B60" s="5" t="s">
        <v>200</v>
      </c>
      <c r="C60" s="5" t="s">
        <v>201</v>
      </c>
      <c r="D60" s="5" t="s">
        <v>180</v>
      </c>
      <c r="E60" s="5" t="b">
        <v>1</v>
      </c>
      <c r="F60" s="5">
        <v>0</v>
      </c>
      <c r="G60" s="5">
        <v>4</v>
      </c>
      <c r="H60" s="5">
        <v>1</v>
      </c>
    </row>
    <row r="61" spans="1:8" x14ac:dyDescent="0.35">
      <c r="A61" s="6" t="s">
        <v>202</v>
      </c>
      <c r="B61" s="5" t="e">
        <f>#REF!</f>
        <v>#REF!</v>
      </c>
    </row>
    <row r="62" spans="1:8" x14ac:dyDescent="0.35">
      <c r="A62" s="6" t="s">
        <v>203</v>
      </c>
    </row>
    <row r="63" spans="1:8" x14ac:dyDescent="0.35">
      <c r="A63" s="6" t="s">
        <v>205</v>
      </c>
      <c r="B63" s="5" t="s">
        <v>206</v>
      </c>
      <c r="C63" s="5" t="s">
        <v>204</v>
      </c>
      <c r="D63" s="5" t="s">
        <v>207</v>
      </c>
      <c r="E63" s="5" t="b">
        <v>1</v>
      </c>
      <c r="F63" s="5">
        <v>0</v>
      </c>
      <c r="G63" s="5">
        <v>4</v>
      </c>
      <c r="H63" s="5">
        <v>0</v>
      </c>
    </row>
    <row r="64" spans="1:8" x14ac:dyDescent="0.35">
      <c r="A64" s="6" t="s">
        <v>208</v>
      </c>
      <c r="B64" s="5" t="e">
        <f>#REF!</f>
        <v>#REF!</v>
      </c>
    </row>
    <row r="65" spans="1:8" x14ac:dyDescent="0.35">
      <c r="A65" s="6" t="s">
        <v>209</v>
      </c>
    </row>
    <row r="66" spans="1:8" x14ac:dyDescent="0.35">
      <c r="A66" s="6" t="s">
        <v>211</v>
      </c>
      <c r="B66" s="5" t="s">
        <v>212</v>
      </c>
      <c r="C66" s="5" t="s">
        <v>210</v>
      </c>
      <c r="D66" s="5" t="s">
        <v>213</v>
      </c>
      <c r="E66" s="5" t="b">
        <v>1</v>
      </c>
      <c r="F66" s="5">
        <v>0</v>
      </c>
      <c r="G66" s="5">
        <v>4</v>
      </c>
      <c r="H66" s="5">
        <v>0</v>
      </c>
    </row>
    <row r="67" spans="1:8" x14ac:dyDescent="0.35">
      <c r="A67" s="6" t="s">
        <v>214</v>
      </c>
      <c r="B67" s="5" t="e">
        <f>#REF!</f>
        <v>#REF!</v>
      </c>
    </row>
    <row r="68" spans="1:8" x14ac:dyDescent="0.35">
      <c r="A68" s="6" t="s">
        <v>215</v>
      </c>
    </row>
    <row r="69" spans="1:8" x14ac:dyDescent="0.35">
      <c r="A69" s="6" t="s">
        <v>217</v>
      </c>
      <c r="B69" s="5" t="s">
        <v>218</v>
      </c>
      <c r="C69" s="5" t="s">
        <v>216</v>
      </c>
      <c r="D69" s="5" t="s">
        <v>219</v>
      </c>
      <c r="E69" s="5" t="b">
        <v>1</v>
      </c>
      <c r="F69" s="5">
        <v>0</v>
      </c>
      <c r="G69" s="5">
        <v>4</v>
      </c>
      <c r="H69" s="5">
        <v>0</v>
      </c>
    </row>
    <row r="70" spans="1:8" x14ac:dyDescent="0.35">
      <c r="A70" s="6" t="s">
        <v>220</v>
      </c>
      <c r="B70" s="5" t="e">
        <f>#REF!</f>
        <v>#REF!</v>
      </c>
    </row>
    <row r="71" spans="1:8" x14ac:dyDescent="0.35">
      <c r="A71" s="6" t="s">
        <v>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4DDE2-2BDD-420E-AC33-64513382F8FC}">
  <dimension ref="A1:T101"/>
  <sheetViews>
    <sheetView workbookViewId="0"/>
  </sheetViews>
  <sheetFormatPr defaultColWidth="30.6328125" defaultRowHeight="14.5" x14ac:dyDescent="0.35"/>
  <cols>
    <col min="1" max="1" width="30.6328125" style="6"/>
    <col min="2" max="16384" width="30.6328125" style="5"/>
  </cols>
  <sheetData>
    <row r="1" spans="1:20" x14ac:dyDescent="0.35">
      <c r="A1" s="6" t="s">
        <v>35</v>
      </c>
      <c r="B1" s="5" t="s">
        <v>222</v>
      </c>
      <c r="C1" s="5" t="s">
        <v>26</v>
      </c>
      <c r="D1" s="5">
        <v>8</v>
      </c>
      <c r="E1" s="5" t="s">
        <v>27</v>
      </c>
      <c r="F1" s="5">
        <v>2</v>
      </c>
      <c r="G1" s="5" t="s">
        <v>28</v>
      </c>
      <c r="H1" s="5">
        <v>2</v>
      </c>
      <c r="I1" s="5" t="s">
        <v>29</v>
      </c>
      <c r="J1" s="5">
        <v>1</v>
      </c>
      <c r="K1" s="5" t="s">
        <v>30</v>
      </c>
      <c r="L1" s="5">
        <v>0</v>
      </c>
      <c r="M1" s="5" t="s">
        <v>31</v>
      </c>
      <c r="N1" s="5">
        <v>0</v>
      </c>
      <c r="O1" s="5" t="s">
        <v>32</v>
      </c>
      <c r="P1" s="5">
        <v>1</v>
      </c>
      <c r="Q1" s="5" t="s">
        <v>33</v>
      </c>
      <c r="R1" s="5">
        <v>0</v>
      </c>
      <c r="S1" s="5" t="s">
        <v>34</v>
      </c>
      <c r="T1" s="5">
        <v>0</v>
      </c>
    </row>
    <row r="2" spans="1:20" x14ac:dyDescent="0.35">
      <c r="A2" s="6" t="s">
        <v>36</v>
      </c>
      <c r="B2" s="5" t="s">
        <v>223</v>
      </c>
    </row>
    <row r="3" spans="1:20" x14ac:dyDescent="0.35">
      <c r="A3" s="6" t="s">
        <v>37</v>
      </c>
      <c r="B3" s="5" t="b">
        <f>IF(B10&gt;256,"TripUpST110AndEarlier",TRUE)</f>
        <v>1</v>
      </c>
    </row>
    <row r="4" spans="1:20" x14ac:dyDescent="0.35">
      <c r="A4" s="6" t="s">
        <v>38</v>
      </c>
      <c r="B4" s="5" t="s">
        <v>39</v>
      </c>
    </row>
    <row r="5" spans="1:20" x14ac:dyDescent="0.35">
      <c r="A5" s="6" t="s">
        <v>40</v>
      </c>
      <c r="B5" s="5" t="b">
        <v>1</v>
      </c>
    </row>
    <row r="6" spans="1:20" x14ac:dyDescent="0.35">
      <c r="A6" s="6" t="s">
        <v>41</v>
      </c>
      <c r="B6" s="5" t="b">
        <v>0</v>
      </c>
    </row>
    <row r="7" spans="1:20" x14ac:dyDescent="0.35">
      <c r="A7" s="6" t="s">
        <v>42</v>
      </c>
      <c r="B7" s="5">
        <f>'Dummy variable'!$A$1:$AD$255</f>
        <v>9</v>
      </c>
    </row>
    <row r="8" spans="1:20" x14ac:dyDescent="0.35">
      <c r="A8" s="6" t="s">
        <v>43</v>
      </c>
      <c r="B8" s="5">
        <v>2</v>
      </c>
    </row>
    <row r="9" spans="1:20" x14ac:dyDescent="0.35">
      <c r="A9" s="6" t="s">
        <v>44</v>
      </c>
      <c r="B9" s="5">
        <f>1</f>
        <v>1</v>
      </c>
    </row>
    <row r="10" spans="1:20" x14ac:dyDescent="0.35">
      <c r="A10" s="6" t="s">
        <v>45</v>
      </c>
      <c r="B10" s="5">
        <v>30</v>
      </c>
    </row>
    <row r="12" spans="1:20" x14ac:dyDescent="0.35">
      <c r="A12" s="6" t="s">
        <v>46</v>
      </c>
      <c r="B12" s="5" t="s">
        <v>224</v>
      </c>
      <c r="C12" s="5" t="s">
        <v>47</v>
      </c>
      <c r="D12" s="5" t="s">
        <v>225</v>
      </c>
      <c r="E12" s="5" t="b">
        <v>1</v>
      </c>
      <c r="F12" s="5">
        <v>1</v>
      </c>
      <c r="G12" s="5">
        <v>2</v>
      </c>
      <c r="H12" s="5">
        <v>1</v>
      </c>
    </row>
    <row r="13" spans="1:20" x14ac:dyDescent="0.35">
      <c r="A13" s="6" t="s">
        <v>48</v>
      </c>
      <c r="B13" s="5" t="str">
        <f>'Dummy variable'!$A$1:$A$255</f>
        <v>Jan</v>
      </c>
    </row>
    <row r="14" spans="1:20" x14ac:dyDescent="0.35">
      <c r="A14" s="6" t="s">
        <v>49</v>
      </c>
    </row>
    <row r="15" spans="1:20" x14ac:dyDescent="0.35">
      <c r="A15" s="6" t="s">
        <v>50</v>
      </c>
      <c r="B15" s="5" t="s">
        <v>226</v>
      </c>
      <c r="C15" s="5" t="s">
        <v>51</v>
      </c>
      <c r="D15" s="5" t="s">
        <v>227</v>
      </c>
      <c r="E15" s="5" t="b">
        <v>1</v>
      </c>
      <c r="F15" s="5">
        <v>1</v>
      </c>
      <c r="G15" s="5">
        <v>3</v>
      </c>
      <c r="H15" s="5">
        <v>0</v>
      </c>
    </row>
    <row r="16" spans="1:20" x14ac:dyDescent="0.35">
      <c r="A16" s="6" t="s">
        <v>52</v>
      </c>
      <c r="B16" s="5">
        <f>'Dummy variable'!$B$1:$B$255</f>
        <v>22</v>
      </c>
    </row>
    <row r="17" spans="1:8" x14ac:dyDescent="0.35">
      <c r="A17" s="6" t="s">
        <v>53</v>
      </c>
    </row>
    <row r="18" spans="1:8" x14ac:dyDescent="0.35">
      <c r="A18" s="6" t="s">
        <v>54</v>
      </c>
      <c r="B18" s="5" t="s">
        <v>228</v>
      </c>
      <c r="C18" s="5" t="s">
        <v>55</v>
      </c>
      <c r="D18" s="5" t="s">
        <v>229</v>
      </c>
      <c r="E18" s="5" t="b">
        <v>1</v>
      </c>
      <c r="F18" s="5">
        <v>1</v>
      </c>
      <c r="G18" s="5">
        <v>2</v>
      </c>
      <c r="H18" s="5">
        <v>1</v>
      </c>
    </row>
    <row r="19" spans="1:8" x14ac:dyDescent="0.35">
      <c r="A19" s="6" t="s">
        <v>56</v>
      </c>
      <c r="B19" s="5" t="str">
        <f>'Dummy variable'!$C$1:$C$255</f>
        <v>Thu</v>
      </c>
    </row>
    <row r="20" spans="1:8" x14ac:dyDescent="0.35">
      <c r="A20" s="6" t="s">
        <v>57</v>
      </c>
    </row>
    <row r="21" spans="1:8" x14ac:dyDescent="0.35">
      <c r="A21" s="6" t="s">
        <v>115</v>
      </c>
      <c r="B21" s="5" t="s">
        <v>230</v>
      </c>
      <c r="C21" s="5" t="s">
        <v>116</v>
      </c>
      <c r="D21" s="5" t="s">
        <v>231</v>
      </c>
      <c r="E21" s="5" t="b">
        <v>1</v>
      </c>
      <c r="F21" s="5">
        <v>1</v>
      </c>
      <c r="G21" s="5">
        <v>2</v>
      </c>
      <c r="H21" s="5">
        <v>1</v>
      </c>
    </row>
    <row r="22" spans="1:8" x14ac:dyDescent="0.35">
      <c r="A22" s="6" t="s">
        <v>118</v>
      </c>
      <c r="B22" s="5" t="str">
        <f>'Dummy variable'!$D$1:$D$255</f>
        <v>No</v>
      </c>
    </row>
    <row r="23" spans="1:8" x14ac:dyDescent="0.35">
      <c r="A23" s="6" t="s">
        <v>119</v>
      </c>
    </row>
    <row r="24" spans="1:8" x14ac:dyDescent="0.35">
      <c r="A24" s="6" t="s">
        <v>120</v>
      </c>
      <c r="B24" s="5" t="s">
        <v>232</v>
      </c>
      <c r="C24" s="5" t="s">
        <v>121</v>
      </c>
      <c r="D24" s="5" t="s">
        <v>233</v>
      </c>
      <c r="E24" s="5" t="b">
        <v>1</v>
      </c>
      <c r="F24" s="5">
        <v>1</v>
      </c>
      <c r="G24" s="5">
        <v>2</v>
      </c>
      <c r="H24" s="5">
        <v>1</v>
      </c>
    </row>
    <row r="25" spans="1:8" x14ac:dyDescent="0.35">
      <c r="A25" s="6" t="s">
        <v>123</v>
      </c>
      <c r="B25" s="5" t="str">
        <f>'Dummy variable'!$E$1:$E$255</f>
        <v>No</v>
      </c>
    </row>
    <row r="26" spans="1:8" x14ac:dyDescent="0.35">
      <c r="A26" s="6" t="s">
        <v>124</v>
      </c>
    </row>
    <row r="27" spans="1:8" x14ac:dyDescent="0.35">
      <c r="A27" s="6" t="s">
        <v>125</v>
      </c>
      <c r="B27" s="5" t="s">
        <v>234</v>
      </c>
      <c r="C27" s="5" t="s">
        <v>126</v>
      </c>
      <c r="D27" s="5" t="s">
        <v>235</v>
      </c>
      <c r="E27" s="5" t="b">
        <v>1</v>
      </c>
      <c r="F27" s="5">
        <v>1</v>
      </c>
      <c r="G27" s="5">
        <v>2</v>
      </c>
      <c r="H27" s="5">
        <v>1</v>
      </c>
    </row>
    <row r="28" spans="1:8" x14ac:dyDescent="0.35">
      <c r="A28" s="6" t="s">
        <v>128</v>
      </c>
      <c r="B28" s="5" t="str">
        <f>'Dummy variable'!$F$1:$F$255</f>
        <v>No</v>
      </c>
    </row>
    <row r="29" spans="1:8" x14ac:dyDescent="0.35">
      <c r="A29" s="6" t="s">
        <v>129</v>
      </c>
    </row>
    <row r="30" spans="1:8" x14ac:dyDescent="0.35">
      <c r="A30" s="6" t="s">
        <v>130</v>
      </c>
      <c r="B30" s="5" t="s">
        <v>236</v>
      </c>
      <c r="C30" s="5" t="s">
        <v>131</v>
      </c>
      <c r="D30" s="5" t="s">
        <v>237</v>
      </c>
      <c r="E30" s="5" t="b">
        <v>1</v>
      </c>
      <c r="F30" s="5">
        <v>1</v>
      </c>
      <c r="G30" s="5">
        <v>2</v>
      </c>
      <c r="H30" s="5">
        <v>0</v>
      </c>
    </row>
    <row r="31" spans="1:8" x14ac:dyDescent="0.35">
      <c r="A31" s="6" t="s">
        <v>133</v>
      </c>
      <c r="B31" s="5">
        <f>'Dummy variable'!$G$1:$G$255</f>
        <v>881</v>
      </c>
    </row>
    <row r="32" spans="1:8" x14ac:dyDescent="0.35">
      <c r="A32" s="6" t="s">
        <v>134</v>
      </c>
    </row>
    <row r="33" spans="1:8" x14ac:dyDescent="0.35">
      <c r="A33" s="6" t="s">
        <v>135</v>
      </c>
      <c r="B33" s="5" t="s">
        <v>250</v>
      </c>
      <c r="C33" s="5" t="s">
        <v>238</v>
      </c>
      <c r="D33" s="5" t="s">
        <v>251</v>
      </c>
      <c r="E33" s="5" t="b">
        <v>1</v>
      </c>
      <c r="F33" s="5">
        <v>1</v>
      </c>
      <c r="G33" s="5">
        <v>4</v>
      </c>
      <c r="H33" s="5">
        <v>0</v>
      </c>
    </row>
    <row r="34" spans="1:8" x14ac:dyDescent="0.35">
      <c r="A34" s="6" t="s">
        <v>138</v>
      </c>
      <c r="B34" s="5">
        <f>'Dummy variable'!$H$1:$H$255</f>
        <v>0</v>
      </c>
    </row>
    <row r="35" spans="1:8" x14ac:dyDescent="0.35">
      <c r="A35" s="6" t="s">
        <v>139</v>
      </c>
    </row>
    <row r="36" spans="1:8" x14ac:dyDescent="0.35">
      <c r="A36" s="6" t="s">
        <v>140</v>
      </c>
      <c r="B36" s="5" t="s">
        <v>252</v>
      </c>
      <c r="C36" s="5" t="s">
        <v>239</v>
      </c>
      <c r="D36" s="5" t="s">
        <v>253</v>
      </c>
      <c r="E36" s="5" t="b">
        <v>1</v>
      </c>
      <c r="F36" s="5">
        <v>1</v>
      </c>
      <c r="G36" s="5">
        <v>4</v>
      </c>
      <c r="H36" s="5">
        <v>0</v>
      </c>
    </row>
    <row r="37" spans="1:8" x14ac:dyDescent="0.35">
      <c r="A37" s="6" t="s">
        <v>143</v>
      </c>
      <c r="B37" s="5">
        <f>'Dummy variable'!$I$1:$I$255</f>
        <v>0</v>
      </c>
    </row>
    <row r="38" spans="1:8" x14ac:dyDescent="0.35">
      <c r="A38" s="6" t="s">
        <v>144</v>
      </c>
    </row>
    <row r="39" spans="1:8" x14ac:dyDescent="0.35">
      <c r="A39" s="6" t="s">
        <v>145</v>
      </c>
      <c r="B39" s="5" t="s">
        <v>254</v>
      </c>
      <c r="C39" s="5" t="s">
        <v>240</v>
      </c>
      <c r="D39" s="5" t="s">
        <v>255</v>
      </c>
      <c r="E39" s="5" t="b">
        <v>1</v>
      </c>
      <c r="F39" s="5">
        <v>1</v>
      </c>
      <c r="G39" s="5">
        <v>4</v>
      </c>
      <c r="H39" s="5">
        <v>0</v>
      </c>
    </row>
    <row r="40" spans="1:8" x14ac:dyDescent="0.35">
      <c r="A40" s="6" t="s">
        <v>148</v>
      </c>
      <c r="B40" s="5">
        <f>'Dummy variable'!$J$1:$J$255</f>
        <v>0</v>
      </c>
    </row>
    <row r="41" spans="1:8" x14ac:dyDescent="0.35">
      <c r="A41" s="6" t="s">
        <v>149</v>
      </c>
    </row>
    <row r="42" spans="1:8" x14ac:dyDescent="0.35">
      <c r="A42" s="6" t="s">
        <v>150</v>
      </c>
      <c r="B42" s="5" t="s">
        <v>256</v>
      </c>
      <c r="C42" s="5" t="s">
        <v>241</v>
      </c>
      <c r="D42" s="5" t="s">
        <v>257</v>
      </c>
      <c r="E42" s="5" t="b">
        <v>1</v>
      </c>
      <c r="F42" s="5">
        <v>1</v>
      </c>
      <c r="G42" s="5">
        <v>4</v>
      </c>
      <c r="H42" s="5">
        <v>0</v>
      </c>
    </row>
    <row r="43" spans="1:8" x14ac:dyDescent="0.35">
      <c r="A43" s="6" t="s">
        <v>153</v>
      </c>
      <c r="B43" s="5">
        <f>'Dummy variable'!$K$1:$K$255</f>
        <v>1</v>
      </c>
    </row>
    <row r="44" spans="1:8" x14ac:dyDescent="0.35">
      <c r="A44" s="6" t="s">
        <v>154</v>
      </c>
    </row>
    <row r="45" spans="1:8" x14ac:dyDescent="0.35">
      <c r="A45" s="6" t="s">
        <v>155</v>
      </c>
      <c r="B45" s="5" t="s">
        <v>258</v>
      </c>
      <c r="C45" s="5" t="s">
        <v>242</v>
      </c>
      <c r="D45" s="5" t="s">
        <v>259</v>
      </c>
      <c r="E45" s="5" t="b">
        <v>1</v>
      </c>
      <c r="F45" s="5">
        <v>1</v>
      </c>
      <c r="G45" s="5">
        <v>4</v>
      </c>
      <c r="H45" s="5">
        <v>0</v>
      </c>
    </row>
    <row r="46" spans="1:8" x14ac:dyDescent="0.35">
      <c r="A46" s="6" t="s">
        <v>158</v>
      </c>
      <c r="B46" s="5">
        <f>'Dummy variable'!$L$1:$L$255</f>
        <v>0</v>
      </c>
    </row>
    <row r="47" spans="1:8" x14ac:dyDescent="0.35">
      <c r="A47" s="6" t="s">
        <v>159</v>
      </c>
    </row>
    <row r="48" spans="1:8" x14ac:dyDescent="0.35">
      <c r="A48" s="6" t="s">
        <v>160</v>
      </c>
      <c r="B48" s="5" t="s">
        <v>260</v>
      </c>
      <c r="C48" s="5" t="s">
        <v>243</v>
      </c>
      <c r="D48" s="5" t="s">
        <v>261</v>
      </c>
      <c r="E48" s="5" t="b">
        <v>1</v>
      </c>
      <c r="F48" s="5">
        <v>1</v>
      </c>
      <c r="G48" s="5">
        <v>4</v>
      </c>
      <c r="H48" s="5">
        <v>0</v>
      </c>
    </row>
    <row r="49" spans="1:8" x14ac:dyDescent="0.35">
      <c r="A49" s="6" t="s">
        <v>162</v>
      </c>
      <c r="B49" s="5">
        <f>'Dummy variable'!$M$1:$M$255</f>
        <v>0</v>
      </c>
    </row>
    <row r="50" spans="1:8" x14ac:dyDescent="0.35">
      <c r="A50" s="6" t="s">
        <v>163</v>
      </c>
    </row>
    <row r="51" spans="1:8" x14ac:dyDescent="0.35">
      <c r="A51" s="6" t="s">
        <v>164</v>
      </c>
      <c r="B51" s="5" t="s">
        <v>262</v>
      </c>
      <c r="C51" s="5" t="s">
        <v>244</v>
      </c>
      <c r="D51" s="5" t="s">
        <v>263</v>
      </c>
      <c r="E51" s="5" t="b">
        <v>1</v>
      </c>
      <c r="F51" s="5">
        <v>1</v>
      </c>
      <c r="G51" s="5">
        <v>4</v>
      </c>
      <c r="H51" s="5">
        <v>0</v>
      </c>
    </row>
    <row r="52" spans="1:8" x14ac:dyDescent="0.35">
      <c r="A52" s="6" t="s">
        <v>166</v>
      </c>
      <c r="B52" s="5">
        <f>'Dummy variable'!$N$1:$N$255</f>
        <v>0</v>
      </c>
    </row>
    <row r="53" spans="1:8" x14ac:dyDescent="0.35">
      <c r="A53" s="6" t="s">
        <v>167</v>
      </c>
    </row>
    <row r="54" spans="1:8" x14ac:dyDescent="0.35">
      <c r="A54" s="6" t="s">
        <v>168</v>
      </c>
      <c r="B54" s="5" t="s">
        <v>264</v>
      </c>
      <c r="C54" s="5" t="s">
        <v>245</v>
      </c>
      <c r="D54" s="5" t="s">
        <v>265</v>
      </c>
      <c r="E54" s="5" t="b">
        <v>1</v>
      </c>
      <c r="F54" s="5">
        <v>1</v>
      </c>
      <c r="G54" s="5">
        <v>4</v>
      </c>
      <c r="H54" s="5">
        <v>0</v>
      </c>
    </row>
    <row r="55" spans="1:8" x14ac:dyDescent="0.35">
      <c r="A55" s="6" t="s">
        <v>170</v>
      </c>
      <c r="B55" s="5">
        <f>'Dummy variable'!$O$1:$O$255</f>
        <v>1</v>
      </c>
    </row>
    <row r="56" spans="1:8" x14ac:dyDescent="0.35">
      <c r="A56" s="6" t="s">
        <v>171</v>
      </c>
    </row>
    <row r="57" spans="1:8" x14ac:dyDescent="0.35">
      <c r="A57" s="6" t="s">
        <v>176</v>
      </c>
      <c r="B57" s="5" t="s">
        <v>266</v>
      </c>
      <c r="C57" s="5" t="s">
        <v>246</v>
      </c>
      <c r="D57" s="5" t="s">
        <v>267</v>
      </c>
      <c r="E57" s="5" t="b">
        <v>1</v>
      </c>
      <c r="F57" s="5">
        <v>1</v>
      </c>
      <c r="G57" s="5">
        <v>4</v>
      </c>
      <c r="H57" s="5">
        <v>0</v>
      </c>
    </row>
    <row r="58" spans="1:8" x14ac:dyDescent="0.35">
      <c r="A58" s="6" t="s">
        <v>178</v>
      </c>
      <c r="B58" s="5">
        <f>'Dummy variable'!$P$1:$P$255</f>
        <v>0</v>
      </c>
    </row>
    <row r="59" spans="1:8" x14ac:dyDescent="0.35">
      <c r="A59" s="6" t="s">
        <v>179</v>
      </c>
    </row>
    <row r="60" spans="1:8" x14ac:dyDescent="0.35">
      <c r="A60" s="6" t="s">
        <v>199</v>
      </c>
      <c r="B60" s="5" t="s">
        <v>268</v>
      </c>
      <c r="C60" s="5" t="s">
        <v>247</v>
      </c>
      <c r="D60" s="5" t="s">
        <v>269</v>
      </c>
      <c r="E60" s="5" t="b">
        <v>1</v>
      </c>
      <c r="F60" s="5">
        <v>1</v>
      </c>
      <c r="G60" s="5">
        <v>4</v>
      </c>
      <c r="H60" s="5">
        <v>0</v>
      </c>
    </row>
    <row r="61" spans="1:8" x14ac:dyDescent="0.35">
      <c r="A61" s="6" t="s">
        <v>202</v>
      </c>
      <c r="B61" s="5">
        <f>'Dummy variable'!$Q$1:$Q$255</f>
        <v>0</v>
      </c>
    </row>
    <row r="62" spans="1:8" x14ac:dyDescent="0.35">
      <c r="A62" s="6" t="s">
        <v>203</v>
      </c>
    </row>
    <row r="63" spans="1:8" x14ac:dyDescent="0.35">
      <c r="A63" s="6" t="s">
        <v>205</v>
      </c>
      <c r="B63" s="5" t="s">
        <v>270</v>
      </c>
      <c r="C63" s="5" t="s">
        <v>248</v>
      </c>
      <c r="D63" s="5" t="s">
        <v>271</v>
      </c>
      <c r="E63" s="5" t="b">
        <v>1</v>
      </c>
      <c r="F63" s="5">
        <v>1</v>
      </c>
      <c r="G63" s="5">
        <v>4</v>
      </c>
      <c r="H63" s="5">
        <v>0</v>
      </c>
    </row>
    <row r="64" spans="1:8" x14ac:dyDescent="0.35">
      <c r="A64" s="6" t="s">
        <v>208</v>
      </c>
      <c r="B64" s="5">
        <f>'Dummy variable'!$R$1:$R$255</f>
        <v>0</v>
      </c>
    </row>
    <row r="65" spans="1:8" x14ac:dyDescent="0.35">
      <c r="A65" s="6" t="s">
        <v>209</v>
      </c>
    </row>
    <row r="66" spans="1:8" x14ac:dyDescent="0.35">
      <c r="A66" s="6" t="s">
        <v>211</v>
      </c>
      <c r="B66" s="5" t="s">
        <v>272</v>
      </c>
      <c r="C66" s="5" t="s">
        <v>249</v>
      </c>
      <c r="D66" s="5" t="s">
        <v>273</v>
      </c>
      <c r="E66" s="5" t="b">
        <v>1</v>
      </c>
      <c r="F66" s="5">
        <v>1</v>
      </c>
      <c r="G66" s="5">
        <v>4</v>
      </c>
      <c r="H66" s="5">
        <v>0</v>
      </c>
    </row>
    <row r="67" spans="1:8" x14ac:dyDescent="0.35">
      <c r="A67" s="6" t="s">
        <v>214</v>
      </c>
      <c r="B67" s="5">
        <f>'Dummy variable'!$S$1:$S$255</f>
        <v>0</v>
      </c>
    </row>
    <row r="68" spans="1:8" x14ac:dyDescent="0.35">
      <c r="A68" s="6" t="s">
        <v>215</v>
      </c>
    </row>
    <row r="69" spans="1:8" x14ac:dyDescent="0.35">
      <c r="A69" s="6" t="s">
        <v>217</v>
      </c>
      <c r="B69" s="5" t="s">
        <v>279</v>
      </c>
      <c r="C69" s="5" t="s">
        <v>274</v>
      </c>
      <c r="D69" s="5" t="s">
        <v>280</v>
      </c>
      <c r="E69" s="5" t="b">
        <v>1</v>
      </c>
      <c r="F69" s="5">
        <v>1</v>
      </c>
      <c r="G69" s="5">
        <v>4</v>
      </c>
      <c r="H69" s="5">
        <v>0</v>
      </c>
    </row>
    <row r="70" spans="1:8" x14ac:dyDescent="0.35">
      <c r="A70" s="6" t="s">
        <v>220</v>
      </c>
      <c r="B70" s="5">
        <f>'Dummy variable'!$T$1:$T$255</f>
        <v>1</v>
      </c>
    </row>
    <row r="71" spans="1:8" x14ac:dyDescent="0.35">
      <c r="A71" s="6" t="s">
        <v>221</v>
      </c>
    </row>
    <row r="72" spans="1:8" x14ac:dyDescent="0.35">
      <c r="A72" s="6" t="s">
        <v>281</v>
      </c>
      <c r="B72" s="5" t="s">
        <v>282</v>
      </c>
      <c r="C72" s="5" t="s">
        <v>275</v>
      </c>
      <c r="D72" s="5" t="s">
        <v>283</v>
      </c>
      <c r="E72" s="5" t="b">
        <v>1</v>
      </c>
      <c r="F72" s="5">
        <v>1</v>
      </c>
      <c r="G72" s="5">
        <v>4</v>
      </c>
      <c r="H72" s="5">
        <v>0</v>
      </c>
    </row>
    <row r="73" spans="1:8" x14ac:dyDescent="0.35">
      <c r="A73" s="6" t="s">
        <v>284</v>
      </c>
      <c r="B73" s="5">
        <f>'Dummy variable'!$U$1:$U$255</f>
        <v>0</v>
      </c>
    </row>
    <row r="74" spans="1:8" x14ac:dyDescent="0.35">
      <c r="A74" s="6" t="s">
        <v>285</v>
      </c>
    </row>
    <row r="75" spans="1:8" x14ac:dyDescent="0.35">
      <c r="A75" s="6" t="s">
        <v>286</v>
      </c>
      <c r="B75" s="5" t="s">
        <v>287</v>
      </c>
      <c r="C75" s="5" t="s">
        <v>276</v>
      </c>
      <c r="D75" s="5" t="s">
        <v>288</v>
      </c>
      <c r="E75" s="5" t="b">
        <v>1</v>
      </c>
      <c r="F75" s="5">
        <v>1</v>
      </c>
      <c r="G75" s="5">
        <v>4</v>
      </c>
      <c r="H75" s="5">
        <v>0</v>
      </c>
    </row>
    <row r="76" spans="1:8" x14ac:dyDescent="0.35">
      <c r="A76" s="6" t="s">
        <v>289</v>
      </c>
      <c r="B76" s="5">
        <f>'Dummy variable'!$V$1:$V$255</f>
        <v>0</v>
      </c>
    </row>
    <row r="77" spans="1:8" x14ac:dyDescent="0.35">
      <c r="A77" s="6" t="s">
        <v>290</v>
      </c>
    </row>
    <row r="78" spans="1:8" x14ac:dyDescent="0.35">
      <c r="A78" s="6" t="s">
        <v>291</v>
      </c>
      <c r="B78" s="5" t="s">
        <v>292</v>
      </c>
      <c r="C78" s="5" t="s">
        <v>277</v>
      </c>
      <c r="D78" s="5" t="s">
        <v>293</v>
      </c>
      <c r="E78" s="5" t="b">
        <v>1</v>
      </c>
      <c r="F78" s="5">
        <v>1</v>
      </c>
      <c r="G78" s="5">
        <v>4</v>
      </c>
      <c r="H78" s="5">
        <v>0</v>
      </c>
    </row>
    <row r="79" spans="1:8" x14ac:dyDescent="0.35">
      <c r="A79" s="6" t="s">
        <v>294</v>
      </c>
      <c r="B79" s="5">
        <f>'Dummy variable'!$W$1:$W$255</f>
        <v>0</v>
      </c>
    </row>
    <row r="80" spans="1:8" x14ac:dyDescent="0.35">
      <c r="A80" s="6" t="s">
        <v>295</v>
      </c>
    </row>
    <row r="81" spans="1:8" x14ac:dyDescent="0.35">
      <c r="A81" s="6" t="s">
        <v>296</v>
      </c>
      <c r="B81" s="5" t="s">
        <v>297</v>
      </c>
      <c r="C81" s="5" t="s">
        <v>278</v>
      </c>
      <c r="D81" s="5" t="s">
        <v>298</v>
      </c>
      <c r="E81" s="5" t="b">
        <v>1</v>
      </c>
      <c r="F81" s="5">
        <v>1</v>
      </c>
      <c r="G81" s="5">
        <v>4</v>
      </c>
      <c r="H81" s="5">
        <v>0</v>
      </c>
    </row>
    <row r="82" spans="1:8" x14ac:dyDescent="0.35">
      <c r="A82" s="6" t="s">
        <v>299</v>
      </c>
      <c r="B82" s="5">
        <f>'Dummy variable'!$X$1:$X$255</f>
        <v>0</v>
      </c>
    </row>
    <row r="83" spans="1:8" x14ac:dyDescent="0.35">
      <c r="A83" s="6" t="s">
        <v>300</v>
      </c>
    </row>
    <row r="84" spans="1:8" x14ac:dyDescent="0.35">
      <c r="A84" s="6" t="s">
        <v>303</v>
      </c>
      <c r="B84" s="5" t="s">
        <v>304</v>
      </c>
      <c r="C84" s="5" t="s">
        <v>301</v>
      </c>
      <c r="D84" s="5" t="s">
        <v>305</v>
      </c>
      <c r="E84" s="5" t="b">
        <v>1</v>
      </c>
      <c r="F84" s="5">
        <v>1</v>
      </c>
      <c r="G84" s="5">
        <v>4</v>
      </c>
      <c r="H84" s="5">
        <v>0</v>
      </c>
    </row>
    <row r="85" spans="1:8" x14ac:dyDescent="0.35">
      <c r="A85" s="6" t="s">
        <v>306</v>
      </c>
      <c r="B85" s="5">
        <f>'Dummy variable'!$Y$1:$Y$255</f>
        <v>0</v>
      </c>
    </row>
    <row r="86" spans="1:8" x14ac:dyDescent="0.35">
      <c r="A86" s="6" t="s">
        <v>307</v>
      </c>
    </row>
    <row r="87" spans="1:8" x14ac:dyDescent="0.35">
      <c r="A87" s="6" t="s">
        <v>308</v>
      </c>
      <c r="B87" s="5" t="s">
        <v>309</v>
      </c>
      <c r="C87" s="5" t="s">
        <v>302</v>
      </c>
      <c r="D87" s="5" t="s">
        <v>310</v>
      </c>
      <c r="E87" s="5" t="b">
        <v>1</v>
      </c>
      <c r="F87" s="5">
        <v>1</v>
      </c>
      <c r="G87" s="5">
        <v>4</v>
      </c>
      <c r="H87" s="5">
        <v>0</v>
      </c>
    </row>
    <row r="88" spans="1:8" x14ac:dyDescent="0.35">
      <c r="A88" s="6" t="s">
        <v>311</v>
      </c>
      <c r="B88" s="5">
        <f>'Dummy variable'!$Z$1:$Z$255</f>
        <v>0</v>
      </c>
    </row>
    <row r="89" spans="1:8" x14ac:dyDescent="0.35">
      <c r="A89" s="6" t="s">
        <v>312</v>
      </c>
    </row>
    <row r="90" spans="1:8" x14ac:dyDescent="0.35">
      <c r="A90" s="6" t="s">
        <v>315</v>
      </c>
      <c r="B90" s="5" t="s">
        <v>316</v>
      </c>
      <c r="C90" s="5" t="s">
        <v>313</v>
      </c>
      <c r="D90" s="5" t="s">
        <v>317</v>
      </c>
      <c r="E90" s="5" t="b">
        <v>1</v>
      </c>
      <c r="F90" s="5">
        <v>1</v>
      </c>
      <c r="G90" s="5">
        <v>4</v>
      </c>
      <c r="H90" s="5">
        <v>0</v>
      </c>
    </row>
    <row r="91" spans="1:8" x14ac:dyDescent="0.35">
      <c r="A91" s="6" t="s">
        <v>318</v>
      </c>
      <c r="B91" s="5">
        <f>'Dummy variable'!$AA$1:$AA$255</f>
        <v>1</v>
      </c>
    </row>
    <row r="92" spans="1:8" x14ac:dyDescent="0.35">
      <c r="A92" s="6" t="s">
        <v>319</v>
      </c>
    </row>
    <row r="93" spans="1:8" x14ac:dyDescent="0.35">
      <c r="A93" s="6" t="s">
        <v>320</v>
      </c>
      <c r="B93" s="5" t="s">
        <v>321</v>
      </c>
      <c r="C93" s="5" t="s">
        <v>314</v>
      </c>
      <c r="D93" s="5" t="s">
        <v>322</v>
      </c>
      <c r="E93" s="5" t="b">
        <v>1</v>
      </c>
      <c r="F93" s="5">
        <v>1</v>
      </c>
      <c r="G93" s="5">
        <v>4</v>
      </c>
      <c r="H93" s="5">
        <v>0</v>
      </c>
    </row>
    <row r="94" spans="1:8" x14ac:dyDescent="0.35">
      <c r="A94" s="6" t="s">
        <v>323</v>
      </c>
      <c r="B94" s="5">
        <f>'Dummy variable'!$AB$1:$AB$255</f>
        <v>0</v>
      </c>
    </row>
    <row r="95" spans="1:8" x14ac:dyDescent="0.35">
      <c r="A95" s="6" t="s">
        <v>324</v>
      </c>
    </row>
    <row r="96" spans="1:8" x14ac:dyDescent="0.35">
      <c r="A96" s="6" t="s">
        <v>327</v>
      </c>
      <c r="B96" s="5" t="s">
        <v>328</v>
      </c>
      <c r="C96" s="5" t="s">
        <v>325</v>
      </c>
      <c r="D96" s="5" t="s">
        <v>329</v>
      </c>
      <c r="E96" s="5" t="b">
        <v>1</v>
      </c>
      <c r="F96" s="5">
        <v>0</v>
      </c>
      <c r="G96" s="5">
        <v>4</v>
      </c>
      <c r="H96" s="5">
        <v>0</v>
      </c>
    </row>
    <row r="97" spans="1:8" x14ac:dyDescent="0.35">
      <c r="A97" s="6" t="s">
        <v>330</v>
      </c>
      <c r="B97" s="5">
        <f>'Dummy variable'!$AC$1:$AC$255</f>
        <v>1</v>
      </c>
    </row>
    <row r="98" spans="1:8" x14ac:dyDescent="0.35">
      <c r="A98" s="6" t="s">
        <v>331</v>
      </c>
    </row>
    <row r="99" spans="1:8" x14ac:dyDescent="0.35">
      <c r="A99" s="6" t="s">
        <v>332</v>
      </c>
      <c r="B99" s="5" t="s">
        <v>333</v>
      </c>
      <c r="C99" s="5" t="s">
        <v>326</v>
      </c>
      <c r="D99" s="5" t="s">
        <v>334</v>
      </c>
      <c r="E99" s="5" t="b">
        <v>1</v>
      </c>
      <c r="F99" s="5">
        <v>0</v>
      </c>
      <c r="G99" s="5">
        <v>4</v>
      </c>
      <c r="H99" s="5">
        <v>0</v>
      </c>
    </row>
    <row r="100" spans="1:8" x14ac:dyDescent="0.35">
      <c r="A100" s="6" t="s">
        <v>335</v>
      </c>
      <c r="B100" s="5">
        <f>'Dummy variable'!$AD$1:$AD$255</f>
        <v>0</v>
      </c>
    </row>
    <row r="101" spans="1:8" x14ac:dyDescent="0.35">
      <c r="A101" s="6" t="s">
        <v>336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6FDF6-905D-40C3-AC90-AFEDC6CF00E7}">
  <dimension ref="A1:U376"/>
  <sheetViews>
    <sheetView showGridLines="0" topLeftCell="A204" zoomScale="114" zoomScaleNormal="47" workbookViewId="0">
      <selection activeCell="M25" sqref="M25"/>
    </sheetView>
  </sheetViews>
  <sheetFormatPr defaultColWidth="12.6328125" defaultRowHeight="14.5" x14ac:dyDescent="0.35"/>
  <cols>
    <col min="1" max="1" width="40.6328125" customWidth="1"/>
    <col min="2" max="20" width="12.6328125" customWidth="1"/>
    <col min="21" max="21" width="16.6328125" bestFit="1" customWidth="1"/>
  </cols>
  <sheetData>
    <row r="1" spans="1:7" s="7" customFormat="1" ht="18.5" x14ac:dyDescent="0.45">
      <c r="A1" s="13" t="s">
        <v>61</v>
      </c>
      <c r="B1" s="11"/>
    </row>
    <row r="2" spans="1:7" s="7" customFormat="1" ht="10.5" x14ac:dyDescent="0.25">
      <c r="A2" s="9" t="s">
        <v>62</v>
      </c>
      <c r="B2" s="11" t="s">
        <v>63</v>
      </c>
    </row>
    <row r="3" spans="1:7" s="7" customFormat="1" ht="10.5" x14ac:dyDescent="0.25">
      <c r="A3" s="9" t="s">
        <v>64</v>
      </c>
      <c r="B3" s="11" t="s">
        <v>339</v>
      </c>
    </row>
    <row r="4" spans="1:7" s="7" customFormat="1" ht="10.5" x14ac:dyDescent="0.25">
      <c r="A4" s="9" t="s">
        <v>65</v>
      </c>
      <c r="B4" s="14">
        <v>45421</v>
      </c>
    </row>
    <row r="5" spans="1:7" s="7" customFormat="1" ht="10.5" x14ac:dyDescent="0.25">
      <c r="A5" s="9" t="s">
        <v>66</v>
      </c>
      <c r="B5" s="11" t="s">
        <v>67</v>
      </c>
    </row>
    <row r="6" spans="1:7" s="8" customFormat="1" ht="10.5" x14ac:dyDescent="0.25">
      <c r="A6" s="10" t="s">
        <v>68</v>
      </c>
      <c r="B6" s="12" t="s">
        <v>6</v>
      </c>
    </row>
    <row r="8" spans="1:7" ht="15" customHeight="1" x14ac:dyDescent="0.35">
      <c r="A8" t="s">
        <v>337</v>
      </c>
    </row>
    <row r="9" spans="1:7" ht="15" customHeight="1" x14ac:dyDescent="0.35"/>
    <row r="10" spans="1:7" ht="15" customHeight="1" x14ac:dyDescent="0.35">
      <c r="A10" s="18" t="s">
        <v>70</v>
      </c>
      <c r="B10" s="50" t="s">
        <v>71</v>
      </c>
      <c r="C10" s="52" t="s">
        <v>72</v>
      </c>
      <c r="D10" s="50" t="s">
        <v>73</v>
      </c>
      <c r="E10" s="50" t="s">
        <v>74</v>
      </c>
      <c r="F10" s="50" t="s">
        <v>75</v>
      </c>
      <c r="G10" s="52" t="s">
        <v>76</v>
      </c>
    </row>
    <row r="11" spans="1:7" ht="15" customHeight="1" thickBot="1" x14ac:dyDescent="0.4">
      <c r="A11" s="47" t="s">
        <v>69</v>
      </c>
      <c r="B11" s="51"/>
      <c r="C11" s="51"/>
      <c r="D11" s="51"/>
      <c r="E11" s="51"/>
      <c r="F11" s="51"/>
      <c r="G11" s="51"/>
    </row>
    <row r="12" spans="1:7" ht="15" customHeight="1" thickTop="1" x14ac:dyDescent="0.35">
      <c r="A12" s="17"/>
      <c r="B12" s="19">
        <v>0.90593177146915038</v>
      </c>
      <c r="C12" s="19">
        <v>0.820712374557233</v>
      </c>
      <c r="D12" s="19">
        <v>0.80615483232042717</v>
      </c>
      <c r="E12" s="15">
        <v>150.19165060609245</v>
      </c>
      <c r="F12" s="15">
        <v>0</v>
      </c>
      <c r="G12" s="15">
        <v>2</v>
      </c>
    </row>
    <row r="13" spans="1:7" ht="15" customHeight="1" x14ac:dyDescent="0.35"/>
    <row r="14" spans="1:7" ht="15" customHeight="1" x14ac:dyDescent="0.35">
      <c r="A14" s="18"/>
      <c r="B14" s="50" t="s">
        <v>172</v>
      </c>
      <c r="C14" s="50" t="s">
        <v>78</v>
      </c>
      <c r="D14" s="50" t="s">
        <v>79</v>
      </c>
      <c r="E14" s="52" t="s">
        <v>80</v>
      </c>
      <c r="F14" s="52" t="s">
        <v>81</v>
      </c>
    </row>
    <row r="15" spans="1:7" ht="15" customHeight="1" thickBot="1" x14ac:dyDescent="0.4">
      <c r="A15" s="47" t="s">
        <v>77</v>
      </c>
      <c r="B15" s="51"/>
      <c r="C15" s="51"/>
      <c r="D15" s="51"/>
      <c r="E15" s="51"/>
      <c r="F15" s="51"/>
    </row>
    <row r="16" spans="1:7" ht="15" customHeight="1" thickTop="1" x14ac:dyDescent="0.35">
      <c r="A16" s="17" t="s">
        <v>82</v>
      </c>
      <c r="B16" s="15">
        <v>19</v>
      </c>
      <c r="C16" s="15">
        <v>24162847.016894676</v>
      </c>
      <c r="D16" s="15">
        <v>1271728.7903628778</v>
      </c>
      <c r="E16" s="15">
        <v>56.377124737596461</v>
      </c>
      <c r="F16" s="20">
        <v>3.9085753506698461E-76</v>
      </c>
    </row>
    <row r="17" spans="1:9" ht="15" customHeight="1" x14ac:dyDescent="0.35">
      <c r="A17" s="17" t="s">
        <v>83</v>
      </c>
      <c r="B17" s="15">
        <v>234</v>
      </c>
      <c r="C17" s="15">
        <v>5278462.4673571177</v>
      </c>
      <c r="D17" s="15">
        <v>22557.531911782553</v>
      </c>
      <c r="E17" s="15"/>
      <c r="F17" s="15"/>
    </row>
    <row r="18" spans="1:9" ht="15" customHeight="1" x14ac:dyDescent="0.35"/>
    <row r="19" spans="1:9" ht="15" customHeight="1" x14ac:dyDescent="0.35">
      <c r="A19" s="18"/>
      <c r="B19" s="52" t="s">
        <v>85</v>
      </c>
      <c r="C19" s="50" t="s">
        <v>86</v>
      </c>
      <c r="D19" s="52" t="s">
        <v>87</v>
      </c>
      <c r="E19" s="52" t="s">
        <v>81</v>
      </c>
      <c r="F19" s="48" t="s">
        <v>88</v>
      </c>
      <c r="G19" s="48"/>
      <c r="H19" s="48" t="s">
        <v>173</v>
      </c>
      <c r="I19" s="48"/>
    </row>
    <row r="20" spans="1:9" ht="15" customHeight="1" thickBot="1" x14ac:dyDescent="0.4">
      <c r="A20" s="47" t="s">
        <v>84</v>
      </c>
      <c r="B20" s="51"/>
      <c r="C20" s="51"/>
      <c r="D20" s="51"/>
      <c r="E20" s="51"/>
      <c r="F20" s="46" t="s">
        <v>89</v>
      </c>
      <c r="G20" s="46" t="s">
        <v>90</v>
      </c>
      <c r="H20" s="46" t="s">
        <v>174</v>
      </c>
      <c r="I20" s="46" t="s">
        <v>72</v>
      </c>
    </row>
    <row r="21" spans="1:9" ht="15" customHeight="1" thickTop="1" x14ac:dyDescent="0.35">
      <c r="A21" s="17" t="s">
        <v>91</v>
      </c>
      <c r="B21" s="15">
        <v>1867.9900337000872</v>
      </c>
      <c r="C21" s="15">
        <v>81.581567661480094</v>
      </c>
      <c r="D21" s="15">
        <v>22.897206896676067</v>
      </c>
      <c r="E21" s="20">
        <v>1.1330154381469774E-61</v>
      </c>
      <c r="F21" s="15">
        <v>1707.2618110008721</v>
      </c>
      <c r="G21" s="15">
        <v>2028.7182563993024</v>
      </c>
      <c r="H21" s="15"/>
      <c r="I21" s="15"/>
    </row>
    <row r="22" spans="1:9" ht="15" customHeight="1" x14ac:dyDescent="0.35">
      <c r="A22" s="17" t="s">
        <v>1</v>
      </c>
      <c r="B22" s="15">
        <v>-8.8032394410524972</v>
      </c>
      <c r="C22" s="15">
        <v>1.0894738987223775</v>
      </c>
      <c r="D22" s="15">
        <v>-8.0802664950266614</v>
      </c>
      <c r="E22" s="20">
        <v>3.4393177716536315E-14</v>
      </c>
      <c r="F22" s="15">
        <v>-10.94967041116381</v>
      </c>
      <c r="G22" s="15">
        <v>-6.6568084709411846</v>
      </c>
      <c r="H22" s="15">
        <v>1.0227922108980927</v>
      </c>
      <c r="I22" s="15">
        <v>2.2284302378563599E-2</v>
      </c>
    </row>
    <row r="23" spans="1:9" ht="15" customHeight="1" x14ac:dyDescent="0.35">
      <c r="A23" s="17" t="s">
        <v>238</v>
      </c>
      <c r="B23" s="15">
        <v>80.130648153208085</v>
      </c>
      <c r="C23" s="15">
        <v>47.662792993735607</v>
      </c>
      <c r="D23" s="15">
        <v>1.6811991727748681</v>
      </c>
      <c r="E23" s="20">
        <v>9.4058413786460626E-2</v>
      </c>
      <c r="F23" s="15">
        <v>-13.772377081018462</v>
      </c>
      <c r="G23" s="15">
        <v>174.03367338743465</v>
      </c>
      <c r="H23" s="15">
        <v>1.9400320053932083</v>
      </c>
      <c r="I23" s="15">
        <v>0.484544586264535</v>
      </c>
    </row>
    <row r="24" spans="1:9" ht="15" customHeight="1" x14ac:dyDescent="0.35">
      <c r="A24" s="17" t="s">
        <v>239</v>
      </c>
      <c r="B24" s="15">
        <v>118.55062864645174</v>
      </c>
      <c r="C24" s="15">
        <v>46.631615701238935</v>
      </c>
      <c r="D24" s="15">
        <v>2.5422801003933908</v>
      </c>
      <c r="E24" s="20">
        <v>1.1659249398654687E-2</v>
      </c>
      <c r="F24" s="15">
        <v>26.679181111228345</v>
      </c>
      <c r="G24" s="15">
        <v>210.42207618167515</v>
      </c>
      <c r="H24" s="15">
        <v>2.0163942268131785</v>
      </c>
      <c r="I24" s="15">
        <v>0.50406523352308163</v>
      </c>
    </row>
    <row r="25" spans="1:9" ht="15" customHeight="1" x14ac:dyDescent="0.35">
      <c r="A25" s="17" t="s">
        <v>240</v>
      </c>
      <c r="B25" s="15">
        <v>137.35446123495694</v>
      </c>
      <c r="C25" s="15">
        <v>48.240491797207127</v>
      </c>
      <c r="D25" s="15">
        <v>2.8472856747059336</v>
      </c>
      <c r="E25" s="20">
        <v>4.8013075189018359E-3</v>
      </c>
      <c r="F25" s="15">
        <v>42.313280598731652</v>
      </c>
      <c r="G25" s="15">
        <v>232.39564187118225</v>
      </c>
      <c r="H25" s="15">
        <v>1.9008332024938086</v>
      </c>
      <c r="I25" s="15">
        <v>0.47391491337164959</v>
      </c>
    </row>
    <row r="26" spans="1:9" ht="15" customHeight="1" x14ac:dyDescent="0.35">
      <c r="A26" s="17" t="s">
        <v>241</v>
      </c>
      <c r="B26" s="15">
        <v>2.1625996760693624</v>
      </c>
      <c r="C26" s="15">
        <v>48.294730929670415</v>
      </c>
      <c r="D26" s="15">
        <v>4.4779205400660903E-2</v>
      </c>
      <c r="E26" s="20">
        <v>0.96432148943574236</v>
      </c>
      <c r="F26" s="15">
        <v>-92.985440384551225</v>
      </c>
      <c r="G26" s="15">
        <v>97.31063973668995</v>
      </c>
      <c r="H26" s="15">
        <v>1.905110003991251</v>
      </c>
      <c r="I26" s="15">
        <v>0.47509592731916994</v>
      </c>
    </row>
    <row r="27" spans="1:9" ht="15" customHeight="1" x14ac:dyDescent="0.35">
      <c r="A27" s="17" t="s">
        <v>242</v>
      </c>
      <c r="B27" s="15">
        <v>-18.347366957594431</v>
      </c>
      <c r="C27" s="15">
        <v>47.139477660413753</v>
      </c>
      <c r="D27" s="15">
        <v>-0.38921447305305995</v>
      </c>
      <c r="E27" s="20">
        <v>0.6974714576469494</v>
      </c>
      <c r="F27" s="15">
        <v>-111.2193805816361</v>
      </c>
      <c r="G27" s="15">
        <v>74.524646666447239</v>
      </c>
      <c r="H27" s="15">
        <v>1.9794972397417951</v>
      </c>
      <c r="I27" s="15">
        <v>0.49482122029609921</v>
      </c>
    </row>
    <row r="28" spans="1:9" ht="15" customHeight="1" x14ac:dyDescent="0.35">
      <c r="A28" s="17" t="s">
        <v>243</v>
      </c>
      <c r="B28" s="15">
        <v>203.17453468850306</v>
      </c>
      <c r="C28" s="15">
        <v>47.660506194618044</v>
      </c>
      <c r="D28" s="15">
        <v>4.2629537726446998</v>
      </c>
      <c r="E28" s="20">
        <v>2.9271980568226139E-5</v>
      </c>
      <c r="F28" s="15">
        <v>109.27601479988793</v>
      </c>
      <c r="G28" s="15">
        <v>297.07305457711817</v>
      </c>
      <c r="H28" s="15">
        <v>1.939845849409833</v>
      </c>
      <c r="I28" s="15">
        <v>0.48449512093745284</v>
      </c>
    </row>
    <row r="29" spans="1:9" ht="15" customHeight="1" x14ac:dyDescent="0.35">
      <c r="A29" s="17" t="s">
        <v>244</v>
      </c>
      <c r="B29" s="15">
        <v>218.60594492615178</v>
      </c>
      <c r="C29" s="15">
        <v>48.221157680397589</v>
      </c>
      <c r="D29" s="15">
        <v>4.5334030836637798</v>
      </c>
      <c r="E29" s="20">
        <v>9.2659631000966967E-6</v>
      </c>
      <c r="F29" s="15">
        <v>123.60285547058571</v>
      </c>
      <c r="G29" s="15">
        <v>313.60903438171783</v>
      </c>
      <c r="H29" s="15">
        <v>1.8993098529103751</v>
      </c>
      <c r="I29" s="15">
        <v>0.47349296457991463</v>
      </c>
    </row>
    <row r="30" spans="1:9" ht="15" customHeight="1" x14ac:dyDescent="0.35">
      <c r="A30" s="17" t="s">
        <v>245</v>
      </c>
      <c r="B30" s="15">
        <v>52.162001691302748</v>
      </c>
      <c r="C30" s="15">
        <v>47.371115801748594</v>
      </c>
      <c r="D30" s="15">
        <v>1.1011351708413275</v>
      </c>
      <c r="E30" s="20">
        <v>0.27196920811998271</v>
      </c>
      <c r="F30" s="15">
        <v>-41.166374660660338</v>
      </c>
      <c r="G30" s="15">
        <v>145.49037804326582</v>
      </c>
      <c r="H30" s="15">
        <v>1.9989990950720415</v>
      </c>
      <c r="I30" s="15">
        <v>0.49974964847897485</v>
      </c>
    </row>
    <row r="31" spans="1:9" ht="15" customHeight="1" x14ac:dyDescent="0.35">
      <c r="A31" s="17" t="s">
        <v>246</v>
      </c>
      <c r="B31" s="15">
        <v>169.36256903259073</v>
      </c>
      <c r="C31" s="15">
        <v>47.371542817609431</v>
      </c>
      <c r="D31" s="15">
        <v>3.5751963934270168</v>
      </c>
      <c r="E31" s="20">
        <v>4.2505735674006317E-4</v>
      </c>
      <c r="F31" s="15">
        <v>76.033351393773955</v>
      </c>
      <c r="G31" s="15">
        <v>262.6917866714075</v>
      </c>
      <c r="H31" s="15">
        <v>1.9990351342555093</v>
      </c>
      <c r="I31" s="15">
        <v>0.49975866713697104</v>
      </c>
    </row>
    <row r="32" spans="1:9" ht="15" customHeight="1" x14ac:dyDescent="0.35">
      <c r="A32" s="17" t="s">
        <v>247</v>
      </c>
      <c r="B32" s="15">
        <v>39.753496810803426</v>
      </c>
      <c r="C32" s="15">
        <v>47.96367743859259</v>
      </c>
      <c r="D32" s="15">
        <v>0.82882503873268321</v>
      </c>
      <c r="E32" s="20">
        <v>0.40804803002484624</v>
      </c>
      <c r="F32" s="15">
        <v>-54.742317008466898</v>
      </c>
      <c r="G32" s="15">
        <v>134.24931063007375</v>
      </c>
      <c r="H32" s="15">
        <v>1.9646032854054041</v>
      </c>
      <c r="I32" s="15">
        <v>0.49099138364026207</v>
      </c>
    </row>
    <row r="33" spans="1:21" ht="15" customHeight="1" x14ac:dyDescent="0.35">
      <c r="A33" s="17" t="s">
        <v>248</v>
      </c>
      <c r="B33" s="15">
        <v>32.754073409808768</v>
      </c>
      <c r="C33" s="15">
        <v>46.741018415500911</v>
      </c>
      <c r="D33" s="15">
        <v>0.70075652007929734</v>
      </c>
      <c r="E33" s="20">
        <v>0.48415118828103354</v>
      </c>
      <c r="F33" s="15">
        <v>-59.332914281430774</v>
      </c>
      <c r="G33" s="15">
        <v>124.84106110104831</v>
      </c>
      <c r="H33" s="15">
        <v>2.0258666747409126</v>
      </c>
      <c r="I33" s="15">
        <v>0.50638410095378583</v>
      </c>
    </row>
    <row r="34" spans="1:21" ht="15" customHeight="1" x14ac:dyDescent="0.35">
      <c r="A34" s="17" t="s">
        <v>274</v>
      </c>
      <c r="B34" s="15">
        <v>468.538374002811</v>
      </c>
      <c r="C34" s="15">
        <v>34.563122075773563</v>
      </c>
      <c r="D34" s="15">
        <v>13.55601999656232</v>
      </c>
      <c r="E34" s="20">
        <v>2.7670197337138487E-31</v>
      </c>
      <c r="F34" s="15">
        <v>400.44371314477883</v>
      </c>
      <c r="G34" s="15">
        <v>536.63303486084317</v>
      </c>
      <c r="H34" s="15">
        <v>2.1900566384565638</v>
      </c>
      <c r="I34" s="15">
        <v>0.54339080440186827</v>
      </c>
    </row>
    <row r="35" spans="1:21" ht="15" customHeight="1" x14ac:dyDescent="0.35">
      <c r="A35" s="17" t="s">
        <v>275</v>
      </c>
      <c r="B35" s="15">
        <v>255.36030115199947</v>
      </c>
      <c r="C35" s="15">
        <v>30.190120577967061</v>
      </c>
      <c r="D35" s="15">
        <v>8.4584061362895984</v>
      </c>
      <c r="E35" s="20">
        <v>2.9567309906591963E-15</v>
      </c>
      <c r="F35" s="15">
        <v>195.8811251240696</v>
      </c>
      <c r="G35" s="15">
        <v>314.83947717992936</v>
      </c>
      <c r="H35" s="15">
        <v>1.6225742139813348</v>
      </c>
      <c r="I35" s="15">
        <v>0.38369537036689072</v>
      </c>
    </row>
    <row r="36" spans="1:21" ht="15" customHeight="1" x14ac:dyDescent="0.35">
      <c r="A36" s="17" t="s">
        <v>276</v>
      </c>
      <c r="B36" s="15">
        <v>22.732615458280179</v>
      </c>
      <c r="C36" s="15">
        <v>30.122431687557924</v>
      </c>
      <c r="D36" s="15">
        <v>0.75467398163840438</v>
      </c>
      <c r="E36" s="20">
        <v>0.45120345764506775</v>
      </c>
      <c r="F36" s="15">
        <v>-36.613203055644981</v>
      </c>
      <c r="G36" s="15">
        <v>82.078433972205346</v>
      </c>
      <c r="H36" s="15">
        <v>1.6395360609931509</v>
      </c>
      <c r="I36" s="15">
        <v>0.39007135994663705</v>
      </c>
    </row>
    <row r="37" spans="1:21" ht="15" customHeight="1" x14ac:dyDescent="0.35">
      <c r="A37" s="17" t="s">
        <v>277</v>
      </c>
      <c r="B37" s="15">
        <v>5.0822899373220025</v>
      </c>
      <c r="C37" s="15">
        <v>30.062332906689662</v>
      </c>
      <c r="D37" s="15">
        <v>0.1690584011925122</v>
      </c>
      <c r="E37" s="20">
        <v>0.86589675276126954</v>
      </c>
      <c r="F37" s="15">
        <v>-54.145124744558302</v>
      </c>
      <c r="G37" s="15">
        <v>64.309704619202307</v>
      </c>
      <c r="H37" s="15">
        <v>1.6330003453985698</v>
      </c>
      <c r="I37" s="15">
        <v>0.38763025812102447</v>
      </c>
    </row>
    <row r="38" spans="1:21" ht="15" customHeight="1" x14ac:dyDescent="0.35">
      <c r="A38" s="17" t="s">
        <v>301</v>
      </c>
      <c r="B38" s="15">
        <v>-366.36088337722867</v>
      </c>
      <c r="C38" s="15">
        <v>40.150704919174785</v>
      </c>
      <c r="D38" s="15">
        <v>-9.1246438665206497</v>
      </c>
      <c r="E38" s="20">
        <v>3.4287397832099223E-17</v>
      </c>
      <c r="F38" s="15">
        <v>-445.46394092764933</v>
      </c>
      <c r="G38" s="15">
        <v>-287.25782582680802</v>
      </c>
      <c r="H38" s="15">
        <v>1.6107811660122042</v>
      </c>
      <c r="I38" s="15">
        <v>0.3791832055773966</v>
      </c>
    </row>
    <row r="39" spans="1:21" ht="15" customHeight="1" x14ac:dyDescent="0.35">
      <c r="A39" s="17" t="s">
        <v>313</v>
      </c>
      <c r="B39" s="15">
        <v>-349.12753241926839</v>
      </c>
      <c r="C39" s="15">
        <v>51.700055123244844</v>
      </c>
      <c r="D39" s="15">
        <v>-6.7529431368497184</v>
      </c>
      <c r="E39" s="20">
        <v>1.1341316986987501E-10</v>
      </c>
      <c r="F39" s="15">
        <v>-450.98458434417421</v>
      </c>
      <c r="G39" s="15">
        <v>-247.2704804943626</v>
      </c>
      <c r="H39" s="15">
        <v>1.1382732807936866</v>
      </c>
      <c r="I39" s="15">
        <v>0.1214763476634297</v>
      </c>
    </row>
    <row r="40" spans="1:21" ht="15" customHeight="1" x14ac:dyDescent="0.35">
      <c r="A40" s="17" t="s">
        <v>325</v>
      </c>
      <c r="B40" s="15">
        <v>-275.34177886496036</v>
      </c>
      <c r="C40" s="15">
        <v>48.289000320615855</v>
      </c>
      <c r="D40" s="15">
        <v>-5.7019564918888923</v>
      </c>
      <c r="E40" s="20">
        <v>3.5536105189912071E-8</v>
      </c>
      <c r="F40" s="15">
        <v>-370.47852874527769</v>
      </c>
      <c r="G40" s="15">
        <v>-180.20502898464306</v>
      </c>
      <c r="H40" s="15">
        <v>1.0878526929360759</v>
      </c>
      <c r="I40" s="15">
        <v>8.0757894434185379E-2</v>
      </c>
    </row>
    <row r="41" spans="1:21" ht="15" customHeight="1" x14ac:dyDescent="0.35"/>
    <row r="42" spans="1:21" ht="15" customHeight="1" x14ac:dyDescent="0.35">
      <c r="A42" s="18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 ht="15" customHeight="1" thickBot="1" x14ac:dyDescent="0.4">
      <c r="A43" s="47" t="s">
        <v>175</v>
      </c>
      <c r="B43" s="46" t="s">
        <v>6</v>
      </c>
      <c r="C43" s="46" t="s">
        <v>1</v>
      </c>
      <c r="D43" s="46" t="s">
        <v>238</v>
      </c>
      <c r="E43" s="46" t="s">
        <v>239</v>
      </c>
      <c r="F43" s="46" t="s">
        <v>240</v>
      </c>
      <c r="G43" s="46" t="s">
        <v>241</v>
      </c>
      <c r="H43" s="46" t="s">
        <v>242</v>
      </c>
      <c r="I43" s="46" t="s">
        <v>243</v>
      </c>
      <c r="J43" s="46" t="s">
        <v>244</v>
      </c>
      <c r="K43" s="46" t="s">
        <v>245</v>
      </c>
      <c r="L43" s="46" t="s">
        <v>246</v>
      </c>
      <c r="M43" s="46" t="s">
        <v>247</v>
      </c>
      <c r="N43" s="46" t="s">
        <v>248</v>
      </c>
      <c r="O43" s="46" t="s">
        <v>274</v>
      </c>
      <c r="P43" s="46" t="s">
        <v>275</v>
      </c>
      <c r="Q43" s="46" t="s">
        <v>276</v>
      </c>
      <c r="R43" s="46" t="s">
        <v>277</v>
      </c>
      <c r="S43" s="46" t="s">
        <v>301</v>
      </c>
      <c r="T43" s="46" t="s">
        <v>313</v>
      </c>
      <c r="U43" s="46" t="s">
        <v>325</v>
      </c>
    </row>
    <row r="44" spans="1:21" ht="15" customHeight="1" thickTop="1" x14ac:dyDescent="0.35">
      <c r="A44" s="17" t="s">
        <v>6</v>
      </c>
      <c r="B44" s="33">
        <v>0.99999999999999989</v>
      </c>
      <c r="C44" s="33">
        <v>-0.25239861054508933</v>
      </c>
      <c r="D44" s="33">
        <v>-2.1275114079400911E-2</v>
      </c>
      <c r="E44" s="33">
        <v>3.8294619142593411E-2</v>
      </c>
      <c r="F44" s="33">
        <v>5.576630478529624E-2</v>
      </c>
      <c r="G44" s="33">
        <v>-7.1408308203276108E-2</v>
      </c>
      <c r="H44" s="33">
        <v>-9.6870196624243537E-2</v>
      </c>
      <c r="I44" s="33">
        <v>0.10058121679204562</v>
      </c>
      <c r="J44" s="33">
        <v>0.1105089217874668</v>
      </c>
      <c r="K44" s="33">
        <v>-7.9008869941626977E-3</v>
      </c>
      <c r="L44" s="33">
        <v>6.5774252958288551E-2</v>
      </c>
      <c r="M44" s="33">
        <v>-1.4934553789398064E-2</v>
      </c>
      <c r="N44" s="33">
        <v>-7.0707680020562047E-2</v>
      </c>
      <c r="O44" s="33">
        <v>0.68760350698999428</v>
      </c>
      <c r="P44" s="33">
        <v>8.1013602924763187E-2</v>
      </c>
      <c r="Q44" s="33">
        <v>-0.22290994860205235</v>
      </c>
      <c r="R44" s="33">
        <v>-0.24129837739565904</v>
      </c>
      <c r="S44" s="33">
        <v>-0.64806541765064007</v>
      </c>
      <c r="T44" s="33">
        <v>-0.345472617470859</v>
      </c>
      <c r="U44" s="33">
        <v>-0.22158964201883408</v>
      </c>
    </row>
    <row r="45" spans="1:21" ht="15" customHeight="1" x14ac:dyDescent="0.35">
      <c r="A45" s="17" t="s">
        <v>1</v>
      </c>
      <c r="B45" s="33">
        <v>-0.25239861054508939</v>
      </c>
      <c r="C45" s="33">
        <v>0.99999999999999978</v>
      </c>
      <c r="D45" s="33">
        <v>-2.0337490517710444E-2</v>
      </c>
      <c r="E45" s="33">
        <v>1.8652682282915112E-2</v>
      </c>
      <c r="F45" s="33">
        <v>-1.0262712135626962E-3</v>
      </c>
      <c r="G45" s="33">
        <v>-3.7787832376308492E-2</v>
      </c>
      <c r="H45" s="33">
        <v>1.7159800952442489E-2</v>
      </c>
      <c r="I45" s="33">
        <v>2.3786049491925237E-2</v>
      </c>
      <c r="J45" s="33">
        <v>2.3156888921414872E-3</v>
      </c>
      <c r="K45" s="33">
        <v>7.5593836794900782E-3</v>
      </c>
      <c r="L45" s="33">
        <v>-1.3241520411906692E-2</v>
      </c>
      <c r="M45" s="33">
        <v>-2.3612334767477514E-3</v>
      </c>
      <c r="N45" s="33">
        <v>-6.4398370145913545E-3</v>
      </c>
      <c r="O45" s="33">
        <v>8.9580459617283554E-4</v>
      </c>
      <c r="P45" s="33">
        <v>6.1851445780040587E-3</v>
      </c>
      <c r="Q45" s="33">
        <v>-2.9621542321408637E-2</v>
      </c>
      <c r="R45" s="33">
        <v>-1.3892976621105644E-2</v>
      </c>
      <c r="S45" s="33">
        <v>4.497301130514289E-2</v>
      </c>
      <c r="T45" s="33">
        <v>0.11410603675278159</v>
      </c>
      <c r="U45" s="33">
        <v>-4.1704907950807307E-2</v>
      </c>
    </row>
    <row r="46" spans="1:21" ht="15" customHeight="1" x14ac:dyDescent="0.35">
      <c r="A46" s="17" t="s">
        <v>238</v>
      </c>
      <c r="B46" s="33">
        <v>-2.1275114079400911E-2</v>
      </c>
      <c r="C46" s="33">
        <v>-2.033749051771044E-2</v>
      </c>
      <c r="D46" s="33">
        <v>1.0000000000000002</v>
      </c>
      <c r="E46" s="33">
        <v>-9.473045317777383E-2</v>
      </c>
      <c r="F46" s="33">
        <v>-8.7768516133875818E-2</v>
      </c>
      <c r="G46" s="33">
        <v>-8.7768516133876137E-2</v>
      </c>
      <c r="H46" s="33">
        <v>-9.2448322424351678E-2</v>
      </c>
      <c r="I46" s="33">
        <v>-9.0128755364806759E-2</v>
      </c>
      <c r="J46" s="33">
        <v>-8.7768516133876123E-2</v>
      </c>
      <c r="K46" s="33">
        <v>-9.2448322424351595E-2</v>
      </c>
      <c r="L46" s="33">
        <v>-9.2448322424351179E-2</v>
      </c>
      <c r="M46" s="33">
        <v>-9.0128755364806537E-2</v>
      </c>
      <c r="N46" s="33">
        <v>-9.4730453177773913E-2</v>
      </c>
      <c r="O46" s="33">
        <v>-1.0601043775241008E-2</v>
      </c>
      <c r="P46" s="33">
        <v>3.1141174425141537E-2</v>
      </c>
      <c r="Q46" s="33">
        <v>-7.727552683669244E-3</v>
      </c>
      <c r="R46" s="33">
        <v>-7.7275526836692483E-3</v>
      </c>
      <c r="S46" s="33">
        <v>3.2119854403519416E-3</v>
      </c>
      <c r="T46" s="33">
        <v>6.0776652173160813E-2</v>
      </c>
      <c r="U46" s="33">
        <v>6.3874114524005848E-2</v>
      </c>
    </row>
    <row r="47" spans="1:21" ht="15" customHeight="1" x14ac:dyDescent="0.35">
      <c r="A47" s="17" t="s">
        <v>239</v>
      </c>
      <c r="B47" s="33">
        <v>3.8294619142593411E-2</v>
      </c>
      <c r="C47" s="33">
        <v>1.8652682282915112E-2</v>
      </c>
      <c r="D47" s="33">
        <v>-9.473045317777383E-2</v>
      </c>
      <c r="E47" s="33">
        <v>0.99999999999999978</v>
      </c>
      <c r="F47" s="33">
        <v>-9.2249707370855721E-2</v>
      </c>
      <c r="G47" s="33">
        <v>-9.224970737085568E-2</v>
      </c>
      <c r="H47" s="33">
        <v>-9.7168450216980853E-2</v>
      </c>
      <c r="I47" s="33">
        <v>-9.4730453177773774E-2</v>
      </c>
      <c r="J47" s="33">
        <v>-9.2249707370855971E-2</v>
      </c>
      <c r="K47" s="33">
        <v>-9.7168450216980812E-2</v>
      </c>
      <c r="L47" s="33">
        <v>-9.7168450216980715E-2</v>
      </c>
      <c r="M47" s="33">
        <v>-9.4730453177774399E-2</v>
      </c>
      <c r="N47" s="33">
        <v>-9.9567099567100012E-2</v>
      </c>
      <c r="O47" s="33">
        <v>9.9056836748059058E-3</v>
      </c>
      <c r="P47" s="33">
        <v>-1.8202657794236854E-2</v>
      </c>
      <c r="Q47" s="33">
        <v>1.3078824714716076E-2</v>
      </c>
      <c r="R47" s="33">
        <v>-2.1168819383612588E-2</v>
      </c>
      <c r="S47" s="33">
        <v>-3.3906577374059971E-2</v>
      </c>
      <c r="T47" s="33">
        <v>-6.6657100824695772E-3</v>
      </c>
      <c r="U47" s="33">
        <v>-2.6535703913786745E-4</v>
      </c>
    </row>
    <row r="48" spans="1:21" ht="15" customHeight="1" x14ac:dyDescent="0.35">
      <c r="A48" s="17" t="s">
        <v>240</v>
      </c>
      <c r="B48" s="33">
        <v>5.5766304785296247E-2</v>
      </c>
      <c r="C48" s="33">
        <v>-1.0262712135626962E-3</v>
      </c>
      <c r="D48" s="33">
        <v>-8.7768516133875818E-2</v>
      </c>
      <c r="E48" s="33">
        <v>-9.2249707370855721E-2</v>
      </c>
      <c r="F48" s="33">
        <v>0.99999999999999978</v>
      </c>
      <c r="G48" s="33">
        <v>-8.5470085470085194E-2</v>
      </c>
      <c r="H48" s="33">
        <v>-9.002733972536002E-2</v>
      </c>
      <c r="I48" s="33">
        <v>-8.7768516133875873E-2</v>
      </c>
      <c r="J48" s="33">
        <v>-8.5470085470085222E-2</v>
      </c>
      <c r="K48" s="33">
        <v>-9.0027339725360145E-2</v>
      </c>
      <c r="L48" s="33">
        <v>-9.0027339725360256E-2</v>
      </c>
      <c r="M48" s="33">
        <v>-8.776851613387622E-2</v>
      </c>
      <c r="N48" s="33">
        <v>-9.2249707370855541E-2</v>
      </c>
      <c r="O48" s="33">
        <v>-3.4230319960768373E-3</v>
      </c>
      <c r="P48" s="33">
        <v>3.9078757928918052E-2</v>
      </c>
      <c r="Q48" s="33">
        <v>-5.7465072344487726E-4</v>
      </c>
      <c r="R48" s="33">
        <v>-3.7064971662193746E-2</v>
      </c>
      <c r="S48" s="33">
        <v>-1.5455366742303444E-3</v>
      </c>
      <c r="T48" s="33">
        <v>5.9185068685702925E-2</v>
      </c>
      <c r="U48" s="33">
        <v>-8.1427308873661355E-2</v>
      </c>
    </row>
    <row r="49" spans="1:21" ht="15" customHeight="1" x14ac:dyDescent="0.35">
      <c r="A49" s="17" t="s">
        <v>241</v>
      </c>
      <c r="B49" s="33">
        <v>-7.1408308203276108E-2</v>
      </c>
      <c r="C49" s="33">
        <v>-3.7787832376308492E-2</v>
      </c>
      <c r="D49" s="33">
        <v>-8.7768516133876137E-2</v>
      </c>
      <c r="E49" s="33">
        <v>-9.224970737085568E-2</v>
      </c>
      <c r="F49" s="33">
        <v>-8.5470085470085194E-2</v>
      </c>
      <c r="G49" s="33">
        <v>1</v>
      </c>
      <c r="H49" s="33">
        <v>-9.0027339725360839E-2</v>
      </c>
      <c r="I49" s="33">
        <v>-8.7768516133876096E-2</v>
      </c>
      <c r="J49" s="33">
        <v>-8.5470085470085042E-2</v>
      </c>
      <c r="K49" s="33">
        <v>-9.0027339725360603E-2</v>
      </c>
      <c r="L49" s="33">
        <v>-9.0027339725359951E-2</v>
      </c>
      <c r="M49" s="33">
        <v>-8.776851613387586E-2</v>
      </c>
      <c r="N49" s="33">
        <v>-9.2249707370855069E-2</v>
      </c>
      <c r="O49" s="33">
        <v>-3.4230319960768352E-3</v>
      </c>
      <c r="P49" s="33">
        <v>2.3157782476396094E-3</v>
      </c>
      <c r="Q49" s="33">
        <v>-5.7465072344486728E-4</v>
      </c>
      <c r="R49" s="33">
        <v>-5.7465072344486674E-4</v>
      </c>
      <c r="S49" s="33">
        <v>-1.5455366742303277E-3</v>
      </c>
      <c r="T49" s="33">
        <v>-1.5979968545139753E-2</v>
      </c>
      <c r="U49" s="33">
        <v>6.2201416500712571E-2</v>
      </c>
    </row>
    <row r="50" spans="1:21" ht="15" customHeight="1" x14ac:dyDescent="0.35">
      <c r="A50" s="17" t="s">
        <v>242</v>
      </c>
      <c r="B50" s="33">
        <v>-9.6870196624243551E-2</v>
      </c>
      <c r="C50" s="33">
        <v>1.7159800952442492E-2</v>
      </c>
      <c r="D50" s="33">
        <v>-9.2448322424351678E-2</v>
      </c>
      <c r="E50" s="33">
        <v>-9.7168450216980853E-2</v>
      </c>
      <c r="F50" s="33">
        <v>-9.0027339725360034E-2</v>
      </c>
      <c r="G50" s="33">
        <v>-9.0027339725360839E-2</v>
      </c>
      <c r="H50" s="33">
        <v>0.99999999999999978</v>
      </c>
      <c r="I50" s="33">
        <v>-9.2448322424351068E-2</v>
      </c>
      <c r="J50" s="33">
        <v>-9.002733972536002E-2</v>
      </c>
      <c r="K50" s="33">
        <v>-9.4827586206896852E-2</v>
      </c>
      <c r="L50" s="33">
        <v>-9.4827586206897102E-2</v>
      </c>
      <c r="M50" s="33">
        <v>-9.244832242435029E-2</v>
      </c>
      <c r="N50" s="33">
        <v>-9.7168450216980742E-2</v>
      </c>
      <c r="O50" s="33">
        <v>-1.7481443071508122E-2</v>
      </c>
      <c r="P50" s="33">
        <v>-1.1641900075133551E-2</v>
      </c>
      <c r="Q50" s="33">
        <v>-1.4582011130657933E-2</v>
      </c>
      <c r="R50" s="33">
        <v>2.0359789125824174E-2</v>
      </c>
      <c r="S50" s="33">
        <v>-3.9218662862484002E-2</v>
      </c>
      <c r="T50" s="33">
        <v>-9.6344886848504854E-3</v>
      </c>
      <c r="U50" s="33">
        <v>-3.2488258631449274E-3</v>
      </c>
    </row>
    <row r="51" spans="1:21" ht="15" customHeight="1" x14ac:dyDescent="0.35">
      <c r="A51" s="17" t="s">
        <v>243</v>
      </c>
      <c r="B51" s="33">
        <v>0.10058121679204562</v>
      </c>
      <c r="C51" s="33">
        <v>2.378604949192524E-2</v>
      </c>
      <c r="D51" s="33">
        <v>-9.0128755364806759E-2</v>
      </c>
      <c r="E51" s="33">
        <v>-9.473045317777376E-2</v>
      </c>
      <c r="F51" s="33">
        <v>-8.7768516133875873E-2</v>
      </c>
      <c r="G51" s="33">
        <v>-8.7768516133876096E-2</v>
      </c>
      <c r="H51" s="33">
        <v>-9.2448322424351068E-2</v>
      </c>
      <c r="I51" s="33">
        <v>1</v>
      </c>
      <c r="J51" s="33">
        <v>-8.7768516133876096E-2</v>
      </c>
      <c r="K51" s="33">
        <v>-9.244832242435097E-2</v>
      </c>
      <c r="L51" s="33">
        <v>-9.2448322424350804E-2</v>
      </c>
      <c r="M51" s="33">
        <v>-9.0128755364806731E-2</v>
      </c>
      <c r="N51" s="33">
        <v>-9.4730453177773857E-2</v>
      </c>
      <c r="O51" s="33">
        <v>-1.0601043775241011E-2</v>
      </c>
      <c r="P51" s="33">
        <v>3.1141174425141523E-2</v>
      </c>
      <c r="Q51" s="33">
        <v>-7.7275526836692726E-3</v>
      </c>
      <c r="R51" s="33">
        <v>2.7959690619094198E-2</v>
      </c>
      <c r="S51" s="33">
        <v>3.211985440351956E-3</v>
      </c>
      <c r="T51" s="33">
        <v>6.077665217316066E-2</v>
      </c>
      <c r="U51" s="33">
        <v>-7.6593635165150734E-2</v>
      </c>
    </row>
    <row r="52" spans="1:21" ht="15" customHeight="1" x14ac:dyDescent="0.35">
      <c r="A52" s="17" t="s">
        <v>244</v>
      </c>
      <c r="B52" s="33">
        <v>0.1105089217874668</v>
      </c>
      <c r="C52" s="33">
        <v>2.3156888921414868E-3</v>
      </c>
      <c r="D52" s="33">
        <v>-8.7768516133876123E-2</v>
      </c>
      <c r="E52" s="33">
        <v>-9.2249707370855985E-2</v>
      </c>
      <c r="F52" s="33">
        <v>-8.5470085470085222E-2</v>
      </c>
      <c r="G52" s="33">
        <v>-8.5470085470085042E-2</v>
      </c>
      <c r="H52" s="33">
        <v>-9.0027339725360034E-2</v>
      </c>
      <c r="I52" s="33">
        <v>-8.7768516133876082E-2</v>
      </c>
      <c r="J52" s="33">
        <v>1</v>
      </c>
      <c r="K52" s="33">
        <v>-9.0027339725360159E-2</v>
      </c>
      <c r="L52" s="33">
        <v>-9.002733972536027E-2</v>
      </c>
      <c r="M52" s="33">
        <v>-8.776851613387586E-2</v>
      </c>
      <c r="N52" s="33">
        <v>-9.2249707370855388E-2</v>
      </c>
      <c r="O52" s="33">
        <v>3.280405662906944E-2</v>
      </c>
      <c r="P52" s="33">
        <v>2.3157782476396155E-3</v>
      </c>
      <c r="Q52" s="33">
        <v>-5.7465072344487606E-4</v>
      </c>
      <c r="R52" s="33">
        <v>-5.7465072344486999E-4</v>
      </c>
      <c r="S52" s="33">
        <v>-1.5455366742303444E-3</v>
      </c>
      <c r="T52" s="33">
        <v>5.9185068685702925E-2</v>
      </c>
      <c r="U52" s="33">
        <v>6.2201416500713008E-2</v>
      </c>
    </row>
    <row r="53" spans="1:21" ht="15" customHeight="1" x14ac:dyDescent="0.35">
      <c r="A53" s="17" t="s">
        <v>245</v>
      </c>
      <c r="B53" s="33">
        <v>-7.9008869941626959E-3</v>
      </c>
      <c r="C53" s="33">
        <v>7.5593836794900782E-3</v>
      </c>
      <c r="D53" s="33">
        <v>-9.2448322424351595E-2</v>
      </c>
      <c r="E53" s="33">
        <v>-9.7168450216980812E-2</v>
      </c>
      <c r="F53" s="33">
        <v>-9.0027339725360159E-2</v>
      </c>
      <c r="G53" s="33">
        <v>-9.0027339725360617E-2</v>
      </c>
      <c r="H53" s="33">
        <v>-9.4827586206896852E-2</v>
      </c>
      <c r="I53" s="33">
        <v>-9.244832242435097E-2</v>
      </c>
      <c r="J53" s="33">
        <v>-9.0027339725360173E-2</v>
      </c>
      <c r="K53" s="33">
        <v>1.0000000000000002</v>
      </c>
      <c r="L53" s="33">
        <v>-9.4827586206896824E-2</v>
      </c>
      <c r="M53" s="33">
        <v>-9.2448322424350193E-2</v>
      </c>
      <c r="N53" s="33">
        <v>-9.7168450216980742E-2</v>
      </c>
      <c r="O53" s="33">
        <v>1.7208295523515629E-2</v>
      </c>
      <c r="P53" s="33">
        <v>-1.1641900075133577E-2</v>
      </c>
      <c r="Q53" s="33">
        <v>2.0359789125824222E-2</v>
      </c>
      <c r="R53" s="33">
        <v>-1.4582011130657791E-2</v>
      </c>
      <c r="S53" s="33">
        <v>-3.9218662862484051E-2</v>
      </c>
      <c r="T53" s="33">
        <v>-8.1609786506967999E-2</v>
      </c>
      <c r="U53" s="33">
        <v>6.5517988240088573E-2</v>
      </c>
    </row>
    <row r="54" spans="1:21" ht="15" customHeight="1" x14ac:dyDescent="0.35">
      <c r="A54" s="17" t="s">
        <v>246</v>
      </c>
      <c r="B54" s="33">
        <v>6.5774252958288551E-2</v>
      </c>
      <c r="C54" s="33">
        <v>-1.3241520411906692E-2</v>
      </c>
      <c r="D54" s="33">
        <v>-9.2448322424351193E-2</v>
      </c>
      <c r="E54" s="33">
        <v>-9.7168450216980715E-2</v>
      </c>
      <c r="F54" s="33">
        <v>-9.0027339725360256E-2</v>
      </c>
      <c r="G54" s="33">
        <v>-9.0027339725359951E-2</v>
      </c>
      <c r="H54" s="33">
        <v>-9.4827586206897102E-2</v>
      </c>
      <c r="I54" s="33">
        <v>-9.2448322424350804E-2</v>
      </c>
      <c r="J54" s="33">
        <v>-9.002733972536027E-2</v>
      </c>
      <c r="K54" s="33">
        <v>-9.4827586206896838E-2</v>
      </c>
      <c r="L54" s="33">
        <v>0.99999999999999978</v>
      </c>
      <c r="M54" s="33">
        <v>-9.2448322424350027E-2</v>
      </c>
      <c r="N54" s="33">
        <v>-9.7168450216980631E-2</v>
      </c>
      <c r="O54" s="33">
        <v>-1.748144307150807E-2</v>
      </c>
      <c r="P54" s="33">
        <v>-4.6844788397561829E-2</v>
      </c>
      <c r="Q54" s="33">
        <v>2.035978912582417E-2</v>
      </c>
      <c r="R54" s="33">
        <v>2.0359789125824042E-2</v>
      </c>
      <c r="S54" s="33">
        <v>5.4758133053279673E-2</v>
      </c>
      <c r="T54" s="33">
        <v>-8.1609786506968027E-2</v>
      </c>
      <c r="U54" s="33">
        <v>-7.2015639966378137E-2</v>
      </c>
    </row>
    <row r="55" spans="1:21" ht="15" customHeight="1" x14ac:dyDescent="0.35">
      <c r="A55" s="17" t="s">
        <v>247</v>
      </c>
      <c r="B55" s="33">
        <v>-1.4934553789398064E-2</v>
      </c>
      <c r="C55" s="33">
        <v>-2.3612334767477519E-3</v>
      </c>
      <c r="D55" s="33">
        <v>-9.0128755364806537E-2</v>
      </c>
      <c r="E55" s="33">
        <v>-9.4730453177774399E-2</v>
      </c>
      <c r="F55" s="33">
        <v>-8.776851613387622E-2</v>
      </c>
      <c r="G55" s="33">
        <v>-8.7768516133875873E-2</v>
      </c>
      <c r="H55" s="33">
        <v>-9.244832242435029E-2</v>
      </c>
      <c r="I55" s="33">
        <v>-9.0128755364806731E-2</v>
      </c>
      <c r="J55" s="33">
        <v>-8.776851613387586E-2</v>
      </c>
      <c r="K55" s="33">
        <v>-9.2448322424350193E-2</v>
      </c>
      <c r="L55" s="33">
        <v>-9.2448322424350027E-2</v>
      </c>
      <c r="M55" s="33">
        <v>1.0000000000000002</v>
      </c>
      <c r="N55" s="33">
        <v>-9.4730453177774399E-2</v>
      </c>
      <c r="O55" s="33">
        <v>2.4828760420959193E-2</v>
      </c>
      <c r="P55" s="33">
        <v>-4.8127269566127827E-3</v>
      </c>
      <c r="Q55" s="33">
        <v>-7.7275526836693186E-3</v>
      </c>
      <c r="R55" s="33">
        <v>-7.7275526836693247E-3</v>
      </c>
      <c r="S55" s="33">
        <v>5.1202826725610634E-2</v>
      </c>
      <c r="T55" s="33">
        <v>-8.6244963560008533E-2</v>
      </c>
      <c r="U55" s="33">
        <v>-7.6593635165150206E-2</v>
      </c>
    </row>
    <row r="56" spans="1:21" ht="15" customHeight="1" x14ac:dyDescent="0.35">
      <c r="A56" s="17" t="s">
        <v>248</v>
      </c>
      <c r="B56" s="33">
        <v>-7.0707680020562047E-2</v>
      </c>
      <c r="C56" s="33">
        <v>-6.4398370145913545E-3</v>
      </c>
      <c r="D56" s="33">
        <v>-9.4730453177773899E-2</v>
      </c>
      <c r="E56" s="33">
        <v>-9.9567099567100012E-2</v>
      </c>
      <c r="F56" s="33">
        <v>-9.2249707370855541E-2</v>
      </c>
      <c r="G56" s="33">
        <v>-9.2249707370855069E-2</v>
      </c>
      <c r="H56" s="33">
        <v>-9.7168450216980756E-2</v>
      </c>
      <c r="I56" s="33">
        <v>-9.4730453177773857E-2</v>
      </c>
      <c r="J56" s="33">
        <v>-9.2249707370855388E-2</v>
      </c>
      <c r="K56" s="33">
        <v>-9.7168450216980742E-2</v>
      </c>
      <c r="L56" s="33">
        <v>-9.7168450216980617E-2</v>
      </c>
      <c r="M56" s="33">
        <v>-9.4730453177774399E-2</v>
      </c>
      <c r="N56" s="33">
        <v>0.99999999999999978</v>
      </c>
      <c r="O56" s="33">
        <v>-2.4094906236014322E-2</v>
      </c>
      <c r="P56" s="33">
        <v>1.6300887576928588E-2</v>
      </c>
      <c r="Q56" s="33">
        <v>-2.1168819383612571E-2</v>
      </c>
      <c r="R56" s="33">
        <v>1.3078824714716034E-2</v>
      </c>
      <c r="S56" s="33">
        <v>1.2148345904074901E-2</v>
      </c>
      <c r="T56" s="33">
        <v>-6.6657100824695894E-3</v>
      </c>
      <c r="U56" s="33">
        <v>6.7135330901849366E-2</v>
      </c>
    </row>
    <row r="57" spans="1:21" ht="15" customHeight="1" x14ac:dyDescent="0.35">
      <c r="A57" s="17" t="s">
        <v>274</v>
      </c>
      <c r="B57" s="33">
        <v>0.6876035069899944</v>
      </c>
      <c r="C57" s="33">
        <v>8.9580459617283554E-4</v>
      </c>
      <c r="D57" s="33">
        <v>-1.0601043775241006E-2</v>
      </c>
      <c r="E57" s="33">
        <v>9.9056836748059058E-3</v>
      </c>
      <c r="F57" s="33">
        <v>-3.4230319960768373E-3</v>
      </c>
      <c r="G57" s="33">
        <v>-3.4230319960768356E-3</v>
      </c>
      <c r="H57" s="33">
        <v>-1.7481443071508122E-2</v>
      </c>
      <c r="I57" s="33">
        <v>-1.0601043775241011E-2</v>
      </c>
      <c r="J57" s="33">
        <v>3.280405662906944E-2</v>
      </c>
      <c r="K57" s="33">
        <v>1.7208295523515625E-2</v>
      </c>
      <c r="L57" s="33">
        <v>-1.748144307150807E-2</v>
      </c>
      <c r="M57" s="33">
        <v>2.4828760420959193E-2</v>
      </c>
      <c r="N57" s="33">
        <v>-2.4094906236014322E-2</v>
      </c>
      <c r="O57" s="33">
        <v>0.99999999999999989</v>
      </c>
      <c r="P57" s="33">
        <v>-0.25118627500043184</v>
      </c>
      <c r="Q57" s="33">
        <v>-0.25430977649342046</v>
      </c>
      <c r="R57" s="33">
        <v>-0.25430977649342046</v>
      </c>
      <c r="S57" s="33">
        <v>-0.58570917585270266</v>
      </c>
      <c r="T57" s="33">
        <v>-9.7973676806242985E-2</v>
      </c>
      <c r="U57" s="33">
        <v>-3.5857232321018645E-2</v>
      </c>
    </row>
    <row r="58" spans="1:21" ht="15" customHeight="1" x14ac:dyDescent="0.35">
      <c r="A58" s="17" t="s">
        <v>275</v>
      </c>
      <c r="B58" s="33">
        <v>8.1013602924763173E-2</v>
      </c>
      <c r="C58" s="33">
        <v>6.1851445780040587E-3</v>
      </c>
      <c r="D58" s="33">
        <v>3.1141174425141537E-2</v>
      </c>
      <c r="E58" s="33">
        <v>-1.8202657794236854E-2</v>
      </c>
      <c r="F58" s="33">
        <v>3.9078757928918052E-2</v>
      </c>
      <c r="G58" s="33">
        <v>2.3157782476396094E-3</v>
      </c>
      <c r="H58" s="33">
        <v>-1.1641900075133551E-2</v>
      </c>
      <c r="I58" s="33">
        <v>3.114117442514152E-2</v>
      </c>
      <c r="J58" s="33">
        <v>2.3157782476396155E-3</v>
      </c>
      <c r="K58" s="33">
        <v>-1.1641900075133575E-2</v>
      </c>
      <c r="L58" s="33">
        <v>-4.6844788397561829E-2</v>
      </c>
      <c r="M58" s="33">
        <v>-4.8127269566127827E-3</v>
      </c>
      <c r="N58" s="33">
        <v>1.6300887576928588E-2</v>
      </c>
      <c r="O58" s="33">
        <v>-0.25118627500043184</v>
      </c>
      <c r="P58" s="33">
        <v>1.0000000000000002</v>
      </c>
      <c r="Q58" s="33">
        <v>-0.24814583349273378</v>
      </c>
      <c r="R58" s="33">
        <v>-0.24814583349273384</v>
      </c>
      <c r="S58" s="33">
        <v>0.16357697839847377</v>
      </c>
      <c r="T58" s="33">
        <v>4.9310579686770731E-2</v>
      </c>
      <c r="U58" s="33">
        <v>5.6688131940194862E-2</v>
      </c>
    </row>
    <row r="59" spans="1:21" ht="15" customHeight="1" x14ac:dyDescent="0.35">
      <c r="A59" s="17" t="s">
        <v>276</v>
      </c>
      <c r="B59" s="33">
        <v>-0.22290994860205235</v>
      </c>
      <c r="C59" s="33">
        <v>-2.9621542321408637E-2</v>
      </c>
      <c r="D59" s="33">
        <v>-7.727552683669244E-3</v>
      </c>
      <c r="E59" s="33">
        <v>1.3078824714716076E-2</v>
      </c>
      <c r="F59" s="33">
        <v>-5.7465072344487726E-4</v>
      </c>
      <c r="G59" s="33">
        <v>-5.7465072344486728E-4</v>
      </c>
      <c r="H59" s="33">
        <v>-1.4582011130657931E-2</v>
      </c>
      <c r="I59" s="33">
        <v>-7.7275526836692735E-3</v>
      </c>
      <c r="J59" s="33">
        <v>-5.7465072344487606E-4</v>
      </c>
      <c r="K59" s="33">
        <v>2.0359789125824226E-2</v>
      </c>
      <c r="L59" s="33">
        <v>2.035978912582417E-2</v>
      </c>
      <c r="M59" s="33">
        <v>-7.7275526836693186E-3</v>
      </c>
      <c r="N59" s="33">
        <v>-2.1168819383612567E-2</v>
      </c>
      <c r="O59" s="33">
        <v>-0.25430977649342051</v>
      </c>
      <c r="P59" s="33">
        <v>-0.24814583349273378</v>
      </c>
      <c r="Q59" s="33">
        <v>1.0000000000000002</v>
      </c>
      <c r="R59" s="33">
        <v>-0.25123152709359636</v>
      </c>
      <c r="S59" s="33">
        <v>0.13261873761105611</v>
      </c>
      <c r="T59" s="33">
        <v>-5.013863664859558E-2</v>
      </c>
      <c r="U59" s="33">
        <v>5.835872420378109E-2</v>
      </c>
    </row>
    <row r="60" spans="1:21" ht="15" customHeight="1" x14ac:dyDescent="0.35">
      <c r="A60" s="17" t="s">
        <v>277</v>
      </c>
      <c r="B60" s="33">
        <v>-0.24129837739565901</v>
      </c>
      <c r="C60" s="33">
        <v>-1.3892976621105646E-2</v>
      </c>
      <c r="D60" s="33">
        <v>-7.7275526836692483E-3</v>
      </c>
      <c r="E60" s="33">
        <v>-2.1168819383612588E-2</v>
      </c>
      <c r="F60" s="33">
        <v>-3.7064971662193746E-2</v>
      </c>
      <c r="G60" s="33">
        <v>-5.7465072344486685E-4</v>
      </c>
      <c r="H60" s="33">
        <v>2.0359789125824174E-2</v>
      </c>
      <c r="I60" s="33">
        <v>2.7959690619094198E-2</v>
      </c>
      <c r="J60" s="33">
        <v>-5.7465072344486999E-4</v>
      </c>
      <c r="K60" s="33">
        <v>-1.4582011130657791E-2</v>
      </c>
      <c r="L60" s="33">
        <v>2.0359789125824042E-2</v>
      </c>
      <c r="M60" s="33">
        <v>-7.7275526836693255E-3</v>
      </c>
      <c r="N60" s="33">
        <v>1.3078824714716034E-2</v>
      </c>
      <c r="O60" s="33">
        <v>-0.25430977649342046</v>
      </c>
      <c r="P60" s="33">
        <v>-0.24814583349273384</v>
      </c>
      <c r="Q60" s="33">
        <v>-0.25123152709359636</v>
      </c>
      <c r="R60" s="33">
        <v>1.0000000000000002</v>
      </c>
      <c r="S60" s="33">
        <v>0.13261873761105614</v>
      </c>
      <c r="T60" s="33">
        <v>3.9792568768698156E-4</v>
      </c>
      <c r="U60" s="33">
        <v>-8.6492571702672619E-2</v>
      </c>
    </row>
    <row r="61" spans="1:21" ht="15" customHeight="1" x14ac:dyDescent="0.35">
      <c r="A61" s="17" t="s">
        <v>301</v>
      </c>
      <c r="B61" s="33">
        <v>-0.64806541765064007</v>
      </c>
      <c r="C61" s="33">
        <v>4.497301130514289E-2</v>
      </c>
      <c r="D61" s="33">
        <v>3.2119854403519416E-3</v>
      </c>
      <c r="E61" s="33">
        <v>-3.3906577374059971E-2</v>
      </c>
      <c r="F61" s="33">
        <v>-1.5455366742303444E-3</v>
      </c>
      <c r="G61" s="33">
        <v>-1.5455366742303277E-3</v>
      </c>
      <c r="H61" s="33">
        <v>-3.9218662862484009E-2</v>
      </c>
      <c r="I61" s="33">
        <v>3.211985440351956E-3</v>
      </c>
      <c r="J61" s="33">
        <v>-1.5455366742303444E-3</v>
      </c>
      <c r="K61" s="33">
        <v>-3.9218662862484051E-2</v>
      </c>
      <c r="L61" s="33">
        <v>5.4758133053279666E-2</v>
      </c>
      <c r="M61" s="33">
        <v>5.1202826725610634E-2</v>
      </c>
      <c r="N61" s="33">
        <v>1.21483459040749E-2</v>
      </c>
      <c r="O61" s="33">
        <v>-0.58570917585270266</v>
      </c>
      <c r="P61" s="33">
        <v>0.16357697839847374</v>
      </c>
      <c r="Q61" s="33">
        <v>0.13261873761105608</v>
      </c>
      <c r="R61" s="33">
        <v>0.13261873761105616</v>
      </c>
      <c r="S61" s="33">
        <v>1</v>
      </c>
      <c r="T61" s="33">
        <v>0.20494914503595882</v>
      </c>
      <c r="U61" s="33">
        <v>5.9561920986980606E-2</v>
      </c>
    </row>
    <row r="62" spans="1:21" ht="15" customHeight="1" x14ac:dyDescent="0.35">
      <c r="A62" s="17" t="s">
        <v>313</v>
      </c>
      <c r="B62" s="33">
        <v>-0.345472617470859</v>
      </c>
      <c r="C62" s="33">
        <v>0.11410603675278159</v>
      </c>
      <c r="D62" s="33">
        <v>6.0776652173160813E-2</v>
      </c>
      <c r="E62" s="33">
        <v>-6.6657100824695772E-3</v>
      </c>
      <c r="F62" s="33">
        <v>5.9185068685702918E-2</v>
      </c>
      <c r="G62" s="33">
        <v>-1.5979968545139753E-2</v>
      </c>
      <c r="H62" s="33">
        <v>-9.6344886848504854E-3</v>
      </c>
      <c r="I62" s="33">
        <v>6.0776652173160667E-2</v>
      </c>
      <c r="J62" s="33">
        <v>5.9185068685702932E-2</v>
      </c>
      <c r="K62" s="33">
        <v>-8.1609786506968013E-2</v>
      </c>
      <c r="L62" s="33">
        <v>-8.1609786506968027E-2</v>
      </c>
      <c r="M62" s="33">
        <v>-8.6244963560008533E-2</v>
      </c>
      <c r="N62" s="33">
        <v>-6.6657100824695894E-3</v>
      </c>
      <c r="O62" s="33">
        <v>-9.7973676806242999E-2</v>
      </c>
      <c r="P62" s="33">
        <v>4.9310579686770724E-2</v>
      </c>
      <c r="Q62" s="33">
        <v>-5.013863664859558E-2</v>
      </c>
      <c r="R62" s="33">
        <v>3.9792568768698156E-4</v>
      </c>
      <c r="S62" s="33">
        <v>0.20494914503595882</v>
      </c>
      <c r="T62" s="33">
        <v>1</v>
      </c>
      <c r="U62" s="33">
        <v>0.15584349508769182</v>
      </c>
    </row>
    <row r="63" spans="1:21" ht="15" customHeight="1" x14ac:dyDescent="0.35">
      <c r="A63" s="17" t="s">
        <v>325</v>
      </c>
      <c r="B63" s="33">
        <v>-0.22158964201883408</v>
      </c>
      <c r="C63" s="33">
        <v>-4.1704907950807307E-2</v>
      </c>
      <c r="D63" s="33">
        <v>6.3874114524005848E-2</v>
      </c>
      <c r="E63" s="33">
        <v>-2.6535703913786751E-4</v>
      </c>
      <c r="F63" s="33">
        <v>-8.1427308873661342E-2</v>
      </c>
      <c r="G63" s="33">
        <v>6.2201416500712571E-2</v>
      </c>
      <c r="H63" s="33">
        <v>-3.2488258631449274E-3</v>
      </c>
      <c r="I63" s="33">
        <v>-7.6593635165150734E-2</v>
      </c>
      <c r="J63" s="33">
        <v>6.2201416500713008E-2</v>
      </c>
      <c r="K63" s="33">
        <v>6.5517988240088559E-2</v>
      </c>
      <c r="L63" s="33">
        <v>-7.2015639966378137E-2</v>
      </c>
      <c r="M63" s="33">
        <v>-7.6593635165150206E-2</v>
      </c>
      <c r="N63" s="33">
        <v>6.7135330901849366E-2</v>
      </c>
      <c r="O63" s="33">
        <v>-3.5857232321018652E-2</v>
      </c>
      <c r="P63" s="33">
        <v>5.6688131940194862E-2</v>
      </c>
      <c r="Q63" s="33">
        <v>5.835872420378109E-2</v>
      </c>
      <c r="R63" s="33">
        <v>-8.6492571702672619E-2</v>
      </c>
      <c r="S63" s="33">
        <v>5.9561920986980606E-2</v>
      </c>
      <c r="T63" s="33">
        <v>0.15584349508769182</v>
      </c>
      <c r="U63" s="33">
        <v>0.99999999999999989</v>
      </c>
    </row>
    <row r="64" spans="1:21" ht="15" customHeight="1" x14ac:dyDescent="0.35"/>
    <row r="65" spans="1:2" ht="15" customHeight="1" x14ac:dyDescent="0.35">
      <c r="A65" s="18"/>
      <c r="B65" s="16"/>
    </row>
    <row r="66" spans="1:2" ht="15" customHeight="1" thickBot="1" x14ac:dyDescent="0.4">
      <c r="A66" s="47" t="s">
        <v>92</v>
      </c>
      <c r="B66" s="46"/>
    </row>
    <row r="67" spans="1:2" ht="15" customHeight="1" thickTop="1" x14ac:dyDescent="0.35">
      <c r="A67" s="17"/>
      <c r="B67" s="5" t="s">
        <v>338</v>
      </c>
    </row>
    <row r="68" spans="1:2" ht="15" customHeight="1" x14ac:dyDescent="0.35"/>
    <row r="69" spans="1:2" ht="15" customHeight="1" x14ac:dyDescent="0.35"/>
    <row r="70" spans="1:2" ht="15" customHeight="1" x14ac:dyDescent="0.35"/>
    <row r="71" spans="1:2" ht="15" customHeight="1" x14ac:dyDescent="0.35"/>
    <row r="72" spans="1:2" ht="15" customHeight="1" x14ac:dyDescent="0.35"/>
    <row r="73" spans="1:2" ht="15" customHeight="1" x14ac:dyDescent="0.35"/>
    <row r="74" spans="1:2" ht="15" customHeight="1" x14ac:dyDescent="0.35"/>
    <row r="75" spans="1:2" ht="15" customHeight="1" x14ac:dyDescent="0.35"/>
    <row r="76" spans="1:2" ht="15" customHeight="1" x14ac:dyDescent="0.35"/>
    <row r="77" spans="1:2" ht="15" customHeight="1" x14ac:dyDescent="0.35"/>
    <row r="78" spans="1:2" ht="15" customHeight="1" x14ac:dyDescent="0.35"/>
    <row r="79" spans="1:2" ht="15" customHeight="1" x14ac:dyDescent="0.35"/>
    <row r="80" spans="1:2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spans="1:5" ht="15" customHeight="1" x14ac:dyDescent="0.35"/>
    <row r="98" spans="1:5" ht="15" customHeight="1" x14ac:dyDescent="0.35"/>
    <row r="99" spans="1:5" ht="15" customHeight="1" x14ac:dyDescent="0.35"/>
    <row r="100" spans="1:5" ht="15" customHeight="1" x14ac:dyDescent="0.35"/>
    <row r="101" spans="1:5" ht="15" customHeight="1" x14ac:dyDescent="0.35"/>
    <row r="102" spans="1:5" ht="15" customHeight="1" x14ac:dyDescent="0.35"/>
    <row r="103" spans="1:5" ht="15" customHeight="1" x14ac:dyDescent="0.35"/>
    <row r="104" spans="1:5" ht="15" customHeight="1" x14ac:dyDescent="0.35"/>
    <row r="105" spans="1:5" ht="15" customHeight="1" x14ac:dyDescent="0.35"/>
    <row r="106" spans="1:5" ht="15" customHeight="1" x14ac:dyDescent="0.35"/>
    <row r="107" spans="1:5" ht="15" customHeight="1" x14ac:dyDescent="0.35"/>
    <row r="108" spans="1:5" ht="15" customHeight="1" x14ac:dyDescent="0.35">
      <c r="A108" s="18"/>
      <c r="B108" s="48" t="s">
        <v>96</v>
      </c>
      <c r="C108" s="49"/>
      <c r="D108" s="49"/>
      <c r="E108" s="49"/>
    </row>
    <row r="109" spans="1:5" ht="15" customHeight="1" thickBot="1" x14ac:dyDescent="0.4">
      <c r="A109" s="47" t="s">
        <v>93</v>
      </c>
      <c r="B109" s="46" t="s">
        <v>97</v>
      </c>
      <c r="C109" s="46" t="s">
        <v>98</v>
      </c>
      <c r="D109" s="46" t="s">
        <v>99</v>
      </c>
      <c r="E109" s="46" t="s">
        <v>100</v>
      </c>
    </row>
    <row r="110" spans="1:5" ht="15" customHeight="1" thickTop="1" x14ac:dyDescent="0.35">
      <c r="A110" s="17" t="s">
        <v>101</v>
      </c>
      <c r="B110" s="15">
        <v>-402.71356401895082</v>
      </c>
      <c r="C110" s="15">
        <v>-300.29063781999997</v>
      </c>
      <c r="D110" s="15">
        <v>-351.50210091947542</v>
      </c>
      <c r="E110" s="15">
        <v>4</v>
      </c>
    </row>
    <row r="111" spans="1:5" ht="15" customHeight="1" x14ac:dyDescent="0.35">
      <c r="A111" s="17" t="s">
        <v>102</v>
      </c>
      <c r="B111" s="15">
        <v>-300.29063781999997</v>
      </c>
      <c r="C111" s="15">
        <v>-197.86771161999999</v>
      </c>
      <c r="D111" s="15">
        <v>-249.07917471999997</v>
      </c>
      <c r="E111" s="15">
        <v>12</v>
      </c>
    </row>
    <row r="112" spans="1:5" ht="15" customHeight="1" x14ac:dyDescent="0.35">
      <c r="A112" s="17" t="s">
        <v>103</v>
      </c>
      <c r="B112" s="15">
        <v>-197.86771161999999</v>
      </c>
      <c r="C112" s="15">
        <v>-95.444785429999996</v>
      </c>
      <c r="D112" s="15">
        <v>-146.656248525</v>
      </c>
      <c r="E112" s="15">
        <v>46</v>
      </c>
    </row>
    <row r="113" spans="1:5" ht="15" customHeight="1" x14ac:dyDescent="0.35">
      <c r="A113" s="17" t="s">
        <v>104</v>
      </c>
      <c r="B113" s="15">
        <v>-95.444785429999996</v>
      </c>
      <c r="C113" s="15">
        <v>6.9781407700000004</v>
      </c>
      <c r="D113" s="15">
        <v>-44.23332233</v>
      </c>
      <c r="E113" s="15">
        <v>74</v>
      </c>
    </row>
    <row r="114" spans="1:5" ht="15" customHeight="1" x14ac:dyDescent="0.35">
      <c r="A114" s="17" t="s">
        <v>105</v>
      </c>
      <c r="B114" s="15">
        <v>6.9781407700000004</v>
      </c>
      <c r="C114" s="15">
        <v>109.40106697</v>
      </c>
      <c r="D114" s="15">
        <v>58.189603869999999</v>
      </c>
      <c r="E114" s="15">
        <v>70</v>
      </c>
    </row>
    <row r="115" spans="1:5" ht="15" customHeight="1" x14ac:dyDescent="0.35">
      <c r="A115" s="17" t="s">
        <v>106</v>
      </c>
      <c r="B115" s="15">
        <v>109.40106697</v>
      </c>
      <c r="C115" s="15">
        <v>211.82399315999999</v>
      </c>
      <c r="D115" s="15">
        <v>160.61253006499999</v>
      </c>
      <c r="E115" s="15">
        <v>29</v>
      </c>
    </row>
    <row r="116" spans="1:5" ht="15" customHeight="1" x14ac:dyDescent="0.35">
      <c r="A116" s="17" t="s">
        <v>107</v>
      </c>
      <c r="B116" s="15">
        <v>211.82399315999999</v>
      </c>
      <c r="C116" s="15">
        <v>314.24691935999999</v>
      </c>
      <c r="D116" s="15">
        <v>263.03545625999999</v>
      </c>
      <c r="E116" s="15">
        <v>12</v>
      </c>
    </row>
    <row r="117" spans="1:5" ht="15" customHeight="1" x14ac:dyDescent="0.35">
      <c r="A117" s="17" t="s">
        <v>108</v>
      </c>
      <c r="B117" s="15">
        <v>314.24691935999999</v>
      </c>
      <c r="C117" s="15">
        <v>416.66984556</v>
      </c>
      <c r="D117" s="15">
        <v>365.45838246</v>
      </c>
      <c r="E117" s="15">
        <v>4</v>
      </c>
    </row>
    <row r="118" spans="1:5" ht="15" customHeight="1" x14ac:dyDescent="0.35">
      <c r="A118" s="17" t="s">
        <v>109</v>
      </c>
      <c r="B118" s="15">
        <v>416.66984556</v>
      </c>
      <c r="C118" s="15">
        <v>519.09277175597094</v>
      </c>
      <c r="D118" s="15">
        <v>467.88130865798547</v>
      </c>
      <c r="E118" s="15">
        <v>3</v>
      </c>
    </row>
    <row r="119" spans="1:5" ht="15" customHeight="1" x14ac:dyDescent="0.35"/>
    <row r="120" spans="1:5" ht="15" customHeight="1" x14ac:dyDescent="0.35">
      <c r="A120" s="18"/>
      <c r="B120" s="16"/>
      <c r="C120" s="16"/>
      <c r="D120" s="16"/>
    </row>
    <row r="121" spans="1:5" ht="15" customHeight="1" thickBot="1" x14ac:dyDescent="0.4">
      <c r="A121" s="47" t="s">
        <v>94</v>
      </c>
      <c r="B121" s="46" t="s">
        <v>6</v>
      </c>
      <c r="C121" s="46" t="s">
        <v>95</v>
      </c>
      <c r="D121" s="46" t="s">
        <v>96</v>
      </c>
    </row>
    <row r="122" spans="1:5" ht="15" customHeight="1" thickTop="1" x14ac:dyDescent="0.35">
      <c r="A122" s="17">
        <v>1</v>
      </c>
      <c r="B122" s="15">
        <v>1825</v>
      </c>
      <c r="C122" s="15">
        <v>1837.1184777977098</v>
      </c>
      <c r="D122" s="15">
        <v>-12.118477797709829</v>
      </c>
    </row>
    <row r="123" spans="1:5" ht="15" customHeight="1" x14ac:dyDescent="0.35">
      <c r="A123" s="17">
        <v>2</v>
      </c>
      <c r="B123" s="15">
        <v>1257</v>
      </c>
      <c r="C123" s="15">
        <v>832.40275375787792</v>
      </c>
      <c r="D123" s="15">
        <v>424.59724624212208</v>
      </c>
    </row>
    <row r="124" spans="1:5" ht="15" customHeight="1" x14ac:dyDescent="0.35">
      <c r="A124" s="17">
        <v>3</v>
      </c>
      <c r="B124" s="15">
        <v>969</v>
      </c>
      <c r="C124" s="15">
        <v>846.33212977510561</v>
      </c>
      <c r="D124" s="15">
        <v>122.66787022489439</v>
      </c>
    </row>
    <row r="125" spans="1:5" ht="15" customHeight="1" x14ac:dyDescent="0.35">
      <c r="A125" s="17">
        <v>4</v>
      </c>
      <c r="B125" s="15">
        <v>1672</v>
      </c>
      <c r="C125" s="15">
        <v>1649.6955322558124</v>
      </c>
      <c r="D125" s="15">
        <v>22.304467744187605</v>
      </c>
    </row>
    <row r="126" spans="1:5" ht="15" customHeight="1" x14ac:dyDescent="0.35">
      <c r="A126" s="17">
        <v>5</v>
      </c>
      <c r="B126" s="15">
        <v>1098</v>
      </c>
      <c r="C126" s="15">
        <v>1043.746857704615</v>
      </c>
      <c r="D126" s="15">
        <v>54.253142295385032</v>
      </c>
    </row>
    <row r="127" spans="1:5" ht="15" customHeight="1" x14ac:dyDescent="0.35">
      <c r="A127" s="17">
        <v>6</v>
      </c>
      <c r="B127" s="15">
        <v>691</v>
      </c>
      <c r="C127" s="15">
        <v>784.66560704888479</v>
      </c>
      <c r="D127" s="15">
        <v>-93.665607048884794</v>
      </c>
    </row>
    <row r="128" spans="1:5" ht="15" customHeight="1" x14ac:dyDescent="0.35">
      <c r="A128" s="17">
        <v>7</v>
      </c>
      <c r="B128" s="15">
        <v>672</v>
      </c>
      <c r="C128" s="15">
        <v>770.78007767051031</v>
      </c>
      <c r="D128" s="15">
        <v>-98.780077670510309</v>
      </c>
    </row>
    <row r="129" spans="1:4" ht="15" customHeight="1" x14ac:dyDescent="0.35">
      <c r="A129" s="17">
        <v>8</v>
      </c>
      <c r="B129" s="15">
        <v>754</v>
      </c>
      <c r="C129" s="15">
        <v>784.70945368773801</v>
      </c>
      <c r="D129" s="15">
        <v>-30.709453687738005</v>
      </c>
    </row>
    <row r="130" spans="1:4" ht="15" customHeight="1" x14ac:dyDescent="0.35">
      <c r="A130" s="17">
        <v>9</v>
      </c>
      <c r="B130" s="15">
        <v>972</v>
      </c>
      <c r="C130" s="15">
        <v>1221.7119727912163</v>
      </c>
      <c r="D130" s="15">
        <v>-249.71197279121634</v>
      </c>
    </row>
    <row r="131" spans="1:4" ht="15" customHeight="1" x14ac:dyDescent="0.35">
      <c r="A131" s="17">
        <v>10</v>
      </c>
      <c r="B131" s="15">
        <v>816</v>
      </c>
      <c r="C131" s="15">
        <v>982.12418161724736</v>
      </c>
      <c r="D131" s="15">
        <v>-166.12418161724736</v>
      </c>
    </row>
    <row r="132" spans="1:4" ht="15" customHeight="1" x14ac:dyDescent="0.35">
      <c r="A132" s="17">
        <v>11</v>
      </c>
      <c r="B132" s="15">
        <v>717</v>
      </c>
      <c r="C132" s="15">
        <v>723.04293096151741</v>
      </c>
      <c r="D132" s="15">
        <v>-6.0429309615174134</v>
      </c>
    </row>
    <row r="133" spans="1:4" ht="15" customHeight="1" x14ac:dyDescent="0.35">
      <c r="A133" s="17">
        <v>12</v>
      </c>
      <c r="B133" s="15">
        <v>728</v>
      </c>
      <c r="C133" s="15">
        <v>709.15740158314293</v>
      </c>
      <c r="D133" s="15">
        <v>18.842598416857072</v>
      </c>
    </row>
    <row r="134" spans="1:4" ht="15" customHeight="1" x14ac:dyDescent="0.35">
      <c r="A134" s="17">
        <v>13</v>
      </c>
      <c r="B134" s="15">
        <v>711</v>
      </c>
      <c r="C134" s="15">
        <v>723.08677760037062</v>
      </c>
      <c r="D134" s="15">
        <v>-12.086777600370624</v>
      </c>
    </row>
    <row r="135" spans="1:4" ht="15" customHeight="1" x14ac:dyDescent="0.35">
      <c r="A135" s="17">
        <v>14</v>
      </c>
      <c r="B135" s="15">
        <v>1545</v>
      </c>
      <c r="C135" s="15">
        <v>1526.4501800810776</v>
      </c>
      <c r="D135" s="15">
        <v>18.549819918922367</v>
      </c>
    </row>
    <row r="136" spans="1:4" ht="15" customHeight="1" x14ac:dyDescent="0.35">
      <c r="A136" s="17">
        <v>15</v>
      </c>
      <c r="B136" s="15">
        <v>873</v>
      </c>
      <c r="C136" s="15">
        <v>920.50150552987998</v>
      </c>
      <c r="D136" s="15">
        <v>-47.501505529879978</v>
      </c>
    </row>
    <row r="137" spans="1:4" ht="15" customHeight="1" x14ac:dyDescent="0.35">
      <c r="A137" s="17">
        <v>16</v>
      </c>
      <c r="B137" s="15">
        <v>713</v>
      </c>
      <c r="C137" s="15">
        <v>661.4202548741498</v>
      </c>
      <c r="D137" s="15">
        <v>51.579745125850195</v>
      </c>
    </row>
    <row r="138" spans="1:4" ht="15" customHeight="1" x14ac:dyDescent="0.35">
      <c r="A138" s="17">
        <v>17</v>
      </c>
      <c r="B138" s="15">
        <v>626</v>
      </c>
      <c r="C138" s="15">
        <v>647.53472549577532</v>
      </c>
      <c r="D138" s="15">
        <v>-21.534725495775319</v>
      </c>
    </row>
    <row r="139" spans="1:4" ht="15" customHeight="1" x14ac:dyDescent="0.35">
      <c r="A139" s="17">
        <v>18</v>
      </c>
      <c r="B139" s="15">
        <v>653</v>
      </c>
      <c r="C139" s="15">
        <v>661.46410151300302</v>
      </c>
      <c r="D139" s="15">
        <v>-8.4641015130030155</v>
      </c>
    </row>
    <row r="140" spans="1:4" ht="15" customHeight="1" x14ac:dyDescent="0.35">
      <c r="A140" s="17">
        <v>19</v>
      </c>
      <c r="B140" s="15">
        <v>1080</v>
      </c>
      <c r="C140" s="15">
        <v>1098.4666206164811</v>
      </c>
      <c r="D140" s="15">
        <v>-18.466620616481123</v>
      </c>
    </row>
    <row r="141" spans="1:4" ht="15" customHeight="1" x14ac:dyDescent="0.35">
      <c r="A141" s="17">
        <v>20</v>
      </c>
      <c r="B141" s="15">
        <v>650</v>
      </c>
      <c r="C141" s="15">
        <v>858.87882944251237</v>
      </c>
      <c r="D141" s="15">
        <v>-208.87882944251237</v>
      </c>
    </row>
    <row r="142" spans="1:4" ht="15" customHeight="1" x14ac:dyDescent="0.35">
      <c r="A142" s="17">
        <v>21</v>
      </c>
      <c r="B142" s="15">
        <v>644</v>
      </c>
      <c r="C142" s="15">
        <v>599.79757878678242</v>
      </c>
      <c r="D142" s="15">
        <v>44.202421213217576</v>
      </c>
    </row>
    <row r="143" spans="1:4" ht="15" customHeight="1" x14ac:dyDescent="0.35">
      <c r="A143" s="17">
        <v>22</v>
      </c>
      <c r="B143" s="15">
        <v>803</v>
      </c>
      <c r="C143" s="15">
        <v>585.91204940840794</v>
      </c>
      <c r="D143" s="15">
        <v>217.08795059159206</v>
      </c>
    </row>
    <row r="144" spans="1:4" ht="15" customHeight="1" x14ac:dyDescent="0.35">
      <c r="A144" s="17">
        <v>23</v>
      </c>
      <c r="B144" s="15">
        <v>1282</v>
      </c>
      <c r="C144" s="15">
        <v>1242.3793471511954</v>
      </c>
      <c r="D144" s="15">
        <v>39.620652848804639</v>
      </c>
    </row>
    <row r="145" spans="1:4" ht="15" customHeight="1" x14ac:dyDescent="0.35">
      <c r="A145" s="17">
        <v>24</v>
      </c>
      <c r="B145" s="15">
        <v>2043</v>
      </c>
      <c r="C145" s="15">
        <v>1696.615217212634</v>
      </c>
      <c r="D145" s="15">
        <v>346.38478278736602</v>
      </c>
    </row>
    <row r="146" spans="1:4" ht="15" customHeight="1" x14ac:dyDescent="0.35">
      <c r="A146" s="17">
        <v>25</v>
      </c>
      <c r="B146" s="15">
        <v>1146</v>
      </c>
      <c r="C146" s="15">
        <v>1090.6665426614363</v>
      </c>
      <c r="D146" s="15">
        <v>55.333457338563676</v>
      </c>
    </row>
    <row r="147" spans="1:4" ht="15" customHeight="1" x14ac:dyDescent="0.35">
      <c r="A147" s="17">
        <v>26</v>
      </c>
      <c r="B147" s="15">
        <v>740</v>
      </c>
      <c r="C147" s="15">
        <v>831.58529200570638</v>
      </c>
      <c r="D147" s="15">
        <v>-91.585292005706378</v>
      </c>
    </row>
    <row r="148" spans="1:4" ht="15" customHeight="1" x14ac:dyDescent="0.35">
      <c r="A148" s="17">
        <v>27</v>
      </c>
      <c r="B148" s="15">
        <v>698</v>
      </c>
      <c r="C148" s="15">
        <v>817.69976262733189</v>
      </c>
      <c r="D148" s="15">
        <v>-119.69976262733189</v>
      </c>
    </row>
    <row r="149" spans="1:4" ht="15" customHeight="1" x14ac:dyDescent="0.35">
      <c r="A149" s="17">
        <v>28</v>
      </c>
      <c r="B149" s="15">
        <v>695</v>
      </c>
      <c r="C149" s="15">
        <v>831.62913864455959</v>
      </c>
      <c r="D149" s="15">
        <v>-136.62913864455959</v>
      </c>
    </row>
    <row r="150" spans="1:4" ht="15" customHeight="1" x14ac:dyDescent="0.35">
      <c r="A150" s="17">
        <v>29</v>
      </c>
      <c r="B150" s="15">
        <v>1159</v>
      </c>
      <c r="C150" s="15">
        <v>1268.6316577480375</v>
      </c>
      <c r="D150" s="15">
        <v>-109.63165774803747</v>
      </c>
    </row>
    <row r="151" spans="1:4" ht="15" customHeight="1" x14ac:dyDescent="0.35">
      <c r="A151" s="17">
        <v>30</v>
      </c>
      <c r="B151" s="15">
        <v>881</v>
      </c>
      <c r="C151" s="15">
        <v>1029.0438665740685</v>
      </c>
      <c r="D151" s="15">
        <v>-148.04386657406849</v>
      </c>
    </row>
    <row r="152" spans="1:4" ht="15" customHeight="1" x14ac:dyDescent="0.35">
      <c r="A152" s="17">
        <v>31</v>
      </c>
      <c r="B152" s="15">
        <v>768</v>
      </c>
      <c r="C152" s="15">
        <v>769.96261591833854</v>
      </c>
      <c r="D152" s="15">
        <v>-1.9626159183385425</v>
      </c>
    </row>
    <row r="153" spans="1:4" ht="15" customHeight="1" x14ac:dyDescent="0.35">
      <c r="A153" s="17">
        <v>32</v>
      </c>
      <c r="B153" s="15">
        <v>654</v>
      </c>
      <c r="C153" s="15">
        <v>756.07708653996406</v>
      </c>
      <c r="D153" s="15">
        <v>-102.07708653996406</v>
      </c>
    </row>
    <row r="154" spans="1:4" ht="15" customHeight="1" x14ac:dyDescent="0.35">
      <c r="A154" s="17">
        <v>33</v>
      </c>
      <c r="B154" s="15">
        <v>858</v>
      </c>
      <c r="C154" s="15">
        <v>770.00646255719175</v>
      </c>
      <c r="D154" s="15">
        <v>87.993537442808247</v>
      </c>
    </row>
    <row r="155" spans="1:4" ht="15" customHeight="1" x14ac:dyDescent="0.35">
      <c r="A155" s="17">
        <v>34</v>
      </c>
      <c r="B155" s="15">
        <v>1647</v>
      </c>
      <c r="C155" s="15">
        <v>1573.3698650378988</v>
      </c>
      <c r="D155" s="15">
        <v>73.630134962101238</v>
      </c>
    </row>
    <row r="156" spans="1:4" ht="15" customHeight="1" x14ac:dyDescent="0.35">
      <c r="A156" s="17">
        <v>35</v>
      </c>
      <c r="B156" s="15">
        <v>773</v>
      </c>
      <c r="C156" s="15">
        <v>967.42119048670111</v>
      </c>
      <c r="D156" s="15">
        <v>-194.42119048670111</v>
      </c>
    </row>
    <row r="157" spans="1:4" ht="15" customHeight="1" x14ac:dyDescent="0.35">
      <c r="A157" s="17">
        <v>36</v>
      </c>
      <c r="B157" s="15">
        <v>755</v>
      </c>
      <c r="C157" s="15">
        <v>708.33993983097116</v>
      </c>
      <c r="D157" s="15">
        <v>46.660060169028839</v>
      </c>
    </row>
    <row r="158" spans="1:4" ht="15" customHeight="1" x14ac:dyDescent="0.35">
      <c r="A158" s="17">
        <v>37</v>
      </c>
      <c r="B158" s="15">
        <v>788</v>
      </c>
      <c r="C158" s="15">
        <v>694.45441045259668</v>
      </c>
      <c r="D158" s="15">
        <v>93.545589547403324</v>
      </c>
    </row>
    <row r="159" spans="1:4" ht="15" customHeight="1" x14ac:dyDescent="0.35">
      <c r="A159" s="17">
        <v>38</v>
      </c>
      <c r="B159" s="15">
        <v>702</v>
      </c>
      <c r="C159" s="15">
        <v>708.38378646982437</v>
      </c>
      <c r="D159" s="15">
        <v>-6.383786469824372</v>
      </c>
    </row>
    <row r="160" spans="1:4" ht="15" customHeight="1" x14ac:dyDescent="0.35">
      <c r="A160" s="17">
        <v>39</v>
      </c>
      <c r="B160" s="15">
        <v>1037</v>
      </c>
      <c r="C160" s="15">
        <v>1145.3863055733027</v>
      </c>
      <c r="D160" s="15">
        <v>-108.38630557330271</v>
      </c>
    </row>
    <row r="161" spans="1:4" ht="15" customHeight="1" x14ac:dyDescent="0.35">
      <c r="A161" s="17">
        <v>40</v>
      </c>
      <c r="B161" s="15">
        <v>931</v>
      </c>
      <c r="C161" s="15">
        <v>905.79851439933373</v>
      </c>
      <c r="D161" s="15">
        <v>25.201485600666274</v>
      </c>
    </row>
    <row r="162" spans="1:4" ht="15" customHeight="1" x14ac:dyDescent="0.35">
      <c r="A162" s="17">
        <v>41</v>
      </c>
      <c r="B162" s="15">
        <v>719</v>
      </c>
      <c r="C162" s="15">
        <v>646.71726374360378</v>
      </c>
      <c r="D162" s="15">
        <v>72.28273625639622</v>
      </c>
    </row>
    <row r="163" spans="1:4" ht="15" customHeight="1" x14ac:dyDescent="0.35">
      <c r="A163" s="17">
        <v>42</v>
      </c>
      <c r="B163" s="15">
        <v>811</v>
      </c>
      <c r="C163" s="15">
        <v>632.83173436522929</v>
      </c>
      <c r="D163" s="15">
        <v>178.16826563477071</v>
      </c>
    </row>
    <row r="164" spans="1:4" ht="15" customHeight="1" x14ac:dyDescent="0.35">
      <c r="A164" s="17">
        <v>43</v>
      </c>
      <c r="B164" s="15">
        <v>1383</v>
      </c>
      <c r="C164" s="15">
        <v>1292.3787491664286</v>
      </c>
      <c r="D164" s="15">
        <v>90.621250833571366</v>
      </c>
    </row>
    <row r="165" spans="1:4" ht="15" customHeight="1" x14ac:dyDescent="0.35">
      <c r="A165" s="17">
        <v>44</v>
      </c>
      <c r="B165" s="15">
        <v>2022</v>
      </c>
      <c r="C165" s="15">
        <v>1746.6146192278675</v>
      </c>
      <c r="D165" s="15">
        <v>275.38538077213252</v>
      </c>
    </row>
    <row r="166" spans="1:4" ht="15" customHeight="1" x14ac:dyDescent="0.35">
      <c r="A166" s="17">
        <v>45</v>
      </c>
      <c r="B166" s="15">
        <v>1130</v>
      </c>
      <c r="C166" s="15">
        <v>1140.6659446766698</v>
      </c>
      <c r="D166" s="15">
        <v>-10.665944676669824</v>
      </c>
    </row>
    <row r="167" spans="1:4" ht="15" customHeight="1" x14ac:dyDescent="0.35">
      <c r="A167" s="17">
        <v>46</v>
      </c>
      <c r="B167" s="15">
        <v>798</v>
      </c>
      <c r="C167" s="15">
        <v>881.58469402093965</v>
      </c>
      <c r="D167" s="15">
        <v>-83.584694020939651</v>
      </c>
    </row>
    <row r="168" spans="1:4" ht="15" customHeight="1" x14ac:dyDescent="0.35">
      <c r="A168" s="17">
        <v>47</v>
      </c>
      <c r="B168" s="15">
        <v>885</v>
      </c>
      <c r="C168" s="15">
        <v>867.69916464256517</v>
      </c>
      <c r="D168" s="15">
        <v>17.300835357434835</v>
      </c>
    </row>
    <row r="169" spans="1:4" ht="15" customHeight="1" x14ac:dyDescent="0.35">
      <c r="A169" s="17">
        <v>48</v>
      </c>
      <c r="B169" s="15">
        <v>983</v>
      </c>
      <c r="C169" s="15">
        <v>881.62854065979286</v>
      </c>
      <c r="D169" s="15">
        <v>101.37145934020714</v>
      </c>
    </row>
    <row r="170" spans="1:4" ht="15" customHeight="1" x14ac:dyDescent="0.35">
      <c r="A170" s="17">
        <v>49</v>
      </c>
      <c r="B170" s="15">
        <v>1439</v>
      </c>
      <c r="C170" s="15">
        <v>1318.631059763271</v>
      </c>
      <c r="D170" s="15">
        <v>120.36894023672903</v>
      </c>
    </row>
    <row r="171" spans="1:4" ht="15" customHeight="1" x14ac:dyDescent="0.35">
      <c r="A171" s="17">
        <v>50</v>
      </c>
      <c r="B171" s="15">
        <v>973</v>
      </c>
      <c r="C171" s="15">
        <v>1079.043268589302</v>
      </c>
      <c r="D171" s="15">
        <v>-106.04326858930199</v>
      </c>
    </row>
    <row r="172" spans="1:4" ht="15" customHeight="1" x14ac:dyDescent="0.35">
      <c r="A172" s="17">
        <v>51</v>
      </c>
      <c r="B172" s="15">
        <v>725</v>
      </c>
      <c r="C172" s="15">
        <v>819.96201793357204</v>
      </c>
      <c r="D172" s="15">
        <v>-94.962017933572042</v>
      </c>
    </row>
    <row r="173" spans="1:4" ht="15" customHeight="1" x14ac:dyDescent="0.35">
      <c r="A173" s="17">
        <v>52</v>
      </c>
      <c r="B173" s="15">
        <v>681</v>
      </c>
      <c r="C173" s="15">
        <v>806.07648855519756</v>
      </c>
      <c r="D173" s="15">
        <v>-125.07648855519756</v>
      </c>
    </row>
    <row r="174" spans="1:4" ht="15" customHeight="1" x14ac:dyDescent="0.35">
      <c r="A174" s="17">
        <v>53</v>
      </c>
      <c r="B174" s="15">
        <v>840</v>
      </c>
      <c r="C174" s="15">
        <v>820.00586457242525</v>
      </c>
      <c r="D174" s="15">
        <v>19.994135427574747</v>
      </c>
    </row>
    <row r="175" spans="1:4" ht="15" customHeight="1" x14ac:dyDescent="0.35">
      <c r="A175" s="17">
        <v>54</v>
      </c>
      <c r="B175" s="15">
        <v>1491</v>
      </c>
      <c r="C175" s="15">
        <v>1623.3692670531323</v>
      </c>
      <c r="D175" s="15">
        <v>-132.36926705313226</v>
      </c>
    </row>
    <row r="176" spans="1:4" ht="15" customHeight="1" x14ac:dyDescent="0.35">
      <c r="A176" s="17">
        <v>55</v>
      </c>
      <c r="B176" s="15">
        <v>1050</v>
      </c>
      <c r="C176" s="15">
        <v>1017.4205925019346</v>
      </c>
      <c r="D176" s="15">
        <v>32.579407498065393</v>
      </c>
    </row>
    <row r="177" spans="1:4" ht="15" customHeight="1" x14ac:dyDescent="0.35">
      <c r="A177" s="17">
        <v>56</v>
      </c>
      <c r="B177" s="15">
        <v>779</v>
      </c>
      <c r="C177" s="15">
        <v>758.33934184620466</v>
      </c>
      <c r="D177" s="15">
        <v>20.660658153795339</v>
      </c>
    </row>
    <row r="178" spans="1:4" ht="15" customHeight="1" x14ac:dyDescent="0.35">
      <c r="A178" s="17">
        <v>57</v>
      </c>
      <c r="B178" s="15">
        <v>686</v>
      </c>
      <c r="C178" s="15">
        <v>744.45381246783018</v>
      </c>
      <c r="D178" s="15">
        <v>-58.453812467830176</v>
      </c>
    </row>
    <row r="179" spans="1:4" ht="15" customHeight="1" x14ac:dyDescent="0.35">
      <c r="A179" s="17">
        <v>58</v>
      </c>
      <c r="B179" s="15">
        <v>663</v>
      </c>
      <c r="C179" s="15">
        <v>758.38318848505787</v>
      </c>
      <c r="D179" s="15">
        <v>-95.383188485057872</v>
      </c>
    </row>
    <row r="180" spans="1:4" ht="15" customHeight="1" x14ac:dyDescent="0.35">
      <c r="A180" s="17">
        <v>59</v>
      </c>
      <c r="B180" s="15">
        <v>1059</v>
      </c>
      <c r="C180" s="15">
        <v>1195.3857075885362</v>
      </c>
      <c r="D180" s="15">
        <v>-136.38570758853621</v>
      </c>
    </row>
    <row r="181" spans="1:4" ht="15" customHeight="1" x14ac:dyDescent="0.35">
      <c r="A181" s="17">
        <v>60</v>
      </c>
      <c r="B181" s="15">
        <v>1005</v>
      </c>
      <c r="C181" s="15">
        <v>955.797916414567</v>
      </c>
      <c r="D181" s="15">
        <v>49.202083585433002</v>
      </c>
    </row>
    <row r="182" spans="1:4" ht="15" customHeight="1" x14ac:dyDescent="0.35">
      <c r="A182" s="17">
        <v>61</v>
      </c>
      <c r="B182" s="15">
        <v>704</v>
      </c>
      <c r="C182" s="15">
        <v>696.71666575883705</v>
      </c>
      <c r="D182" s="15">
        <v>7.2833342411629474</v>
      </c>
    </row>
    <row r="183" spans="1:4" ht="15" customHeight="1" x14ac:dyDescent="0.35">
      <c r="A183" s="17">
        <v>62</v>
      </c>
      <c r="B183" s="15">
        <v>732</v>
      </c>
      <c r="C183" s="15">
        <v>682.83113638046257</v>
      </c>
      <c r="D183" s="15">
        <v>49.168863619537433</v>
      </c>
    </row>
    <row r="184" spans="1:4" ht="15" customHeight="1" x14ac:dyDescent="0.35">
      <c r="A184" s="17">
        <v>63</v>
      </c>
      <c r="B184" s="15">
        <v>738</v>
      </c>
      <c r="C184" s="15">
        <v>696.76051239769026</v>
      </c>
      <c r="D184" s="15">
        <v>41.239487602309737</v>
      </c>
    </row>
    <row r="185" spans="1:4" ht="15" customHeight="1" x14ac:dyDescent="0.35">
      <c r="A185" s="17">
        <v>64</v>
      </c>
      <c r="B185" s="15">
        <v>1867</v>
      </c>
      <c r="C185" s="15">
        <v>1849.2514472976654</v>
      </c>
      <c r="D185" s="15">
        <v>17.748552702334564</v>
      </c>
    </row>
    <row r="186" spans="1:4" ht="15" customHeight="1" x14ac:dyDescent="0.35">
      <c r="A186" s="17">
        <v>65</v>
      </c>
      <c r="B186" s="15">
        <v>1486</v>
      </c>
      <c r="C186" s="15">
        <v>1195.0443094617322</v>
      </c>
      <c r="D186" s="15">
        <v>290.95569053826785</v>
      </c>
    </row>
    <row r="187" spans="1:4" ht="15" customHeight="1" x14ac:dyDescent="0.35">
      <c r="A187" s="17">
        <v>66</v>
      </c>
      <c r="B187" s="15">
        <v>1155</v>
      </c>
      <c r="C187" s="15">
        <v>935.96305880600244</v>
      </c>
      <c r="D187" s="15">
        <v>219.03694119399756</v>
      </c>
    </row>
    <row r="188" spans="1:4" ht="15" customHeight="1" x14ac:dyDescent="0.35">
      <c r="A188" s="17">
        <v>67</v>
      </c>
      <c r="B188" s="15">
        <v>871</v>
      </c>
      <c r="C188" s="15">
        <v>922.07752942762795</v>
      </c>
      <c r="D188" s="15">
        <v>-51.077529427627951</v>
      </c>
    </row>
    <row r="189" spans="1:4" ht="15" customHeight="1" x14ac:dyDescent="0.35">
      <c r="A189" s="17">
        <v>68</v>
      </c>
      <c r="B189" s="15">
        <v>832</v>
      </c>
      <c r="C189" s="15">
        <v>936.00690544485565</v>
      </c>
      <c r="D189" s="15">
        <v>-104.00690544485565</v>
      </c>
    </row>
    <row r="190" spans="1:4" ht="15" customHeight="1" x14ac:dyDescent="0.35">
      <c r="A190" s="17">
        <v>69</v>
      </c>
      <c r="B190" s="15">
        <v>1101</v>
      </c>
      <c r="C190" s="15">
        <v>1373.0094245483342</v>
      </c>
      <c r="D190" s="15">
        <v>-272.00942454833421</v>
      </c>
    </row>
    <row r="191" spans="1:4" ht="15" customHeight="1" x14ac:dyDescent="0.35">
      <c r="A191" s="17">
        <v>70</v>
      </c>
      <c r="B191" s="15">
        <v>929</v>
      </c>
      <c r="C191" s="15">
        <v>1133.4216333743648</v>
      </c>
      <c r="D191" s="15">
        <v>-204.42163337436477</v>
      </c>
    </row>
    <row r="192" spans="1:4" ht="15" customHeight="1" x14ac:dyDescent="0.35">
      <c r="A192" s="17">
        <v>71</v>
      </c>
      <c r="B192" s="15">
        <v>672</v>
      </c>
      <c r="C192" s="15">
        <v>874.34038271863483</v>
      </c>
      <c r="D192" s="15">
        <v>-202.34038271863483</v>
      </c>
    </row>
    <row r="193" spans="1:4" ht="15" customHeight="1" x14ac:dyDescent="0.35">
      <c r="A193" s="17">
        <v>72</v>
      </c>
      <c r="B193" s="15">
        <v>751</v>
      </c>
      <c r="C193" s="15">
        <v>860.45485334026034</v>
      </c>
      <c r="D193" s="15">
        <v>-109.45485334026034</v>
      </c>
    </row>
    <row r="194" spans="1:4" ht="15" customHeight="1" x14ac:dyDescent="0.35">
      <c r="A194" s="17">
        <v>73</v>
      </c>
      <c r="B194" s="15">
        <v>1114</v>
      </c>
      <c r="C194" s="15">
        <v>1240.7451127347167</v>
      </c>
      <c r="D194" s="15">
        <v>-126.74511273471671</v>
      </c>
    </row>
    <row r="195" spans="1:4" ht="15" customHeight="1" x14ac:dyDescent="0.35">
      <c r="A195" s="17">
        <v>74</v>
      </c>
      <c r="B195" s="15">
        <v>1612</v>
      </c>
      <c r="C195" s="15">
        <v>1311.3867484609664</v>
      </c>
      <c r="D195" s="15">
        <v>300.61325153903363</v>
      </c>
    </row>
    <row r="196" spans="1:4" ht="15" customHeight="1" x14ac:dyDescent="0.35">
      <c r="A196" s="17">
        <v>75</v>
      </c>
      <c r="B196" s="15">
        <v>1267</v>
      </c>
      <c r="C196" s="15">
        <v>1071.7989572869974</v>
      </c>
      <c r="D196" s="15">
        <v>195.20104271300261</v>
      </c>
    </row>
    <row r="197" spans="1:4" ht="15" customHeight="1" x14ac:dyDescent="0.35">
      <c r="A197" s="17">
        <v>76</v>
      </c>
      <c r="B197" s="15">
        <v>825</v>
      </c>
      <c r="C197" s="15">
        <v>812.71770663126745</v>
      </c>
      <c r="D197" s="15">
        <v>12.282293368732553</v>
      </c>
    </row>
    <row r="198" spans="1:4" ht="15" customHeight="1" x14ac:dyDescent="0.35">
      <c r="A198" s="17">
        <v>77</v>
      </c>
      <c r="B198" s="15">
        <v>729</v>
      </c>
      <c r="C198" s="15">
        <v>798.83217725289296</v>
      </c>
      <c r="D198" s="15">
        <v>-69.832177252892961</v>
      </c>
    </row>
    <row r="199" spans="1:4" ht="15" customHeight="1" x14ac:dyDescent="0.35">
      <c r="A199" s="17">
        <v>78</v>
      </c>
      <c r="B199" s="15">
        <v>836</v>
      </c>
      <c r="C199" s="15">
        <v>812.76155327012066</v>
      </c>
      <c r="D199" s="15">
        <v>23.238446729879342</v>
      </c>
    </row>
    <row r="200" spans="1:4" ht="15" customHeight="1" x14ac:dyDescent="0.35">
      <c r="A200" s="17">
        <v>79</v>
      </c>
      <c r="B200" s="15">
        <v>1123</v>
      </c>
      <c r="C200" s="15">
        <v>1249.764072373599</v>
      </c>
      <c r="D200" s="15">
        <v>-126.76407237359899</v>
      </c>
    </row>
    <row r="201" spans="1:4" ht="15" customHeight="1" x14ac:dyDescent="0.35">
      <c r="A201" s="17">
        <v>80</v>
      </c>
      <c r="B201" s="15">
        <v>900</v>
      </c>
      <c r="C201" s="15">
        <v>1010.1762811996298</v>
      </c>
      <c r="D201" s="15">
        <v>-110.17628119962978</v>
      </c>
    </row>
    <row r="202" spans="1:4" ht="15" customHeight="1" x14ac:dyDescent="0.35">
      <c r="A202" s="17">
        <v>81</v>
      </c>
      <c r="B202" s="15">
        <v>702</v>
      </c>
      <c r="C202" s="15">
        <v>751.09503054389984</v>
      </c>
      <c r="D202" s="15">
        <v>-49.095030543899838</v>
      </c>
    </row>
    <row r="203" spans="1:4" ht="15" customHeight="1" x14ac:dyDescent="0.35">
      <c r="A203" s="17">
        <v>82</v>
      </c>
      <c r="B203" s="15">
        <v>724</v>
      </c>
      <c r="C203" s="15">
        <v>737.20950116552535</v>
      </c>
      <c r="D203" s="15">
        <v>-13.209501165525353</v>
      </c>
    </row>
    <row r="204" spans="1:4" ht="15" customHeight="1" x14ac:dyDescent="0.35">
      <c r="A204" s="17">
        <v>83</v>
      </c>
      <c r="B204" s="15">
        <v>824</v>
      </c>
      <c r="C204" s="15">
        <v>751.13887718275305</v>
      </c>
      <c r="D204" s="15">
        <v>72.861122817246951</v>
      </c>
    </row>
    <row r="205" spans="1:4" ht="15" customHeight="1" x14ac:dyDescent="0.35">
      <c r="A205" s="17">
        <v>84</v>
      </c>
      <c r="B205" s="15">
        <v>1682</v>
      </c>
      <c r="C205" s="15">
        <v>1554.5022796634603</v>
      </c>
      <c r="D205" s="15">
        <v>127.49772033653971</v>
      </c>
    </row>
    <row r="206" spans="1:4" ht="15" customHeight="1" x14ac:dyDescent="0.35">
      <c r="A206" s="17">
        <v>85</v>
      </c>
      <c r="B206" s="15">
        <v>1146</v>
      </c>
      <c r="C206" s="15">
        <v>948.5536051122624</v>
      </c>
      <c r="D206" s="15">
        <v>197.4463948877376</v>
      </c>
    </row>
    <row r="207" spans="1:4" ht="15" customHeight="1" x14ac:dyDescent="0.35">
      <c r="A207" s="17">
        <v>86</v>
      </c>
      <c r="B207" s="15">
        <v>1488</v>
      </c>
      <c r="C207" s="15">
        <v>1391.9289909867584</v>
      </c>
      <c r="D207" s="15">
        <v>96.071009013241564</v>
      </c>
    </row>
    <row r="208" spans="1:4" ht="15" customHeight="1" x14ac:dyDescent="0.35">
      <c r="A208" s="17">
        <v>87</v>
      </c>
      <c r="B208" s="15">
        <v>1121</v>
      </c>
      <c r="C208" s="15">
        <v>1028.9159291891156</v>
      </c>
      <c r="D208" s="15">
        <v>92.084070810884441</v>
      </c>
    </row>
    <row r="209" spans="1:4" ht="15" customHeight="1" x14ac:dyDescent="0.35">
      <c r="A209" s="17">
        <v>88</v>
      </c>
      <c r="B209" s="15">
        <v>1147</v>
      </c>
      <c r="C209" s="15">
        <v>1042.8453052063433</v>
      </c>
      <c r="D209" s="15">
        <v>104.15469479365674</v>
      </c>
    </row>
    <row r="210" spans="1:4" ht="15" customHeight="1" x14ac:dyDescent="0.35">
      <c r="A210" s="17">
        <v>89</v>
      </c>
      <c r="B210" s="15">
        <v>1455</v>
      </c>
      <c r="C210" s="15">
        <v>1479.8478243098216</v>
      </c>
      <c r="D210" s="15">
        <v>-24.84782430982159</v>
      </c>
    </row>
    <row r="211" spans="1:4" ht="15" customHeight="1" x14ac:dyDescent="0.35">
      <c r="A211" s="17">
        <v>90</v>
      </c>
      <c r="B211" s="15">
        <v>1330</v>
      </c>
      <c r="C211" s="15">
        <v>1240.2600331358526</v>
      </c>
      <c r="D211" s="15">
        <v>89.739966864147391</v>
      </c>
    </row>
    <row r="212" spans="1:4" ht="15" customHeight="1" x14ac:dyDescent="0.35">
      <c r="A212" s="17">
        <v>91</v>
      </c>
      <c r="B212" s="15">
        <v>819</v>
      </c>
      <c r="C212" s="15">
        <v>981.17878248012266</v>
      </c>
      <c r="D212" s="15">
        <v>-162.17878248012266</v>
      </c>
    </row>
    <row r="213" spans="1:4" ht="15" customHeight="1" x14ac:dyDescent="0.35">
      <c r="A213" s="17">
        <v>92</v>
      </c>
      <c r="B213" s="15">
        <v>743</v>
      </c>
      <c r="C213" s="15">
        <v>967.29325310174795</v>
      </c>
      <c r="D213" s="15">
        <v>-224.29325310174795</v>
      </c>
    </row>
    <row r="214" spans="1:4" ht="15" customHeight="1" x14ac:dyDescent="0.35">
      <c r="A214" s="17">
        <v>93</v>
      </c>
      <c r="B214" s="15">
        <v>921</v>
      </c>
      <c r="C214" s="15">
        <v>981.22262911897565</v>
      </c>
      <c r="D214" s="15">
        <v>-60.222629118975647</v>
      </c>
    </row>
    <row r="215" spans="1:4" ht="15" customHeight="1" x14ac:dyDescent="0.35">
      <c r="A215" s="17">
        <v>94</v>
      </c>
      <c r="B215" s="15">
        <v>1731</v>
      </c>
      <c r="C215" s="15">
        <v>2133.7135640189508</v>
      </c>
      <c r="D215" s="15">
        <v>-402.71356401895082</v>
      </c>
    </row>
    <row r="216" spans="1:4" ht="15" customHeight="1" x14ac:dyDescent="0.35">
      <c r="A216" s="17">
        <v>95</v>
      </c>
      <c r="B216" s="15">
        <v>1118</v>
      </c>
      <c r="C216" s="15">
        <v>1178.6373570484848</v>
      </c>
      <c r="D216" s="15">
        <v>-60.637357048484773</v>
      </c>
    </row>
    <row r="217" spans="1:4" ht="15" customHeight="1" x14ac:dyDescent="0.35">
      <c r="A217" s="17">
        <v>96</v>
      </c>
      <c r="B217" s="15">
        <v>1064</v>
      </c>
      <c r="C217" s="15">
        <v>919.55610639275505</v>
      </c>
      <c r="D217" s="15">
        <v>144.44389360724495</v>
      </c>
    </row>
    <row r="218" spans="1:4" ht="15" customHeight="1" x14ac:dyDescent="0.35">
      <c r="A218" s="17">
        <v>97</v>
      </c>
      <c r="B218" s="15">
        <v>869</v>
      </c>
      <c r="C218" s="15">
        <v>905.67057701438057</v>
      </c>
      <c r="D218" s="15">
        <v>-36.670577014380569</v>
      </c>
    </row>
    <row r="219" spans="1:4" ht="15" customHeight="1" x14ac:dyDescent="0.35">
      <c r="A219" s="17">
        <v>98</v>
      </c>
      <c r="B219" s="15">
        <v>844</v>
      </c>
      <c r="C219" s="15">
        <v>919.59995303160827</v>
      </c>
      <c r="D219" s="15">
        <v>-75.599953031608266</v>
      </c>
    </row>
    <row r="220" spans="1:4" ht="15" customHeight="1" x14ac:dyDescent="0.35">
      <c r="A220" s="17">
        <v>99</v>
      </c>
      <c r="B220" s="15">
        <v>1251</v>
      </c>
      <c r="C220" s="15">
        <v>1356.6024721350868</v>
      </c>
      <c r="D220" s="15">
        <v>-105.60247213508683</v>
      </c>
    </row>
    <row r="221" spans="1:4" ht="15" customHeight="1" x14ac:dyDescent="0.35">
      <c r="A221" s="17">
        <v>100</v>
      </c>
      <c r="B221" s="15">
        <v>1187</v>
      </c>
      <c r="C221" s="15">
        <v>1117.0146809611178</v>
      </c>
      <c r="D221" s="15">
        <v>69.985319038882153</v>
      </c>
    </row>
    <row r="222" spans="1:4" ht="15" customHeight="1" x14ac:dyDescent="0.35">
      <c r="A222" s="17">
        <v>101</v>
      </c>
      <c r="B222" s="15">
        <v>785</v>
      </c>
      <c r="C222" s="15">
        <v>857.93343030538767</v>
      </c>
      <c r="D222" s="15">
        <v>-72.933430305387674</v>
      </c>
    </row>
    <row r="223" spans="1:4" ht="15" customHeight="1" x14ac:dyDescent="0.35">
      <c r="A223" s="17">
        <v>102</v>
      </c>
      <c r="B223" s="15">
        <v>705</v>
      </c>
      <c r="C223" s="15">
        <v>844.04790092701296</v>
      </c>
      <c r="D223" s="15">
        <v>-139.04790092701296</v>
      </c>
    </row>
    <row r="224" spans="1:4" ht="15" customHeight="1" x14ac:dyDescent="0.35">
      <c r="A224" s="17">
        <v>103</v>
      </c>
      <c r="B224" s="15">
        <v>890</v>
      </c>
      <c r="C224" s="15">
        <v>857.97727694424066</v>
      </c>
      <c r="D224" s="15">
        <v>32.022723055759343</v>
      </c>
    </row>
    <row r="225" spans="1:4" ht="15" customHeight="1" x14ac:dyDescent="0.35">
      <c r="A225" s="17">
        <v>104</v>
      </c>
      <c r="B225" s="15">
        <v>1754</v>
      </c>
      <c r="C225" s="15">
        <v>1570.3215749126794</v>
      </c>
      <c r="D225" s="15">
        <v>183.67842508732065</v>
      </c>
    </row>
    <row r="226" spans="1:4" ht="15" customHeight="1" x14ac:dyDescent="0.35">
      <c r="A226" s="17">
        <v>105</v>
      </c>
      <c r="B226" s="15">
        <v>1310</v>
      </c>
      <c r="C226" s="15">
        <v>1071.6525330829804</v>
      </c>
      <c r="D226" s="15">
        <v>238.34746691701957</v>
      </c>
    </row>
    <row r="227" spans="1:4" ht="15" customHeight="1" x14ac:dyDescent="0.35">
      <c r="A227" s="17">
        <v>106</v>
      </c>
      <c r="B227" s="15">
        <v>937</v>
      </c>
      <c r="C227" s="15">
        <v>782.42522483964558</v>
      </c>
      <c r="D227" s="15">
        <v>154.57477516035442</v>
      </c>
    </row>
    <row r="228" spans="1:4" ht="15" customHeight="1" x14ac:dyDescent="0.35">
      <c r="A228" s="17">
        <v>107</v>
      </c>
      <c r="B228" s="15">
        <v>956</v>
      </c>
      <c r="C228" s="15">
        <v>796.35460085687328</v>
      </c>
      <c r="D228" s="15">
        <v>159.64539914312672</v>
      </c>
    </row>
    <row r="229" spans="1:4" ht="15" customHeight="1" x14ac:dyDescent="0.35">
      <c r="A229" s="17">
        <v>108</v>
      </c>
      <c r="B229" s="15">
        <v>2068</v>
      </c>
      <c r="C229" s="15">
        <v>1555.5009185265399</v>
      </c>
      <c r="D229" s="15">
        <v>512.49908147346014</v>
      </c>
    </row>
    <row r="230" spans="1:4" ht="15" customHeight="1" x14ac:dyDescent="0.35">
      <c r="A230" s="17">
        <v>109</v>
      </c>
      <c r="B230" s="15">
        <v>1383</v>
      </c>
      <c r="C230" s="15">
        <v>1315.9131273525713</v>
      </c>
      <c r="D230" s="15">
        <v>67.086872647428663</v>
      </c>
    </row>
    <row r="231" spans="1:4" ht="15" customHeight="1" x14ac:dyDescent="0.35">
      <c r="A231" s="17">
        <v>110</v>
      </c>
      <c r="B231" s="15">
        <v>842</v>
      </c>
      <c r="C231" s="15">
        <v>1056.8318766968412</v>
      </c>
      <c r="D231" s="15">
        <v>-214.83187669684116</v>
      </c>
    </row>
    <row r="232" spans="1:4" ht="15" customHeight="1" x14ac:dyDescent="0.35">
      <c r="A232" s="17">
        <v>111</v>
      </c>
      <c r="B232" s="15">
        <v>923</v>
      </c>
      <c r="C232" s="15">
        <v>1042.9463473184667</v>
      </c>
      <c r="D232" s="15">
        <v>-119.94634731846668</v>
      </c>
    </row>
    <row r="233" spans="1:4" ht="15" customHeight="1" x14ac:dyDescent="0.35">
      <c r="A233" s="17">
        <v>112</v>
      </c>
      <c r="B233" s="15">
        <v>959</v>
      </c>
      <c r="C233" s="15">
        <v>1056.8757233356944</v>
      </c>
      <c r="D233" s="15">
        <v>-97.875723335694374</v>
      </c>
    </row>
    <row r="234" spans="1:4" ht="15" customHeight="1" x14ac:dyDescent="0.35">
      <c r="A234" s="17">
        <v>113</v>
      </c>
      <c r="B234" s="15">
        <v>1820</v>
      </c>
      <c r="C234" s="15">
        <v>1860.2391258164016</v>
      </c>
      <c r="D234" s="15">
        <v>-40.239125816401611</v>
      </c>
    </row>
    <row r="235" spans="1:4" ht="15" customHeight="1" x14ac:dyDescent="0.35">
      <c r="A235" s="17">
        <v>114</v>
      </c>
      <c r="B235" s="15">
        <v>1164</v>
      </c>
      <c r="C235" s="15">
        <v>1254.2904512652035</v>
      </c>
      <c r="D235" s="15">
        <v>-90.290451265203501</v>
      </c>
    </row>
    <row r="236" spans="1:4" ht="15" customHeight="1" x14ac:dyDescent="0.35">
      <c r="A236" s="17">
        <v>115</v>
      </c>
      <c r="B236" s="15">
        <v>928</v>
      </c>
      <c r="C236" s="15">
        <v>995.20920060947356</v>
      </c>
      <c r="D236" s="15">
        <v>-67.209200609473555</v>
      </c>
    </row>
    <row r="237" spans="1:4" ht="15" customHeight="1" x14ac:dyDescent="0.35">
      <c r="A237" s="17">
        <v>116</v>
      </c>
      <c r="B237" s="15">
        <v>919</v>
      </c>
      <c r="C237" s="15">
        <v>995.25304724832677</v>
      </c>
      <c r="D237" s="15">
        <v>-76.253047248326766</v>
      </c>
    </row>
    <row r="238" spans="1:4" ht="15" customHeight="1" x14ac:dyDescent="0.35">
      <c r="A238" s="17">
        <v>117</v>
      </c>
      <c r="B238" s="15">
        <v>1460</v>
      </c>
      <c r="C238" s="15">
        <v>1432.2555663518051</v>
      </c>
      <c r="D238" s="15">
        <v>27.744433648194899</v>
      </c>
    </row>
    <row r="239" spans="1:4" ht="15" customHeight="1" x14ac:dyDescent="0.35">
      <c r="A239" s="17">
        <v>118</v>
      </c>
      <c r="B239" s="15">
        <v>1081</v>
      </c>
      <c r="C239" s="15">
        <v>1192.6677751778361</v>
      </c>
      <c r="D239" s="15">
        <v>-111.66777517783612</v>
      </c>
    </row>
    <row r="240" spans="1:4" ht="15" customHeight="1" x14ac:dyDescent="0.35">
      <c r="A240" s="17">
        <v>119</v>
      </c>
      <c r="B240" s="15">
        <v>993</v>
      </c>
      <c r="C240" s="15">
        <v>933.58652452210617</v>
      </c>
      <c r="D240" s="15">
        <v>59.413475477893826</v>
      </c>
    </row>
    <row r="241" spans="1:4" ht="15" customHeight="1" x14ac:dyDescent="0.35">
      <c r="A241" s="17">
        <v>120</v>
      </c>
      <c r="B241" s="15">
        <v>862</v>
      </c>
      <c r="C241" s="15">
        <v>919.70099514373169</v>
      </c>
      <c r="D241" s="15">
        <v>-57.700995143731689</v>
      </c>
    </row>
    <row r="242" spans="1:4" ht="15" customHeight="1" x14ac:dyDescent="0.35">
      <c r="A242" s="17">
        <v>121</v>
      </c>
      <c r="B242" s="15">
        <v>900</v>
      </c>
      <c r="C242" s="15">
        <v>933.63037116095938</v>
      </c>
      <c r="D242" s="15">
        <v>-33.630371160959385</v>
      </c>
    </row>
    <row r="243" spans="1:4" ht="15" customHeight="1" x14ac:dyDescent="0.35">
      <c r="A243" s="17">
        <v>122</v>
      </c>
      <c r="B243" s="15">
        <v>1769</v>
      </c>
      <c r="C243" s="15">
        <v>1736.9937736416664</v>
      </c>
      <c r="D243" s="15">
        <v>32.006226358333606</v>
      </c>
    </row>
    <row r="244" spans="1:4" ht="15" customHeight="1" x14ac:dyDescent="0.35">
      <c r="A244" s="17">
        <v>123</v>
      </c>
      <c r="B244" s="15">
        <v>1059</v>
      </c>
      <c r="C244" s="15">
        <v>1131.0450990904683</v>
      </c>
      <c r="D244" s="15">
        <v>-72.045099090468284</v>
      </c>
    </row>
    <row r="245" spans="1:4" ht="15" customHeight="1" x14ac:dyDescent="0.35">
      <c r="A245" s="17">
        <v>124</v>
      </c>
      <c r="B245" s="15">
        <v>924</v>
      </c>
      <c r="C245" s="15">
        <v>871.96384843473857</v>
      </c>
      <c r="D245" s="15">
        <v>52.036151565261434</v>
      </c>
    </row>
    <row r="246" spans="1:4" ht="15" customHeight="1" x14ac:dyDescent="0.35">
      <c r="A246" s="17">
        <v>125</v>
      </c>
      <c r="B246" s="15">
        <v>859</v>
      </c>
      <c r="C246" s="15">
        <v>858.07831905636408</v>
      </c>
      <c r="D246" s="15">
        <v>0.9216809436359199</v>
      </c>
    </row>
    <row r="247" spans="1:4" ht="15" customHeight="1" x14ac:dyDescent="0.35">
      <c r="A247" s="17">
        <v>126</v>
      </c>
      <c r="B247" s="15">
        <v>805</v>
      </c>
      <c r="C247" s="15">
        <v>872.00769507359178</v>
      </c>
      <c r="D247" s="15">
        <v>-67.007695073591776</v>
      </c>
    </row>
    <row r="248" spans="1:4" ht="15" customHeight="1" x14ac:dyDescent="0.35">
      <c r="A248" s="17">
        <v>127</v>
      </c>
      <c r="B248" s="15">
        <v>1606</v>
      </c>
      <c r="C248" s="15">
        <v>1309.0102141770703</v>
      </c>
      <c r="D248" s="15">
        <v>296.98978582292966</v>
      </c>
    </row>
    <row r="249" spans="1:4" ht="15" customHeight="1" x14ac:dyDescent="0.35">
      <c r="A249" s="17">
        <v>128</v>
      </c>
      <c r="B249" s="15">
        <v>1648</v>
      </c>
      <c r="C249" s="15">
        <v>1318.0881959970275</v>
      </c>
      <c r="D249" s="15">
        <v>329.91180400297253</v>
      </c>
    </row>
    <row r="250" spans="1:4" ht="15" customHeight="1" x14ac:dyDescent="0.35">
      <c r="A250" s="17">
        <v>129</v>
      </c>
      <c r="B250" s="15">
        <v>1372</v>
      </c>
      <c r="C250" s="15">
        <v>1334.3487242062579</v>
      </c>
      <c r="D250" s="15">
        <v>37.651275793742116</v>
      </c>
    </row>
    <row r="251" spans="1:4" ht="15" customHeight="1" x14ac:dyDescent="0.35">
      <c r="A251" s="17">
        <v>130</v>
      </c>
      <c r="B251" s="15">
        <v>1283</v>
      </c>
      <c r="C251" s="15">
        <v>1334.3925708451111</v>
      </c>
      <c r="D251" s="15">
        <v>-51.392570845111095</v>
      </c>
    </row>
    <row r="252" spans="1:4" ht="15" customHeight="1" x14ac:dyDescent="0.35">
      <c r="A252" s="17">
        <v>131</v>
      </c>
      <c r="B252" s="15">
        <v>1740</v>
      </c>
      <c r="C252" s="15">
        <v>1862.4141944608577</v>
      </c>
      <c r="D252" s="15">
        <v>-122.41419446085774</v>
      </c>
    </row>
    <row r="253" spans="1:4" ht="15" customHeight="1" x14ac:dyDescent="0.35">
      <c r="A253" s="17">
        <v>132</v>
      </c>
      <c r="B253" s="15">
        <v>1195</v>
      </c>
      <c r="C253" s="15">
        <v>1256.4655199096596</v>
      </c>
      <c r="D253" s="15">
        <v>-61.465519909659633</v>
      </c>
    </row>
    <row r="254" spans="1:4" ht="15" customHeight="1" x14ac:dyDescent="0.35">
      <c r="A254" s="17">
        <v>133</v>
      </c>
      <c r="B254" s="15">
        <v>880</v>
      </c>
      <c r="C254" s="15">
        <v>997.38426925392969</v>
      </c>
      <c r="D254" s="15">
        <v>-117.38426925392969</v>
      </c>
    </row>
    <row r="255" spans="1:4" ht="15" customHeight="1" x14ac:dyDescent="0.35">
      <c r="A255" s="17">
        <v>134</v>
      </c>
      <c r="B255" s="15">
        <v>855</v>
      </c>
      <c r="C255" s="15">
        <v>983.4987398755552</v>
      </c>
      <c r="D255" s="15">
        <v>-128.4987398755552</v>
      </c>
    </row>
    <row r="256" spans="1:4" ht="15" customHeight="1" x14ac:dyDescent="0.35">
      <c r="A256" s="17">
        <v>135</v>
      </c>
      <c r="B256" s="15">
        <v>955</v>
      </c>
      <c r="C256" s="15">
        <v>997.4281158927829</v>
      </c>
      <c r="D256" s="15">
        <v>-42.428115892782898</v>
      </c>
    </row>
    <row r="257" spans="1:4" ht="15" customHeight="1" x14ac:dyDescent="0.35">
      <c r="A257" s="17">
        <v>136</v>
      </c>
      <c r="B257" s="15">
        <v>1466</v>
      </c>
      <c r="C257" s="15">
        <v>1434.4306349962612</v>
      </c>
      <c r="D257" s="15">
        <v>31.569365003738767</v>
      </c>
    </row>
    <row r="258" spans="1:4" ht="15" customHeight="1" x14ac:dyDescent="0.35">
      <c r="A258" s="17">
        <v>137</v>
      </c>
      <c r="B258" s="15">
        <v>1290</v>
      </c>
      <c r="C258" s="15">
        <v>1194.8428438222923</v>
      </c>
      <c r="D258" s="15">
        <v>95.157156177707748</v>
      </c>
    </row>
    <row r="259" spans="1:4" ht="15" customHeight="1" x14ac:dyDescent="0.35">
      <c r="A259" s="17">
        <v>138</v>
      </c>
      <c r="B259" s="15">
        <v>968</v>
      </c>
      <c r="C259" s="15">
        <v>935.76159316656231</v>
      </c>
      <c r="D259" s="15">
        <v>32.238406833437693</v>
      </c>
    </row>
    <row r="260" spans="1:4" ht="15" customHeight="1" x14ac:dyDescent="0.35">
      <c r="A260" s="17">
        <v>139</v>
      </c>
      <c r="B260" s="15">
        <v>831</v>
      </c>
      <c r="C260" s="15">
        <v>921.87606378818782</v>
      </c>
      <c r="D260" s="15">
        <v>-90.876063788187821</v>
      </c>
    </row>
    <row r="261" spans="1:4" ht="15" customHeight="1" x14ac:dyDescent="0.35">
      <c r="A261" s="17">
        <v>140</v>
      </c>
      <c r="B261" s="15">
        <v>838</v>
      </c>
      <c r="C261" s="15">
        <v>935.80543980541552</v>
      </c>
      <c r="D261" s="15">
        <v>-97.805439805415517</v>
      </c>
    </row>
    <row r="262" spans="1:4" ht="15" customHeight="1" x14ac:dyDescent="0.35">
      <c r="A262" s="17">
        <v>141</v>
      </c>
      <c r="B262" s="15">
        <v>1747</v>
      </c>
      <c r="C262" s="15">
        <v>1739.1688422861225</v>
      </c>
      <c r="D262" s="15">
        <v>7.8311577138774737</v>
      </c>
    </row>
    <row r="263" spans="1:4" ht="15" customHeight="1" x14ac:dyDescent="0.35">
      <c r="A263" s="17">
        <v>142</v>
      </c>
      <c r="B263" s="15">
        <v>1182</v>
      </c>
      <c r="C263" s="15">
        <v>1133.2201677349249</v>
      </c>
      <c r="D263" s="15">
        <v>48.779832265075129</v>
      </c>
    </row>
    <row r="264" spans="1:4" ht="15" customHeight="1" x14ac:dyDescent="0.35">
      <c r="A264" s="17">
        <v>143</v>
      </c>
      <c r="B264" s="15">
        <v>842</v>
      </c>
      <c r="C264" s="15">
        <v>874.13891707919493</v>
      </c>
      <c r="D264" s="15">
        <v>-32.138917079194925</v>
      </c>
    </row>
    <row r="265" spans="1:4" ht="15" customHeight="1" x14ac:dyDescent="0.35">
      <c r="A265" s="17">
        <v>144</v>
      </c>
      <c r="B265" s="15">
        <v>818</v>
      </c>
      <c r="C265" s="15">
        <v>860.25338770082044</v>
      </c>
      <c r="D265" s="15">
        <v>-42.25338770082044</v>
      </c>
    </row>
    <row r="266" spans="1:4" ht="15" customHeight="1" x14ac:dyDescent="0.35">
      <c r="A266" s="17">
        <v>145</v>
      </c>
      <c r="B266" s="15">
        <v>822</v>
      </c>
      <c r="C266" s="15">
        <v>874.18276371804814</v>
      </c>
      <c r="D266" s="15">
        <v>-52.182763718048136</v>
      </c>
    </row>
    <row r="267" spans="1:4" ht="15" customHeight="1" x14ac:dyDescent="0.35">
      <c r="A267" s="17">
        <v>146</v>
      </c>
      <c r="B267" s="15">
        <v>1278</v>
      </c>
      <c r="C267" s="15">
        <v>1311.1852828215265</v>
      </c>
      <c r="D267" s="15">
        <v>-33.185282821526471</v>
      </c>
    </row>
    <row r="268" spans="1:4" ht="15" customHeight="1" x14ac:dyDescent="0.35">
      <c r="A268" s="17">
        <v>147</v>
      </c>
      <c r="B268" s="15">
        <v>1184</v>
      </c>
      <c r="C268" s="15">
        <v>1071.5974916475575</v>
      </c>
      <c r="D268" s="15">
        <v>112.40250835244251</v>
      </c>
    </row>
    <row r="269" spans="1:4" ht="15" customHeight="1" x14ac:dyDescent="0.35">
      <c r="A269" s="17">
        <v>148</v>
      </c>
      <c r="B269" s="15">
        <v>989</v>
      </c>
      <c r="C269" s="15">
        <v>812.51624099182754</v>
      </c>
      <c r="D269" s="15">
        <v>176.48375900817246</v>
      </c>
    </row>
    <row r="270" spans="1:4" ht="15" customHeight="1" x14ac:dyDescent="0.35">
      <c r="A270" s="17">
        <v>149</v>
      </c>
      <c r="B270" s="15">
        <v>1506</v>
      </c>
      <c r="C270" s="15">
        <v>986.90722824402906</v>
      </c>
      <c r="D270" s="15">
        <v>519.09277175597094</v>
      </c>
    </row>
    <row r="271" spans="1:4" ht="15" customHeight="1" x14ac:dyDescent="0.35">
      <c r="A271" s="17">
        <v>150</v>
      </c>
      <c r="B271" s="15">
        <v>1155</v>
      </c>
      <c r="C271" s="15">
        <v>1000.8366042612568</v>
      </c>
      <c r="D271" s="15">
        <v>154.16339573874325</v>
      </c>
    </row>
    <row r="272" spans="1:4" ht="15" customHeight="1" x14ac:dyDescent="0.35">
      <c r="A272" s="17">
        <v>151</v>
      </c>
      <c r="B272" s="15">
        <v>1889</v>
      </c>
      <c r="C272" s="15">
        <v>1804.200006741964</v>
      </c>
      <c r="D272" s="15">
        <v>84.799993258036011</v>
      </c>
    </row>
    <row r="273" spans="1:4" ht="15" customHeight="1" x14ac:dyDescent="0.35">
      <c r="A273" s="17">
        <v>152</v>
      </c>
      <c r="B273" s="15">
        <v>1235</v>
      </c>
      <c r="C273" s="15">
        <v>1198.2513321907663</v>
      </c>
      <c r="D273" s="15">
        <v>36.748667809233666</v>
      </c>
    </row>
    <row r="274" spans="1:4" ht="15" customHeight="1" x14ac:dyDescent="0.35">
      <c r="A274" s="17">
        <v>153</v>
      </c>
      <c r="B274" s="15">
        <v>957</v>
      </c>
      <c r="C274" s="15">
        <v>939.17008153503616</v>
      </c>
      <c r="D274" s="15">
        <v>17.829918464963839</v>
      </c>
    </row>
    <row r="275" spans="1:4" ht="15" customHeight="1" x14ac:dyDescent="0.35">
      <c r="A275" s="17">
        <v>154</v>
      </c>
      <c r="B275" s="15">
        <v>891</v>
      </c>
      <c r="C275" s="15">
        <v>925.28455215666168</v>
      </c>
      <c r="D275" s="15">
        <v>-34.284552156661675</v>
      </c>
    </row>
    <row r="276" spans="1:4" ht="15" customHeight="1" x14ac:dyDescent="0.35">
      <c r="A276" s="17">
        <v>155</v>
      </c>
      <c r="B276" s="15">
        <v>1067</v>
      </c>
      <c r="C276" s="15">
        <v>939.21392817388914</v>
      </c>
      <c r="D276" s="15">
        <v>127.78607182611086</v>
      </c>
    </row>
    <row r="277" spans="1:4" ht="15" customHeight="1" x14ac:dyDescent="0.35">
      <c r="A277" s="17">
        <v>156</v>
      </c>
      <c r="B277" s="15">
        <v>1475</v>
      </c>
      <c r="C277" s="15">
        <v>1376.2164472773675</v>
      </c>
      <c r="D277" s="15">
        <v>98.783552722632521</v>
      </c>
    </row>
    <row r="278" spans="1:4" ht="15" customHeight="1" x14ac:dyDescent="0.35">
      <c r="A278" s="17">
        <v>157</v>
      </c>
      <c r="B278" s="15">
        <v>1051</v>
      </c>
      <c r="C278" s="15">
        <v>1136.6286561033985</v>
      </c>
      <c r="D278" s="15">
        <v>-85.628656103398498</v>
      </c>
    </row>
    <row r="279" spans="1:4" ht="15" customHeight="1" x14ac:dyDescent="0.35">
      <c r="A279" s="17">
        <v>158</v>
      </c>
      <c r="B279" s="15">
        <v>742</v>
      </c>
      <c r="C279" s="15">
        <v>877.54740544766855</v>
      </c>
      <c r="D279" s="15">
        <v>-135.54740544766855</v>
      </c>
    </row>
    <row r="280" spans="1:4" ht="15" customHeight="1" x14ac:dyDescent="0.35">
      <c r="A280" s="17">
        <v>159</v>
      </c>
      <c r="B280" s="15">
        <v>903</v>
      </c>
      <c r="C280" s="15">
        <v>863.66187606929407</v>
      </c>
      <c r="D280" s="15">
        <v>39.338123930705933</v>
      </c>
    </row>
    <row r="281" spans="1:4" ht="15" customHeight="1" x14ac:dyDescent="0.35">
      <c r="A281" s="17">
        <v>160</v>
      </c>
      <c r="B281" s="15">
        <v>793</v>
      </c>
      <c r="C281" s="15">
        <v>877.59125208652176</v>
      </c>
      <c r="D281" s="15">
        <v>-84.591252086521763</v>
      </c>
    </row>
    <row r="282" spans="1:4" ht="15" customHeight="1" x14ac:dyDescent="0.35">
      <c r="A282" s="17">
        <v>161</v>
      </c>
      <c r="B282" s="15">
        <v>1515</v>
      </c>
      <c r="C282" s="15">
        <v>1680.9546545672288</v>
      </c>
      <c r="D282" s="15">
        <v>-165.95465456722877</v>
      </c>
    </row>
    <row r="283" spans="1:4" ht="15" customHeight="1" x14ac:dyDescent="0.35">
      <c r="A283" s="17">
        <v>162</v>
      </c>
      <c r="B283" s="15">
        <v>1127</v>
      </c>
      <c r="C283" s="15">
        <v>1075.0059800160311</v>
      </c>
      <c r="D283" s="15">
        <v>51.994019983968883</v>
      </c>
    </row>
    <row r="284" spans="1:4" ht="15" customHeight="1" x14ac:dyDescent="0.35">
      <c r="A284" s="17">
        <v>163</v>
      </c>
      <c r="B284" s="15">
        <v>860</v>
      </c>
      <c r="C284" s="15">
        <v>815.92472936030117</v>
      </c>
      <c r="D284" s="15">
        <v>44.075270639698829</v>
      </c>
    </row>
    <row r="285" spans="1:4" ht="15" customHeight="1" x14ac:dyDescent="0.35">
      <c r="A285" s="17">
        <v>164</v>
      </c>
      <c r="B285" s="15">
        <v>778</v>
      </c>
      <c r="C285" s="15">
        <v>802.03919998192669</v>
      </c>
      <c r="D285" s="15">
        <v>-24.039199981926686</v>
      </c>
    </row>
    <row r="286" spans="1:4" ht="15" customHeight="1" x14ac:dyDescent="0.35">
      <c r="A286" s="17">
        <v>165</v>
      </c>
      <c r="B286" s="15">
        <v>784</v>
      </c>
      <c r="C286" s="15">
        <v>815.96857599915415</v>
      </c>
      <c r="D286" s="15">
        <v>-31.968575999154154</v>
      </c>
    </row>
    <row r="287" spans="1:4" ht="15" customHeight="1" x14ac:dyDescent="0.35">
      <c r="A287" s="17">
        <v>166</v>
      </c>
      <c r="B287" s="15">
        <v>1060</v>
      </c>
      <c r="C287" s="15">
        <v>1252.9710951026327</v>
      </c>
      <c r="D287" s="15">
        <v>-192.97109510263272</v>
      </c>
    </row>
    <row r="288" spans="1:4" ht="15" customHeight="1" x14ac:dyDescent="0.35">
      <c r="A288" s="17">
        <v>167</v>
      </c>
      <c r="B288" s="15">
        <v>930</v>
      </c>
      <c r="C288" s="15">
        <v>1013.3833039286635</v>
      </c>
      <c r="D288" s="15">
        <v>-83.383303928663508</v>
      </c>
    </row>
    <row r="289" spans="1:4" ht="15" customHeight="1" x14ac:dyDescent="0.35">
      <c r="A289" s="17">
        <v>168</v>
      </c>
      <c r="B289" s="15">
        <v>738</v>
      </c>
      <c r="C289" s="15">
        <v>754.30205327293356</v>
      </c>
      <c r="D289" s="15">
        <v>-16.302053272933563</v>
      </c>
    </row>
    <row r="290" spans="1:4" ht="15" customHeight="1" x14ac:dyDescent="0.35">
      <c r="A290" s="17">
        <v>169</v>
      </c>
      <c r="B290" s="15">
        <v>660</v>
      </c>
      <c r="C290" s="15">
        <v>740.41652389455908</v>
      </c>
      <c r="D290" s="15">
        <v>-80.416523894559077</v>
      </c>
    </row>
    <row r="291" spans="1:4" ht="20.5" customHeight="1" x14ac:dyDescent="0.35">
      <c r="A291" s="17">
        <v>170</v>
      </c>
      <c r="B291" s="15">
        <v>800</v>
      </c>
      <c r="C291" s="15">
        <v>754.34589991178677</v>
      </c>
      <c r="D291" s="15">
        <v>45.654100088213227</v>
      </c>
    </row>
    <row r="292" spans="1:4" ht="15" customHeight="1" x14ac:dyDescent="0.35">
      <c r="A292" s="17">
        <v>171</v>
      </c>
      <c r="B292" s="15">
        <v>1897</v>
      </c>
      <c r="C292" s="15">
        <v>2182.1786136767223</v>
      </c>
      <c r="D292" s="15">
        <v>-285.17861367672231</v>
      </c>
    </row>
    <row r="293" spans="1:4" ht="15" customHeight="1" x14ac:dyDescent="0.35">
      <c r="A293" s="17">
        <v>172</v>
      </c>
      <c r="B293" s="15">
        <v>1491</v>
      </c>
      <c r="C293" s="15">
        <v>1122.3709500767022</v>
      </c>
      <c r="D293" s="15">
        <v>368.62904992329777</v>
      </c>
    </row>
    <row r="294" spans="1:4" ht="15" customHeight="1" x14ac:dyDescent="0.35">
      <c r="A294" s="17">
        <v>173</v>
      </c>
      <c r="B294" s="15">
        <v>859</v>
      </c>
      <c r="C294" s="15">
        <v>833.14364183336738</v>
      </c>
      <c r="D294" s="15">
        <v>25.856358166632617</v>
      </c>
    </row>
    <row r="295" spans="1:4" ht="15" customHeight="1" x14ac:dyDescent="0.35">
      <c r="A295" s="17">
        <v>174</v>
      </c>
      <c r="B295" s="15">
        <v>810</v>
      </c>
      <c r="C295" s="15">
        <v>847.07301785059508</v>
      </c>
      <c r="D295" s="15">
        <v>-37.073017850595079</v>
      </c>
    </row>
    <row r="296" spans="1:4" ht="15" customHeight="1" x14ac:dyDescent="0.35">
      <c r="A296" s="17">
        <v>175</v>
      </c>
      <c r="B296" s="15">
        <v>1173</v>
      </c>
      <c r="C296" s="15">
        <v>1284.0755369540734</v>
      </c>
      <c r="D296" s="15">
        <v>-111.07553695407341</v>
      </c>
    </row>
    <row r="297" spans="1:4" ht="15" customHeight="1" x14ac:dyDescent="0.35">
      <c r="A297" s="17">
        <v>176</v>
      </c>
      <c r="B297" s="15">
        <v>929</v>
      </c>
      <c r="C297" s="15">
        <v>1044.4877457801042</v>
      </c>
      <c r="D297" s="15">
        <v>-115.48774578010421</v>
      </c>
    </row>
    <row r="298" spans="1:4" ht="15" customHeight="1" x14ac:dyDescent="0.35">
      <c r="A298" s="17">
        <v>177</v>
      </c>
      <c r="B298" s="15">
        <v>701</v>
      </c>
      <c r="C298" s="15">
        <v>785.40649512437426</v>
      </c>
      <c r="D298" s="15">
        <v>-84.40649512437426</v>
      </c>
    </row>
    <row r="299" spans="1:4" ht="15" customHeight="1" x14ac:dyDescent="0.35">
      <c r="A299" s="17">
        <v>178</v>
      </c>
      <c r="B299" s="15">
        <v>647</v>
      </c>
      <c r="C299" s="15">
        <v>771.52096574599977</v>
      </c>
      <c r="D299" s="15">
        <v>-124.52096574599977</v>
      </c>
    </row>
    <row r="300" spans="1:4" ht="15" customHeight="1" x14ac:dyDescent="0.35">
      <c r="A300" s="17">
        <v>179</v>
      </c>
      <c r="B300" s="15">
        <v>851</v>
      </c>
      <c r="C300" s="15">
        <v>785.45034176322747</v>
      </c>
      <c r="D300" s="15">
        <v>65.54965823677253</v>
      </c>
    </row>
    <row r="301" spans="1:4" ht="15" customHeight="1" x14ac:dyDescent="0.35">
      <c r="A301" s="17">
        <v>180</v>
      </c>
      <c r="B301" s="15">
        <v>1559</v>
      </c>
      <c r="C301" s="15">
        <v>1588.8137442439347</v>
      </c>
      <c r="D301" s="15">
        <v>-29.813744243934707</v>
      </c>
    </row>
    <row r="302" spans="1:4" ht="15" customHeight="1" x14ac:dyDescent="0.35">
      <c r="A302" s="17">
        <v>181</v>
      </c>
      <c r="B302" s="15">
        <v>1090</v>
      </c>
      <c r="C302" s="15">
        <v>982.86506969273682</v>
      </c>
      <c r="D302" s="15">
        <v>107.13493030726318</v>
      </c>
    </row>
    <row r="303" spans="1:4" ht="15" customHeight="1" x14ac:dyDescent="0.35">
      <c r="A303" s="17">
        <v>182</v>
      </c>
      <c r="B303" s="15">
        <v>404</v>
      </c>
      <c r="C303" s="15">
        <v>723.78381903700688</v>
      </c>
      <c r="D303" s="15">
        <v>-319.78381903700688</v>
      </c>
    </row>
    <row r="304" spans="1:4" ht="15" customHeight="1" x14ac:dyDescent="0.35">
      <c r="A304" s="17">
        <v>183</v>
      </c>
      <c r="B304" s="15">
        <v>586</v>
      </c>
      <c r="C304" s="15">
        <v>709.89828965863239</v>
      </c>
      <c r="D304" s="15">
        <v>-123.89828965863239</v>
      </c>
    </row>
    <row r="305" spans="1:4" ht="15" customHeight="1" x14ac:dyDescent="0.35">
      <c r="A305" s="17">
        <v>184</v>
      </c>
      <c r="B305" s="15">
        <v>683</v>
      </c>
      <c r="C305" s="15">
        <v>723.82766567586009</v>
      </c>
      <c r="D305" s="15">
        <v>-40.827665675860089</v>
      </c>
    </row>
    <row r="306" spans="1:4" ht="15" customHeight="1" x14ac:dyDescent="0.35">
      <c r="A306" s="17">
        <v>185</v>
      </c>
      <c r="B306" s="15">
        <v>1124</v>
      </c>
      <c r="C306" s="15">
        <v>1160.8301847793382</v>
      </c>
      <c r="D306" s="15">
        <v>-36.830184779338197</v>
      </c>
    </row>
    <row r="307" spans="1:4" ht="15" customHeight="1" x14ac:dyDescent="0.35">
      <c r="A307" s="17">
        <v>186</v>
      </c>
      <c r="B307" s="15">
        <v>953</v>
      </c>
      <c r="C307" s="15">
        <v>921.24239360536922</v>
      </c>
      <c r="D307" s="15">
        <v>31.757606394630784</v>
      </c>
    </row>
    <row r="308" spans="1:4" ht="15" customHeight="1" x14ac:dyDescent="0.35">
      <c r="A308" s="17">
        <v>187</v>
      </c>
      <c r="B308" s="15">
        <v>697</v>
      </c>
      <c r="C308" s="15">
        <v>662.16114294963927</v>
      </c>
      <c r="D308" s="15">
        <v>34.83885705036073</v>
      </c>
    </row>
    <row r="309" spans="1:4" ht="15" customHeight="1" x14ac:dyDescent="0.35">
      <c r="A309" s="17">
        <v>188</v>
      </c>
      <c r="B309" s="15">
        <v>727</v>
      </c>
      <c r="C309" s="15">
        <v>648.27561357126478</v>
      </c>
      <c r="D309" s="15">
        <v>78.724386428735215</v>
      </c>
    </row>
    <row r="310" spans="1:4" ht="15" customHeight="1" x14ac:dyDescent="0.35">
      <c r="A310" s="17">
        <v>189</v>
      </c>
      <c r="B310" s="15">
        <v>678</v>
      </c>
      <c r="C310" s="15">
        <v>662.20498958849248</v>
      </c>
      <c r="D310" s="15">
        <v>15.795010411507519</v>
      </c>
    </row>
    <row r="311" spans="1:4" ht="15" customHeight="1" x14ac:dyDescent="0.35">
      <c r="A311" s="17">
        <v>190</v>
      </c>
      <c r="B311" s="15">
        <v>1761</v>
      </c>
      <c r="C311" s="15">
        <v>1465.5683920691995</v>
      </c>
      <c r="D311" s="15">
        <v>295.43160793080051</v>
      </c>
    </row>
    <row r="312" spans="1:4" ht="15" customHeight="1" x14ac:dyDescent="0.35">
      <c r="A312" s="17">
        <v>191</v>
      </c>
      <c r="B312" s="15">
        <v>1615</v>
      </c>
      <c r="C312" s="15">
        <v>1505.598506578654</v>
      </c>
      <c r="D312" s="15">
        <v>109.401493421346</v>
      </c>
    </row>
    <row r="313" spans="1:4" ht="15" customHeight="1" x14ac:dyDescent="0.35">
      <c r="A313" s="17">
        <v>192</v>
      </c>
      <c r="B313" s="15">
        <v>1019</v>
      </c>
      <c r="C313" s="15">
        <v>897.38972350365566</v>
      </c>
      <c r="D313" s="15">
        <v>121.61027649634434</v>
      </c>
    </row>
    <row r="314" spans="1:4" ht="15" customHeight="1" x14ac:dyDescent="0.35">
      <c r="A314" s="17">
        <v>193</v>
      </c>
      <c r="B314" s="15">
        <v>854</v>
      </c>
      <c r="C314" s="15">
        <v>883.50419412528117</v>
      </c>
      <c r="D314" s="15">
        <v>-29.504194125281174</v>
      </c>
    </row>
    <row r="315" spans="1:4" ht="15" customHeight="1" x14ac:dyDescent="0.35">
      <c r="A315" s="17">
        <v>194</v>
      </c>
      <c r="B315" s="15">
        <v>897</v>
      </c>
      <c r="C315" s="15">
        <v>897.43357014250887</v>
      </c>
      <c r="D315" s="15">
        <v>-0.43357014250887005</v>
      </c>
    </row>
    <row r="316" spans="1:4" ht="15" customHeight="1" x14ac:dyDescent="0.35">
      <c r="A316" s="17">
        <v>195</v>
      </c>
      <c r="B316" s="15">
        <v>1307</v>
      </c>
      <c r="C316" s="15">
        <v>1334.4360892459872</v>
      </c>
      <c r="D316" s="15">
        <v>-27.436089245987205</v>
      </c>
    </row>
    <row r="317" spans="1:4" ht="15" customHeight="1" x14ac:dyDescent="0.35">
      <c r="A317" s="17">
        <v>196</v>
      </c>
      <c r="B317" s="15">
        <v>796</v>
      </c>
      <c r="C317" s="15">
        <v>1094.8482980720182</v>
      </c>
      <c r="D317" s="15">
        <v>-298.84829807201822</v>
      </c>
    </row>
    <row r="318" spans="1:4" ht="15" customHeight="1" x14ac:dyDescent="0.35">
      <c r="A318" s="17">
        <v>197</v>
      </c>
      <c r="B318" s="15">
        <v>648</v>
      </c>
      <c r="C318" s="15">
        <v>835.76704741628805</v>
      </c>
      <c r="D318" s="15">
        <v>-187.76704741628805</v>
      </c>
    </row>
    <row r="319" spans="1:4" ht="15" customHeight="1" x14ac:dyDescent="0.35">
      <c r="A319" s="17">
        <v>198</v>
      </c>
      <c r="B319" s="15">
        <v>735</v>
      </c>
      <c r="C319" s="15">
        <v>821.88151803791357</v>
      </c>
      <c r="D319" s="15">
        <v>-86.881518037913565</v>
      </c>
    </row>
    <row r="320" spans="1:4" ht="15" customHeight="1" x14ac:dyDescent="0.35">
      <c r="A320" s="17">
        <v>199</v>
      </c>
      <c r="B320" s="15">
        <v>843</v>
      </c>
      <c r="C320" s="15">
        <v>835.81089405514126</v>
      </c>
      <c r="D320" s="15">
        <v>7.1891059448587384</v>
      </c>
    </row>
    <row r="321" spans="1:4" ht="15" customHeight="1" x14ac:dyDescent="0.35">
      <c r="A321" s="17">
        <v>200</v>
      </c>
      <c r="B321" s="15">
        <v>1759</v>
      </c>
      <c r="C321" s="15">
        <v>1639.174296535848</v>
      </c>
      <c r="D321" s="15">
        <v>119.82570346415196</v>
      </c>
    </row>
    <row r="322" spans="1:4" ht="15" customHeight="1" x14ac:dyDescent="0.35">
      <c r="A322" s="17">
        <v>201</v>
      </c>
      <c r="B322" s="15">
        <v>1151</v>
      </c>
      <c r="C322" s="15">
        <v>1033.2256219846506</v>
      </c>
      <c r="D322" s="15">
        <v>117.77437801534938</v>
      </c>
    </row>
    <row r="323" spans="1:4" ht="15" customHeight="1" x14ac:dyDescent="0.35">
      <c r="A323" s="17">
        <v>202</v>
      </c>
      <c r="B323" s="15">
        <v>752</v>
      </c>
      <c r="C323" s="15">
        <v>774.14437132892067</v>
      </c>
      <c r="D323" s="15">
        <v>-22.14437132892067</v>
      </c>
    </row>
    <row r="324" spans="1:4" ht="15" customHeight="1" x14ac:dyDescent="0.35">
      <c r="A324" s="17">
        <v>203</v>
      </c>
      <c r="B324" s="15">
        <v>693</v>
      </c>
      <c r="C324" s="15">
        <v>760.25884195054618</v>
      </c>
      <c r="D324" s="15">
        <v>-67.258841950546184</v>
      </c>
    </row>
    <row r="325" spans="1:4" ht="15" customHeight="1" x14ac:dyDescent="0.35">
      <c r="A325" s="17">
        <v>204</v>
      </c>
      <c r="B325" s="15">
        <v>649</v>
      </c>
      <c r="C325" s="15">
        <v>774.18821796777388</v>
      </c>
      <c r="D325" s="15">
        <v>-125.18821796777388</v>
      </c>
    </row>
    <row r="326" spans="1:4" ht="15" customHeight="1" x14ac:dyDescent="0.35">
      <c r="A326" s="17">
        <v>205</v>
      </c>
      <c r="B326" s="15">
        <v>1158</v>
      </c>
      <c r="C326" s="15">
        <v>1211.190737071252</v>
      </c>
      <c r="D326" s="15">
        <v>-53.190737071251988</v>
      </c>
    </row>
    <row r="327" spans="1:4" ht="15" customHeight="1" x14ac:dyDescent="0.35">
      <c r="A327" s="17">
        <v>206</v>
      </c>
      <c r="B327" s="15">
        <v>931</v>
      </c>
      <c r="C327" s="15">
        <v>971.60294589728323</v>
      </c>
      <c r="D327" s="15">
        <v>-40.602945897283234</v>
      </c>
    </row>
    <row r="328" spans="1:4" ht="15" customHeight="1" x14ac:dyDescent="0.35">
      <c r="A328" s="17">
        <v>207</v>
      </c>
      <c r="B328" s="15">
        <v>761</v>
      </c>
      <c r="C328" s="15">
        <v>712.52169524155306</v>
      </c>
      <c r="D328" s="15">
        <v>48.478304758446939</v>
      </c>
    </row>
    <row r="329" spans="1:4" ht="15" customHeight="1" x14ac:dyDescent="0.35">
      <c r="A329" s="17">
        <v>208</v>
      </c>
      <c r="B329" s="15">
        <v>670</v>
      </c>
      <c r="C329" s="15">
        <v>698.63616586317858</v>
      </c>
      <c r="D329" s="15">
        <v>-28.636165863178576</v>
      </c>
    </row>
    <row r="330" spans="1:4" ht="15" customHeight="1" x14ac:dyDescent="0.35">
      <c r="A330" s="17">
        <v>209</v>
      </c>
      <c r="B330" s="15">
        <v>820</v>
      </c>
      <c r="C330" s="15">
        <v>712.56554188040627</v>
      </c>
      <c r="D330" s="15">
        <v>107.43445811959373</v>
      </c>
    </row>
    <row r="331" spans="1:4" ht="15" customHeight="1" x14ac:dyDescent="0.35">
      <c r="A331" s="17">
        <v>210</v>
      </c>
      <c r="B331" s="15">
        <v>1543</v>
      </c>
      <c r="C331" s="15">
        <v>1515.9289443611133</v>
      </c>
      <c r="D331" s="15">
        <v>27.071055638886719</v>
      </c>
    </row>
    <row r="332" spans="1:4" ht="15" customHeight="1" x14ac:dyDescent="0.35">
      <c r="A332" s="17">
        <v>211</v>
      </c>
      <c r="B332" s="15">
        <v>974</v>
      </c>
      <c r="C332" s="15">
        <v>909.98026980991563</v>
      </c>
      <c r="D332" s="15">
        <v>64.019730190084374</v>
      </c>
    </row>
    <row r="333" spans="1:4" ht="15" customHeight="1" x14ac:dyDescent="0.35">
      <c r="A333" s="17">
        <v>212</v>
      </c>
      <c r="B333" s="15">
        <v>685</v>
      </c>
      <c r="C333" s="15">
        <v>650.89901915418568</v>
      </c>
      <c r="D333" s="15">
        <v>34.10098084581432</v>
      </c>
    </row>
    <row r="334" spans="1:4" ht="15" customHeight="1" x14ac:dyDescent="0.35">
      <c r="A334" s="17">
        <v>213</v>
      </c>
      <c r="B334" s="15">
        <v>848</v>
      </c>
      <c r="C334" s="15">
        <v>637.01348977581119</v>
      </c>
      <c r="D334" s="15">
        <v>210.98651022418881</v>
      </c>
    </row>
    <row r="335" spans="1:4" ht="15" customHeight="1" x14ac:dyDescent="0.35">
      <c r="A335" s="17">
        <v>214</v>
      </c>
      <c r="B335" s="15">
        <v>1406</v>
      </c>
      <c r="C335" s="15">
        <v>1279.9702442859293</v>
      </c>
      <c r="D335" s="15">
        <v>126.02975571407069</v>
      </c>
    </row>
    <row r="336" spans="1:4" ht="15" customHeight="1" x14ac:dyDescent="0.35">
      <c r="A336" s="17">
        <v>215</v>
      </c>
      <c r="B336" s="15">
        <v>1578</v>
      </c>
      <c r="C336" s="15">
        <v>1367.8452309701393</v>
      </c>
      <c r="D336" s="15">
        <v>210.15476902986074</v>
      </c>
    </row>
    <row r="337" spans="1:4" ht="15" customHeight="1" x14ac:dyDescent="0.35">
      <c r="A337" s="17">
        <v>216</v>
      </c>
      <c r="B337" s="15">
        <v>1004</v>
      </c>
      <c r="C337" s="15">
        <v>1128.2574397961703</v>
      </c>
      <c r="D337" s="15">
        <v>-124.25743979617027</v>
      </c>
    </row>
    <row r="338" spans="1:4" ht="15" customHeight="1" x14ac:dyDescent="0.35">
      <c r="A338" s="17">
        <v>217</v>
      </c>
      <c r="B338" s="15">
        <v>742</v>
      </c>
      <c r="C338" s="15">
        <v>869.17618914044033</v>
      </c>
      <c r="D338" s="15">
        <v>-127.17618914044033</v>
      </c>
    </row>
    <row r="339" spans="1:4" ht="15" customHeight="1" x14ac:dyDescent="0.35">
      <c r="A339" s="17">
        <v>218</v>
      </c>
      <c r="B339" s="15">
        <v>685</v>
      </c>
      <c r="C339" s="15">
        <v>855.29065976206584</v>
      </c>
      <c r="D339" s="15">
        <v>-170.29065976206584</v>
      </c>
    </row>
    <row r="340" spans="1:4" ht="15" customHeight="1" x14ac:dyDescent="0.35">
      <c r="A340" s="17">
        <v>219</v>
      </c>
      <c r="B340" s="15">
        <v>800</v>
      </c>
      <c r="C340" s="15">
        <v>869.22003577929354</v>
      </c>
      <c r="D340" s="15">
        <v>-69.220035779293539</v>
      </c>
    </row>
    <row r="341" spans="1:4" ht="15" customHeight="1" x14ac:dyDescent="0.35">
      <c r="A341" s="17">
        <v>220</v>
      </c>
      <c r="B341" s="15">
        <v>1454</v>
      </c>
      <c r="C341" s="15">
        <v>1672.5834382600005</v>
      </c>
      <c r="D341" s="15">
        <v>-218.58343826000055</v>
      </c>
    </row>
    <row r="342" spans="1:4" ht="15" customHeight="1" x14ac:dyDescent="0.35">
      <c r="A342" s="17">
        <v>221</v>
      </c>
      <c r="B342" s="15">
        <v>890</v>
      </c>
      <c r="C342" s="15">
        <v>1066.6347637088029</v>
      </c>
      <c r="D342" s="15">
        <v>-176.63476370880289</v>
      </c>
    </row>
    <row r="343" spans="1:4" ht="15" customHeight="1" x14ac:dyDescent="0.35">
      <c r="A343" s="17">
        <v>222</v>
      </c>
      <c r="B343" s="15">
        <v>693</v>
      </c>
      <c r="C343" s="15">
        <v>807.55351305307272</v>
      </c>
      <c r="D343" s="15">
        <v>-114.55351305307272</v>
      </c>
    </row>
    <row r="344" spans="1:4" ht="15" customHeight="1" x14ac:dyDescent="0.35">
      <c r="A344" s="17">
        <v>223</v>
      </c>
      <c r="B344" s="15">
        <v>693</v>
      </c>
      <c r="C344" s="15">
        <v>793.66798367469823</v>
      </c>
      <c r="D344" s="15">
        <v>-100.66798367469823</v>
      </c>
    </row>
    <row r="345" spans="1:4" ht="15" customHeight="1" x14ac:dyDescent="0.35">
      <c r="A345" s="17">
        <v>224</v>
      </c>
      <c r="B345" s="15">
        <v>914</v>
      </c>
      <c r="C345" s="15">
        <v>807.59735969192593</v>
      </c>
      <c r="D345" s="15">
        <v>106.40264030807407</v>
      </c>
    </row>
    <row r="346" spans="1:4" ht="15" customHeight="1" x14ac:dyDescent="0.35">
      <c r="A346" s="17">
        <v>225</v>
      </c>
      <c r="B346" s="15">
        <v>1271</v>
      </c>
      <c r="C346" s="15">
        <v>1244.599878795404</v>
      </c>
      <c r="D346" s="15">
        <v>26.400121204595962</v>
      </c>
    </row>
    <row r="347" spans="1:4" ht="15" customHeight="1" x14ac:dyDescent="0.35">
      <c r="A347" s="17">
        <v>226</v>
      </c>
      <c r="B347" s="15">
        <v>1031</v>
      </c>
      <c r="C347" s="15">
        <v>1005.0120876214353</v>
      </c>
      <c r="D347" s="15">
        <v>25.987912378564715</v>
      </c>
    </row>
    <row r="348" spans="1:4" ht="15" customHeight="1" x14ac:dyDescent="0.35">
      <c r="A348" s="17">
        <v>227</v>
      </c>
      <c r="B348" s="15">
        <v>949</v>
      </c>
      <c r="C348" s="15">
        <v>745.93083696570534</v>
      </c>
      <c r="D348" s="15">
        <v>203.06916303429466</v>
      </c>
    </row>
    <row r="349" spans="1:4" ht="15" customHeight="1" x14ac:dyDescent="0.35">
      <c r="A349" s="17">
        <v>228</v>
      </c>
      <c r="B349" s="15">
        <v>1356</v>
      </c>
      <c r="C349" s="15">
        <v>1007.3870864522912</v>
      </c>
      <c r="D349" s="15">
        <v>348.61291354770879</v>
      </c>
    </row>
    <row r="350" spans="1:4" ht="15" customHeight="1" x14ac:dyDescent="0.35">
      <c r="A350" s="17">
        <v>229</v>
      </c>
      <c r="B350" s="15">
        <v>1085</v>
      </c>
      <c r="C350" s="15">
        <v>1458.318981572997</v>
      </c>
      <c r="D350" s="15">
        <v>-373.31898157299702</v>
      </c>
    </row>
    <row r="351" spans="1:4" ht="15" customHeight="1" x14ac:dyDescent="0.35">
      <c r="A351" s="17">
        <v>230</v>
      </c>
      <c r="B351" s="15">
        <v>1063</v>
      </c>
      <c r="C351" s="15">
        <v>943.38941153406768</v>
      </c>
      <c r="D351" s="15">
        <v>119.61058846593232</v>
      </c>
    </row>
    <row r="352" spans="1:4" ht="15" customHeight="1" x14ac:dyDescent="0.35">
      <c r="A352" s="17">
        <v>231</v>
      </c>
      <c r="B352" s="15">
        <v>797</v>
      </c>
      <c r="C352" s="15">
        <v>684.30816087833773</v>
      </c>
      <c r="D352" s="15">
        <v>112.69183912166227</v>
      </c>
    </row>
    <row r="353" spans="1:4" ht="15" customHeight="1" x14ac:dyDescent="0.35">
      <c r="A353" s="17">
        <v>232</v>
      </c>
      <c r="B353" s="15">
        <v>632</v>
      </c>
      <c r="C353" s="15">
        <v>670.42263149996325</v>
      </c>
      <c r="D353" s="15">
        <v>-38.422631499963245</v>
      </c>
    </row>
    <row r="354" spans="1:4" ht="15" customHeight="1" x14ac:dyDescent="0.35">
      <c r="A354" s="17">
        <v>233</v>
      </c>
      <c r="B354" s="15">
        <v>698</v>
      </c>
      <c r="C354" s="15">
        <v>684.35200751719094</v>
      </c>
      <c r="D354" s="15">
        <v>13.647992482809059</v>
      </c>
    </row>
    <row r="355" spans="1:4" ht="15" customHeight="1" x14ac:dyDescent="0.35">
      <c r="A355" s="17">
        <v>234</v>
      </c>
      <c r="B355" s="15">
        <v>1691</v>
      </c>
      <c r="C355" s="15">
        <v>1470.4820590399377</v>
      </c>
      <c r="D355" s="15">
        <v>220.51794096006233</v>
      </c>
    </row>
    <row r="356" spans="1:4" ht="15" customHeight="1" x14ac:dyDescent="0.35">
      <c r="A356" s="17">
        <v>235</v>
      </c>
      <c r="B356" s="15">
        <v>1504</v>
      </c>
      <c r="C356" s="15">
        <v>1243.4648831024288</v>
      </c>
      <c r="D356" s="15">
        <v>260.53511689757124</v>
      </c>
    </row>
    <row r="357" spans="1:4" ht="15" customHeight="1" x14ac:dyDescent="0.35">
      <c r="A357" s="17">
        <v>236</v>
      </c>
      <c r="B357" s="15">
        <v>828</v>
      </c>
      <c r="C357" s="15">
        <v>984.38363244669881</v>
      </c>
      <c r="D357" s="15">
        <v>-156.38363244669881</v>
      </c>
    </row>
    <row r="358" spans="1:4" ht="15" customHeight="1" x14ac:dyDescent="0.35">
      <c r="A358" s="17">
        <v>237</v>
      </c>
      <c r="B358" s="15">
        <v>863</v>
      </c>
      <c r="C358" s="15">
        <v>970.49810306832433</v>
      </c>
      <c r="D358" s="15">
        <v>-107.49810306832433</v>
      </c>
    </row>
    <row r="359" spans="1:4" ht="15" customHeight="1" x14ac:dyDescent="0.35">
      <c r="A359" s="17">
        <v>238</v>
      </c>
      <c r="B359" s="15">
        <v>957</v>
      </c>
      <c r="C359" s="15">
        <v>984.42747908555202</v>
      </c>
      <c r="D359" s="15">
        <v>-27.427479085552022</v>
      </c>
    </row>
    <row r="360" spans="1:4" ht="15" customHeight="1" x14ac:dyDescent="0.35">
      <c r="A360" s="17">
        <v>239</v>
      </c>
      <c r="B360" s="15">
        <v>1585</v>
      </c>
      <c r="C360" s="15">
        <v>1787.790881566259</v>
      </c>
      <c r="D360" s="15">
        <v>-202.79088156625903</v>
      </c>
    </row>
    <row r="361" spans="1:4" ht="15" customHeight="1" x14ac:dyDescent="0.35">
      <c r="A361" s="17">
        <v>240</v>
      </c>
      <c r="B361" s="15">
        <v>1126</v>
      </c>
      <c r="C361" s="15">
        <v>1181.8422070150609</v>
      </c>
      <c r="D361" s="15">
        <v>-55.842207015060922</v>
      </c>
    </row>
    <row r="362" spans="1:4" ht="15" customHeight="1" x14ac:dyDescent="0.35">
      <c r="A362" s="17">
        <v>241</v>
      </c>
      <c r="B362" s="15">
        <v>896</v>
      </c>
      <c r="C362" s="15">
        <v>922.7609563593312</v>
      </c>
      <c r="D362" s="15">
        <v>-26.760956359331203</v>
      </c>
    </row>
    <row r="363" spans="1:4" ht="15" customHeight="1" x14ac:dyDescent="0.35">
      <c r="A363" s="17">
        <v>242</v>
      </c>
      <c r="B363" s="15">
        <v>870</v>
      </c>
      <c r="C363" s="15">
        <v>908.87542698095672</v>
      </c>
      <c r="D363" s="15">
        <v>-38.875426980956718</v>
      </c>
    </row>
    <row r="364" spans="1:4" ht="15" customHeight="1" x14ac:dyDescent="0.35">
      <c r="A364" s="17">
        <v>243</v>
      </c>
      <c r="B364" s="15">
        <v>873</v>
      </c>
      <c r="C364" s="15">
        <v>922.80480299818441</v>
      </c>
      <c r="D364" s="15">
        <v>-49.804802998184414</v>
      </c>
    </row>
    <row r="365" spans="1:4" ht="15" customHeight="1" x14ac:dyDescent="0.35">
      <c r="A365" s="17">
        <v>244</v>
      </c>
      <c r="B365" s="15">
        <v>1471</v>
      </c>
      <c r="C365" s="15">
        <v>1359.807322101663</v>
      </c>
      <c r="D365" s="15">
        <v>111.19267789833702</v>
      </c>
    </row>
    <row r="366" spans="1:4" ht="15" customHeight="1" x14ac:dyDescent="0.35">
      <c r="A366" s="17">
        <v>245</v>
      </c>
      <c r="B366" s="15">
        <v>1299</v>
      </c>
      <c r="C366" s="15">
        <v>1120.219530927694</v>
      </c>
      <c r="D366" s="15">
        <v>178.780469072306</v>
      </c>
    </row>
    <row r="367" spans="1:4" ht="15" customHeight="1" x14ac:dyDescent="0.35">
      <c r="A367" s="17">
        <v>246</v>
      </c>
      <c r="B367" s="15">
        <v>1058</v>
      </c>
      <c r="C367" s="15">
        <v>861.13828027196382</v>
      </c>
      <c r="D367" s="15">
        <v>196.86171972803618</v>
      </c>
    </row>
    <row r="368" spans="1:4" ht="15" customHeight="1" x14ac:dyDescent="0.35">
      <c r="A368" s="17">
        <v>247</v>
      </c>
      <c r="B368" s="15">
        <v>1104</v>
      </c>
      <c r="C368" s="15">
        <v>847.25275089358934</v>
      </c>
      <c r="D368" s="15">
        <v>256.74724910641066</v>
      </c>
    </row>
    <row r="369" spans="1:4" ht="15" customHeight="1" x14ac:dyDescent="0.35">
      <c r="A369" s="17">
        <v>248</v>
      </c>
      <c r="B369" s="15">
        <v>1018</v>
      </c>
      <c r="C369" s="15">
        <v>861.18212691081703</v>
      </c>
      <c r="D369" s="15">
        <v>156.81787308918297</v>
      </c>
    </row>
    <row r="370" spans="1:4" ht="15" customHeight="1" x14ac:dyDescent="0.35">
      <c r="A370" s="17">
        <v>249</v>
      </c>
      <c r="B370" s="15">
        <v>1955</v>
      </c>
      <c r="C370" s="15">
        <v>1664.5455293915238</v>
      </c>
      <c r="D370" s="15">
        <v>290.45447060847619</v>
      </c>
    </row>
    <row r="371" spans="1:4" ht="15" customHeight="1" x14ac:dyDescent="0.35">
      <c r="A371" s="17">
        <v>250</v>
      </c>
      <c r="B371" s="15">
        <v>941</v>
      </c>
      <c r="C371" s="15">
        <v>1333.9386337052865</v>
      </c>
      <c r="D371" s="15">
        <v>-392.93863370528652</v>
      </c>
    </row>
    <row r="372" spans="1:4" ht="15" customHeight="1" x14ac:dyDescent="0.35">
      <c r="A372" s="17">
        <v>251</v>
      </c>
      <c r="B372" s="15">
        <v>999</v>
      </c>
      <c r="C372" s="15">
        <v>1060.9718536711821</v>
      </c>
      <c r="D372" s="15">
        <v>-61.971853671182089</v>
      </c>
    </row>
    <row r="373" spans="1:4" ht="15" customHeight="1" x14ac:dyDescent="0.35">
      <c r="A373" s="17">
        <v>252</v>
      </c>
      <c r="B373" s="15">
        <v>619</v>
      </c>
      <c r="C373" s="15">
        <v>799.55945082344942</v>
      </c>
      <c r="D373" s="15">
        <v>-180.55945082344942</v>
      </c>
    </row>
    <row r="374" spans="1:4" ht="15" customHeight="1" x14ac:dyDescent="0.35">
      <c r="A374" s="17">
        <v>253</v>
      </c>
      <c r="B374" s="15">
        <v>937</v>
      </c>
      <c r="C374" s="15">
        <v>1236.5619699269278</v>
      </c>
      <c r="D374" s="15">
        <v>-299.56196992692776</v>
      </c>
    </row>
    <row r="375" spans="1:4" ht="15" customHeight="1" x14ac:dyDescent="0.35">
      <c r="A375" s="17">
        <v>254</v>
      </c>
      <c r="B375" s="15">
        <v>1146</v>
      </c>
      <c r="C375" s="15">
        <v>996.97417875295878</v>
      </c>
      <c r="D375" s="15">
        <v>149.02582124704122</v>
      </c>
    </row>
    <row r="376" spans="1:4" ht="15" customHeight="1" x14ac:dyDescent="0.35"/>
  </sheetData>
  <mergeCells count="18">
    <mergeCell ref="G10:G11"/>
    <mergeCell ref="B10:B11"/>
    <mergeCell ref="C10:C11"/>
    <mergeCell ref="D10:D11"/>
    <mergeCell ref="E10:E11"/>
    <mergeCell ref="F10:F11"/>
    <mergeCell ref="H19:I19"/>
    <mergeCell ref="B108:E108"/>
    <mergeCell ref="B14:B15"/>
    <mergeCell ref="C14:C15"/>
    <mergeCell ref="D14:D15"/>
    <mergeCell ref="E14:E15"/>
    <mergeCell ref="F14:F15"/>
    <mergeCell ref="B19:B20"/>
    <mergeCell ref="C19:C20"/>
    <mergeCell ref="D19:D20"/>
    <mergeCell ref="E19:E20"/>
    <mergeCell ref="F19:G19"/>
  </mergeCells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B1DC2-E286-4922-A799-BEBE3FE72DC9}">
  <dimension ref="A1:AF409"/>
  <sheetViews>
    <sheetView showGridLines="0" zoomScale="88" zoomScaleNormal="88" workbookViewId="0">
      <selection activeCell="D17" sqref="D17"/>
    </sheetView>
  </sheetViews>
  <sheetFormatPr defaultColWidth="12.6328125" defaultRowHeight="14.5" x14ac:dyDescent="0.35"/>
  <cols>
    <col min="1" max="1" width="40.6328125" customWidth="1"/>
    <col min="2" max="20" width="12.6328125" customWidth="1"/>
    <col min="21" max="21" width="16.6328125" bestFit="1" customWidth="1"/>
    <col min="22" max="22" width="16.81640625" bestFit="1" customWidth="1"/>
    <col min="23" max="23" width="17" bestFit="1" customWidth="1"/>
    <col min="24" max="24" width="17.1796875" bestFit="1" customWidth="1"/>
    <col min="25" max="25" width="17" bestFit="1" customWidth="1"/>
    <col min="26" max="26" width="16.6328125" bestFit="1" customWidth="1"/>
    <col min="27" max="27" width="16.26953125" bestFit="1" customWidth="1"/>
    <col min="28" max="28" width="16.6328125" bestFit="1" customWidth="1"/>
    <col min="29" max="29" width="17.08984375" bestFit="1" customWidth="1"/>
    <col min="30" max="30" width="17.26953125" bestFit="1" customWidth="1"/>
    <col min="31" max="31" width="17.08984375" bestFit="1" customWidth="1"/>
    <col min="32" max="32" width="17" bestFit="1" customWidth="1"/>
  </cols>
  <sheetData>
    <row r="1" spans="1:7" s="7" customFormat="1" ht="18.5" x14ac:dyDescent="0.45">
      <c r="A1" s="13" t="s">
        <v>61</v>
      </c>
      <c r="B1" s="11"/>
    </row>
    <row r="2" spans="1:7" s="7" customFormat="1" ht="10.5" x14ac:dyDescent="0.25">
      <c r="A2" s="9" t="s">
        <v>62</v>
      </c>
      <c r="B2" s="11" t="s">
        <v>63</v>
      </c>
    </row>
    <row r="3" spans="1:7" s="7" customFormat="1" ht="10.5" x14ac:dyDescent="0.25">
      <c r="A3" s="9" t="s">
        <v>64</v>
      </c>
      <c r="B3" s="11" t="s">
        <v>110</v>
      </c>
    </row>
    <row r="4" spans="1:7" s="7" customFormat="1" ht="10.5" x14ac:dyDescent="0.25">
      <c r="A4" s="9" t="s">
        <v>65</v>
      </c>
      <c r="B4" s="14">
        <v>45421</v>
      </c>
    </row>
    <row r="5" spans="1:7" s="7" customFormat="1" ht="10.5" x14ac:dyDescent="0.25">
      <c r="A5" s="9" t="s">
        <v>66</v>
      </c>
      <c r="B5" s="11" t="s">
        <v>67</v>
      </c>
    </row>
    <row r="6" spans="1:7" s="8" customFormat="1" ht="10.5" x14ac:dyDescent="0.25">
      <c r="A6" s="10" t="s">
        <v>68</v>
      </c>
      <c r="B6" s="12" t="s">
        <v>6</v>
      </c>
    </row>
    <row r="8" spans="1:7" ht="15" customHeight="1" x14ac:dyDescent="0.35">
      <c r="A8" t="s">
        <v>337</v>
      </c>
    </row>
    <row r="9" spans="1:7" ht="15" customHeight="1" x14ac:dyDescent="0.35"/>
    <row r="10" spans="1:7" ht="15" customHeight="1" x14ac:dyDescent="0.35">
      <c r="A10" s="18" t="s">
        <v>70</v>
      </c>
      <c r="B10" s="50" t="s">
        <v>71</v>
      </c>
      <c r="C10" s="52" t="s">
        <v>72</v>
      </c>
      <c r="D10" s="50" t="s">
        <v>73</v>
      </c>
      <c r="E10" s="50" t="s">
        <v>74</v>
      </c>
      <c r="F10" s="50" t="s">
        <v>75</v>
      </c>
      <c r="G10" s="52" t="s">
        <v>76</v>
      </c>
    </row>
    <row r="11" spans="1:7" ht="15" customHeight="1" thickBot="1" x14ac:dyDescent="0.4">
      <c r="A11" s="47" t="s">
        <v>69</v>
      </c>
      <c r="B11" s="51"/>
      <c r="C11" s="51"/>
      <c r="D11" s="51"/>
      <c r="E11" s="51"/>
      <c r="F11" s="51"/>
      <c r="G11" s="51"/>
    </row>
    <row r="12" spans="1:7" ht="15" customHeight="1" thickTop="1" x14ac:dyDescent="0.35">
      <c r="A12" s="17"/>
      <c r="B12" s="19">
        <v>0.91229231944816647</v>
      </c>
      <c r="C12" s="19">
        <v>0.83227727612411551</v>
      </c>
      <c r="D12" s="19">
        <v>0.80971368098386209</v>
      </c>
      <c r="E12" s="15">
        <v>148.80656208666386</v>
      </c>
      <c r="F12" s="15">
        <v>0</v>
      </c>
      <c r="G12" s="15">
        <v>1</v>
      </c>
    </row>
    <row r="13" spans="1:7" ht="15" customHeight="1" x14ac:dyDescent="0.35"/>
    <row r="14" spans="1:7" ht="15" customHeight="1" x14ac:dyDescent="0.35">
      <c r="A14" s="18"/>
      <c r="B14" s="50" t="s">
        <v>172</v>
      </c>
      <c r="C14" s="50" t="s">
        <v>78</v>
      </c>
      <c r="D14" s="50" t="s">
        <v>79</v>
      </c>
      <c r="E14" s="52" t="s">
        <v>80</v>
      </c>
      <c r="F14" s="52" t="s">
        <v>81</v>
      </c>
    </row>
    <row r="15" spans="1:7" ht="15" customHeight="1" thickBot="1" x14ac:dyDescent="0.4">
      <c r="A15" s="47" t="s">
        <v>77</v>
      </c>
      <c r="B15" s="51"/>
      <c r="C15" s="51"/>
      <c r="D15" s="51"/>
      <c r="E15" s="51"/>
      <c r="F15" s="51"/>
    </row>
    <row r="16" spans="1:7" ht="15" customHeight="1" thickTop="1" x14ac:dyDescent="0.35">
      <c r="A16" s="17" t="s">
        <v>82</v>
      </c>
      <c r="B16" s="15">
        <v>30</v>
      </c>
      <c r="C16" s="15">
        <v>24503332.863080218</v>
      </c>
      <c r="D16" s="15">
        <v>816777.76210267399</v>
      </c>
      <c r="E16" s="15">
        <v>36.885845139072323</v>
      </c>
      <c r="F16" s="20">
        <v>3.5523410967116223E-70</v>
      </c>
    </row>
    <row r="17" spans="1:9" ht="15" customHeight="1" x14ac:dyDescent="0.35">
      <c r="A17" s="17" t="s">
        <v>83</v>
      </c>
      <c r="B17" s="15">
        <v>223</v>
      </c>
      <c r="C17" s="15">
        <v>4937976.6211716291</v>
      </c>
      <c r="D17" s="15">
        <v>22143.392920052149</v>
      </c>
      <c r="E17" s="15"/>
      <c r="F17" s="15"/>
    </row>
    <row r="18" spans="1:9" ht="15" customHeight="1" x14ac:dyDescent="0.35"/>
    <row r="19" spans="1:9" ht="15" customHeight="1" x14ac:dyDescent="0.35">
      <c r="A19" s="18"/>
      <c r="B19" s="52" t="s">
        <v>85</v>
      </c>
      <c r="C19" s="50" t="s">
        <v>86</v>
      </c>
      <c r="D19" s="52" t="s">
        <v>87</v>
      </c>
      <c r="E19" s="52" t="s">
        <v>81</v>
      </c>
      <c r="F19" s="48" t="s">
        <v>88</v>
      </c>
      <c r="G19" s="48"/>
      <c r="H19" s="48" t="s">
        <v>173</v>
      </c>
      <c r="I19" s="48"/>
    </row>
    <row r="20" spans="1:9" ht="15" customHeight="1" thickBot="1" x14ac:dyDescent="0.4">
      <c r="A20" s="47" t="s">
        <v>84</v>
      </c>
      <c r="B20" s="51"/>
      <c r="C20" s="51"/>
      <c r="D20" s="51"/>
      <c r="E20" s="51"/>
      <c r="F20" s="46" t="s">
        <v>89</v>
      </c>
      <c r="G20" s="46" t="s">
        <v>90</v>
      </c>
      <c r="H20" s="46" t="s">
        <v>174</v>
      </c>
      <c r="I20" s="46" t="s">
        <v>72</v>
      </c>
    </row>
    <row r="21" spans="1:9" ht="15" customHeight="1" thickTop="1" x14ac:dyDescent="0.35">
      <c r="A21" s="17" t="s">
        <v>91</v>
      </c>
      <c r="B21" s="15">
        <v>1858.7151221398035</v>
      </c>
      <c r="C21" s="15">
        <v>107.74006818220609</v>
      </c>
      <c r="D21" s="15">
        <v>17.251846536763018</v>
      </c>
      <c r="E21" s="20">
        <v>6.1749561629889074E-43</v>
      </c>
      <c r="F21" s="15">
        <v>1646.3961913354774</v>
      </c>
      <c r="G21" s="15">
        <v>2071.0340529441296</v>
      </c>
      <c r="H21" s="15"/>
      <c r="I21" s="15"/>
    </row>
    <row r="22" spans="1:9" ht="15" customHeight="1" x14ac:dyDescent="0.35">
      <c r="A22" s="17" t="s">
        <v>1</v>
      </c>
      <c r="B22" s="15">
        <v>-7.0249911074737383</v>
      </c>
      <c r="C22" s="15">
        <v>4.5328560624552763</v>
      </c>
      <c r="D22" s="15">
        <v>-1.5497935541479706</v>
      </c>
      <c r="E22" s="20">
        <v>0.12260907467535506</v>
      </c>
      <c r="F22" s="15">
        <v>-15.957704525130177</v>
      </c>
      <c r="G22" s="15">
        <v>1.9077223101827006</v>
      </c>
      <c r="H22" s="15">
        <v>18.036199197372127</v>
      </c>
      <c r="I22" s="15">
        <v>0.94455594612496296</v>
      </c>
    </row>
    <row r="23" spans="1:9" ht="15" customHeight="1" x14ac:dyDescent="0.35">
      <c r="A23" s="17" t="s">
        <v>238</v>
      </c>
      <c r="B23" s="15">
        <v>73.235028760474052</v>
      </c>
      <c r="C23" s="15">
        <v>105.17743145739</v>
      </c>
      <c r="D23" s="15">
        <v>0.69629984061878702</v>
      </c>
      <c r="E23" s="20">
        <v>0.48696617700358569</v>
      </c>
      <c r="F23" s="15">
        <v>-134.03381901872629</v>
      </c>
      <c r="G23" s="15">
        <v>280.50387653967437</v>
      </c>
      <c r="H23" s="15">
        <v>9.6237083730386974</v>
      </c>
      <c r="I23" s="15">
        <v>0.89608995189405882</v>
      </c>
    </row>
    <row r="24" spans="1:9" ht="15" customHeight="1" x14ac:dyDescent="0.35">
      <c r="A24" s="17" t="s">
        <v>239</v>
      </c>
      <c r="B24" s="15">
        <v>312.68845564673575</v>
      </c>
      <c r="C24" s="15">
        <v>103.27910152572316</v>
      </c>
      <c r="D24" s="15">
        <v>3.0276062729772697</v>
      </c>
      <c r="E24" s="20">
        <v>2.7550739651266195E-3</v>
      </c>
      <c r="F24" s="15">
        <v>109.16056875799748</v>
      </c>
      <c r="G24" s="15">
        <v>516.21634253547404</v>
      </c>
      <c r="H24" s="15">
        <v>10.075969290369699</v>
      </c>
      <c r="I24" s="15">
        <v>0.90075396508445404</v>
      </c>
    </row>
    <row r="25" spans="1:9" ht="15" customHeight="1" x14ac:dyDescent="0.35">
      <c r="A25" s="17" t="s">
        <v>240</v>
      </c>
      <c r="B25" s="15">
        <v>180.81346188520911</v>
      </c>
      <c r="C25" s="15">
        <v>108.63798691621064</v>
      </c>
      <c r="D25" s="15">
        <v>1.6643668298517473</v>
      </c>
      <c r="E25" s="20">
        <v>9.7443592378094745E-2</v>
      </c>
      <c r="F25" s="15">
        <v>-33.274960518385427</v>
      </c>
      <c r="G25" s="15">
        <v>394.90188428880367</v>
      </c>
      <c r="H25" s="15">
        <v>9.8204500034153153</v>
      </c>
      <c r="I25" s="15">
        <v>0.89817167241295215</v>
      </c>
    </row>
    <row r="26" spans="1:9" ht="15" customHeight="1" x14ac:dyDescent="0.35">
      <c r="A26" s="17" t="s">
        <v>241</v>
      </c>
      <c r="B26" s="15">
        <v>13.992256297840868</v>
      </c>
      <c r="C26" s="15">
        <v>107.12590597240664</v>
      </c>
      <c r="D26" s="15">
        <v>0.13061505684203945</v>
      </c>
      <c r="E26" s="20">
        <v>0.89619758165139862</v>
      </c>
      <c r="F26" s="15">
        <v>-197.11637024433725</v>
      </c>
      <c r="G26" s="15">
        <v>225.10088284001898</v>
      </c>
      <c r="H26" s="15">
        <v>9.5489800430944101</v>
      </c>
      <c r="I26" s="15">
        <v>0.89527677348920887</v>
      </c>
    </row>
    <row r="27" spans="1:9" ht="15" customHeight="1" x14ac:dyDescent="0.35">
      <c r="A27" s="17" t="s">
        <v>242</v>
      </c>
      <c r="B27" s="15">
        <v>45.057679749437739</v>
      </c>
      <c r="C27" s="15">
        <v>105.13669988350659</v>
      </c>
      <c r="D27" s="15">
        <v>0.42856281202817359</v>
      </c>
      <c r="E27" s="20">
        <v>0.66865508116298189</v>
      </c>
      <c r="F27" s="15">
        <v>-162.13089998870032</v>
      </c>
      <c r="G27" s="15">
        <v>252.2462594875758</v>
      </c>
      <c r="H27" s="15">
        <v>10.030936115758037</v>
      </c>
      <c r="I27" s="15">
        <v>0.9003084070659112</v>
      </c>
    </row>
    <row r="28" spans="1:9" ht="15" customHeight="1" x14ac:dyDescent="0.35">
      <c r="A28" s="17" t="s">
        <v>243</v>
      </c>
      <c r="B28" s="15">
        <v>221.66854922436778</v>
      </c>
      <c r="C28" s="15">
        <v>106.873161536916</v>
      </c>
      <c r="D28" s="15">
        <v>2.0741273677751106</v>
      </c>
      <c r="E28" s="20">
        <v>3.9215530192532037E-2</v>
      </c>
      <c r="F28" s="15">
        <v>11.057995768790676</v>
      </c>
      <c r="G28" s="15">
        <v>432.27910267994491</v>
      </c>
      <c r="H28" s="15">
        <v>9.936527678874624</v>
      </c>
      <c r="I28" s="15">
        <v>0.89936122231853366</v>
      </c>
    </row>
    <row r="29" spans="1:9" ht="15" customHeight="1" x14ac:dyDescent="0.35">
      <c r="A29" s="17" t="s">
        <v>244</v>
      </c>
      <c r="B29" s="15">
        <v>248.67457919087519</v>
      </c>
      <c r="C29" s="15">
        <v>107.16046910133602</v>
      </c>
      <c r="D29" s="15">
        <v>2.3205812859564539</v>
      </c>
      <c r="E29" s="20">
        <v>2.1212957805337107E-2</v>
      </c>
      <c r="F29" s="15">
        <v>37.497840508957864</v>
      </c>
      <c r="G29" s="15">
        <v>459.85131787279249</v>
      </c>
      <c r="H29" s="15">
        <v>9.5551428077010438</v>
      </c>
      <c r="I29" s="15">
        <v>0.89534431665489689</v>
      </c>
    </row>
    <row r="30" spans="1:9" ht="15" customHeight="1" x14ac:dyDescent="0.35">
      <c r="A30" s="17" t="s">
        <v>245</v>
      </c>
      <c r="B30" s="15">
        <v>122.17355007211063</v>
      </c>
      <c r="C30" s="15">
        <v>104.61711097932253</v>
      </c>
      <c r="D30" s="15">
        <v>1.1678161337896065</v>
      </c>
      <c r="E30" s="20">
        <v>0.24412801174401086</v>
      </c>
      <c r="F30" s="15">
        <v>-83.99109713604625</v>
      </c>
      <c r="G30" s="15">
        <v>328.33819728026754</v>
      </c>
      <c r="H30" s="15">
        <v>9.9320346994755617</v>
      </c>
      <c r="I30" s="15">
        <v>0.89931569610275297</v>
      </c>
    </row>
    <row r="31" spans="1:9" ht="15" customHeight="1" x14ac:dyDescent="0.35">
      <c r="A31" s="17" t="s">
        <v>246</v>
      </c>
      <c r="B31" s="15">
        <v>114.40052214645493</v>
      </c>
      <c r="C31" s="15">
        <v>104.18072577675723</v>
      </c>
      <c r="D31" s="15">
        <v>1.0980968052727633</v>
      </c>
      <c r="E31" s="20">
        <v>0.27334643875515924</v>
      </c>
      <c r="F31" s="15">
        <v>-90.904158651890498</v>
      </c>
      <c r="G31" s="15">
        <v>319.70520294480036</v>
      </c>
      <c r="H31" s="15">
        <v>9.8493493068056956</v>
      </c>
      <c r="I31" s="15">
        <v>0.89847045029573469</v>
      </c>
    </row>
    <row r="32" spans="1:9" ht="15" customHeight="1" x14ac:dyDescent="0.35">
      <c r="A32" s="17" t="s">
        <v>247</v>
      </c>
      <c r="B32" s="15">
        <v>-8.0491518647086195</v>
      </c>
      <c r="C32" s="15">
        <v>104.71729574151533</v>
      </c>
      <c r="D32" s="15">
        <v>-7.6865543630702457E-2</v>
      </c>
      <c r="E32" s="20">
        <v>0.93879942722886434</v>
      </c>
      <c r="F32" s="15">
        <v>-214.41122907221995</v>
      </c>
      <c r="G32" s="15">
        <v>198.31292534280271</v>
      </c>
      <c r="H32" s="15">
        <v>9.5396879611684557</v>
      </c>
      <c r="I32" s="15">
        <v>0.89517476839174137</v>
      </c>
    </row>
    <row r="33" spans="1:9" ht="15" customHeight="1" x14ac:dyDescent="0.35">
      <c r="A33" s="17" t="s">
        <v>248</v>
      </c>
      <c r="B33" s="15">
        <v>7.5535965958888482</v>
      </c>
      <c r="C33" s="15">
        <v>101.86754080624839</v>
      </c>
      <c r="D33" s="15">
        <v>7.4151162736477122E-2</v>
      </c>
      <c r="E33" s="20">
        <v>0.94095657670114341</v>
      </c>
      <c r="F33" s="15">
        <v>-193.19258551225258</v>
      </c>
      <c r="G33" s="15">
        <v>208.29977870403027</v>
      </c>
      <c r="H33" s="15">
        <v>9.8024260983143918</v>
      </c>
      <c r="I33" s="15">
        <v>0.8979844387531819</v>
      </c>
    </row>
    <row r="34" spans="1:9" ht="15" customHeight="1" x14ac:dyDescent="0.35">
      <c r="A34" s="17" t="s">
        <v>274</v>
      </c>
      <c r="B34" s="15">
        <v>472.39290375235964</v>
      </c>
      <c r="C34" s="15">
        <v>34.372761095316186</v>
      </c>
      <c r="D34" s="15">
        <v>13.743234139451497</v>
      </c>
      <c r="E34" s="20">
        <v>1.5269234634693176E-31</v>
      </c>
      <c r="F34" s="15">
        <v>404.65591409120611</v>
      </c>
      <c r="G34" s="15">
        <v>540.12989341351317</v>
      </c>
      <c r="H34" s="15">
        <v>2.2065088270761901</v>
      </c>
      <c r="I34" s="15">
        <v>0.54679537750814977</v>
      </c>
    </row>
    <row r="35" spans="1:9" ht="15" customHeight="1" x14ac:dyDescent="0.35">
      <c r="A35" s="17" t="s">
        <v>275</v>
      </c>
      <c r="B35" s="15">
        <v>257.73800908908913</v>
      </c>
      <c r="C35" s="15">
        <v>29.972778243061178</v>
      </c>
      <c r="D35" s="15">
        <v>8.5990696958082804</v>
      </c>
      <c r="E35" s="20">
        <v>1.433264938103314E-15</v>
      </c>
      <c r="F35" s="15">
        <v>198.67188506325587</v>
      </c>
      <c r="G35" s="15">
        <v>316.80413311492242</v>
      </c>
      <c r="H35" s="15">
        <v>1.6292070840846444</v>
      </c>
      <c r="I35" s="15">
        <v>0.38620448574722399</v>
      </c>
    </row>
    <row r="36" spans="1:9" ht="15" customHeight="1" x14ac:dyDescent="0.35">
      <c r="A36" s="17" t="s">
        <v>276</v>
      </c>
      <c r="B36" s="15">
        <v>22.917471729470819</v>
      </c>
      <c r="C36" s="15">
        <v>29.956858321825489</v>
      </c>
      <c r="D36" s="15">
        <v>0.76501585991659127</v>
      </c>
      <c r="E36" s="20">
        <v>0.44507093887781268</v>
      </c>
      <c r="F36" s="15">
        <v>-36.117279560923542</v>
      </c>
      <c r="G36" s="15">
        <v>81.952223019865187</v>
      </c>
      <c r="H36" s="15">
        <v>1.6518890028133428</v>
      </c>
      <c r="I36" s="15">
        <v>0.39463244909500966</v>
      </c>
    </row>
    <row r="37" spans="1:9" ht="15" customHeight="1" x14ac:dyDescent="0.35">
      <c r="A37" s="17" t="s">
        <v>277</v>
      </c>
      <c r="B37" s="15">
        <v>7.3580778378680964</v>
      </c>
      <c r="C37" s="15">
        <v>29.819329204956095</v>
      </c>
      <c r="D37" s="15">
        <v>0.24675531053344935</v>
      </c>
      <c r="E37" s="20">
        <v>0.80532460217600355</v>
      </c>
      <c r="F37" s="15">
        <v>-51.405650465991755</v>
      </c>
      <c r="G37" s="15">
        <v>66.121806141727944</v>
      </c>
      <c r="H37" s="15">
        <v>1.636756484858316</v>
      </c>
      <c r="I37" s="15">
        <v>0.38903556561343705</v>
      </c>
    </row>
    <row r="38" spans="1:9" ht="15" customHeight="1" x14ac:dyDescent="0.35">
      <c r="A38" s="17" t="s">
        <v>301</v>
      </c>
      <c r="B38" s="15">
        <v>-358.9137409478646</v>
      </c>
      <c r="C38" s="15">
        <v>40.373798452729979</v>
      </c>
      <c r="D38" s="15">
        <v>-8.8897689764832055</v>
      </c>
      <c r="E38" s="20">
        <v>2.1080294426360471E-16</v>
      </c>
      <c r="F38" s="15">
        <v>-438.47672865171609</v>
      </c>
      <c r="G38" s="15">
        <v>-279.35075324401311</v>
      </c>
      <c r="H38" s="15">
        <v>1.6591927041793884</v>
      </c>
      <c r="I38" s="15">
        <v>0.39729725336841759</v>
      </c>
    </row>
    <row r="39" spans="1:9" ht="15" customHeight="1" x14ac:dyDescent="0.35">
      <c r="A39" s="17" t="s">
        <v>313</v>
      </c>
      <c r="B39" s="15">
        <v>-381.932964867333</v>
      </c>
      <c r="C39" s="15">
        <v>52.873639513540013</v>
      </c>
      <c r="D39" s="15">
        <v>-7.2235043469917866</v>
      </c>
      <c r="E39" s="20">
        <v>7.9314438622007769E-12</v>
      </c>
      <c r="F39" s="15">
        <v>-486.12887636669325</v>
      </c>
      <c r="G39" s="15">
        <v>-277.73705336797275</v>
      </c>
      <c r="H39" s="15">
        <v>1.212803257597346</v>
      </c>
      <c r="I39" s="15">
        <v>0.1754639561398649</v>
      </c>
    </row>
    <row r="40" spans="1:9" ht="15" customHeight="1" x14ac:dyDescent="0.35">
      <c r="A40" s="17" t="s">
        <v>325</v>
      </c>
      <c r="B40" s="15">
        <v>-270.0857201452697</v>
      </c>
      <c r="C40" s="15">
        <v>51.683690800141129</v>
      </c>
      <c r="D40" s="15">
        <v>-5.2257436720160122</v>
      </c>
      <c r="E40" s="20">
        <v>3.9794763990556679E-7</v>
      </c>
      <c r="F40" s="15">
        <v>-371.93664854963538</v>
      </c>
      <c r="G40" s="15">
        <v>-168.234791740904</v>
      </c>
      <c r="H40" s="15">
        <v>1.2694865823273478</v>
      </c>
      <c r="I40" s="15">
        <v>0.21227997686537062</v>
      </c>
    </row>
    <row r="41" spans="1:9" ht="15" customHeight="1" x14ac:dyDescent="0.35">
      <c r="A41" s="17" t="s">
        <v>340</v>
      </c>
      <c r="B41" s="15">
        <v>0.53260496886275632</v>
      </c>
      <c r="C41" s="15">
        <v>5.9398883270124383</v>
      </c>
      <c r="D41" s="15">
        <v>8.9665821904540505E-2</v>
      </c>
      <c r="E41" s="20">
        <v>0.92863325664756502</v>
      </c>
      <c r="F41" s="15">
        <v>-11.172889189128364</v>
      </c>
      <c r="G41" s="15">
        <v>12.238099126853877</v>
      </c>
      <c r="H41" s="15">
        <v>9.5073075437844885</v>
      </c>
      <c r="I41" s="15">
        <v>0.89481774988400775</v>
      </c>
    </row>
    <row r="42" spans="1:9" ht="15" customHeight="1" x14ac:dyDescent="0.35">
      <c r="A42" s="17" t="s">
        <v>341</v>
      </c>
      <c r="B42" s="15">
        <v>-11.973765873837294</v>
      </c>
      <c r="C42" s="15">
        <v>5.6905327932824177</v>
      </c>
      <c r="D42" s="15">
        <v>-2.1041554998105156</v>
      </c>
      <c r="E42" s="20">
        <v>3.648504532393531E-2</v>
      </c>
      <c r="F42" s="15">
        <v>-23.187865314849354</v>
      </c>
      <c r="G42" s="15">
        <v>-0.75966643282523627</v>
      </c>
      <c r="H42" s="15">
        <v>11.066453805607694</v>
      </c>
      <c r="I42" s="15">
        <v>0.90963681613225811</v>
      </c>
    </row>
    <row r="43" spans="1:9" ht="15" customHeight="1" x14ac:dyDescent="0.35">
      <c r="A43" s="17" t="s">
        <v>342</v>
      </c>
      <c r="B43" s="15">
        <v>-2.6994641595006215</v>
      </c>
      <c r="C43" s="15">
        <v>6.1330266059287322</v>
      </c>
      <c r="D43" s="15">
        <v>-0.44015203796622665</v>
      </c>
      <c r="E43" s="20">
        <v>0.66025330816025996</v>
      </c>
      <c r="F43" s="15">
        <v>-14.785567997518543</v>
      </c>
      <c r="G43" s="15">
        <v>9.3866396785172999</v>
      </c>
      <c r="H43" s="15">
        <v>10.213793349707053</v>
      </c>
      <c r="I43" s="15">
        <v>0.90209318264416605</v>
      </c>
    </row>
    <row r="44" spans="1:9" ht="15" customHeight="1" x14ac:dyDescent="0.35">
      <c r="A44" s="17" t="s">
        <v>343</v>
      </c>
      <c r="B44" s="15">
        <v>-0.76373455899653209</v>
      </c>
      <c r="C44" s="15">
        <v>6.1458362720907402</v>
      </c>
      <c r="D44" s="15">
        <v>-0.12426861458460538</v>
      </c>
      <c r="E44" s="20">
        <v>0.9012145381216945</v>
      </c>
      <c r="F44" s="15">
        <v>-12.875081880421931</v>
      </c>
      <c r="G44" s="15">
        <v>11.347612762428867</v>
      </c>
      <c r="H44" s="15">
        <v>9.0638957537031928</v>
      </c>
      <c r="I44" s="15">
        <v>0.88967216446731145</v>
      </c>
    </row>
    <row r="45" spans="1:9" ht="15" customHeight="1" x14ac:dyDescent="0.35">
      <c r="A45" s="17" t="s">
        <v>344</v>
      </c>
      <c r="B45" s="15">
        <v>-3.9812264573254197</v>
      </c>
      <c r="C45" s="15">
        <v>5.7875694437317655</v>
      </c>
      <c r="D45" s="15">
        <v>-0.68789264578713472</v>
      </c>
      <c r="E45" s="20">
        <v>0.49223527574913795</v>
      </c>
      <c r="F45" s="15">
        <v>-15.386552043074978</v>
      </c>
      <c r="G45" s="15">
        <v>7.4240991284241389</v>
      </c>
      <c r="H45" s="15">
        <v>10.745494972727975</v>
      </c>
      <c r="I45" s="15">
        <v>0.90693774437213026</v>
      </c>
    </row>
    <row r="46" spans="1:9" ht="15" customHeight="1" x14ac:dyDescent="0.35">
      <c r="A46" s="17" t="s">
        <v>345</v>
      </c>
      <c r="B46" s="15">
        <v>-1.1600146914498737</v>
      </c>
      <c r="C46" s="15">
        <v>5.8702486952760005</v>
      </c>
      <c r="D46" s="15">
        <v>-0.19760912214560503</v>
      </c>
      <c r="E46" s="20">
        <v>0.84353090318414448</v>
      </c>
      <c r="F46" s="15">
        <v>-12.728272885130277</v>
      </c>
      <c r="G46" s="15">
        <v>10.40824350223053</v>
      </c>
      <c r="H46" s="15">
        <v>10.645968485088575</v>
      </c>
      <c r="I46" s="15">
        <v>0.90606772869930396</v>
      </c>
    </row>
    <row r="47" spans="1:9" ht="15" customHeight="1" x14ac:dyDescent="0.35">
      <c r="A47" s="17" t="s">
        <v>346</v>
      </c>
      <c r="B47" s="15">
        <v>-1.8963665739337898</v>
      </c>
      <c r="C47" s="15">
        <v>5.9579963037955839</v>
      </c>
      <c r="D47" s="15">
        <v>-0.31828931695135426</v>
      </c>
      <c r="E47" s="20">
        <v>0.75056336795609935</v>
      </c>
      <c r="F47" s="15">
        <v>-13.637545378635222</v>
      </c>
      <c r="G47" s="15">
        <v>9.8448122307676424</v>
      </c>
      <c r="H47" s="15">
        <v>9.8491464268210187</v>
      </c>
      <c r="I47" s="15">
        <v>0.89846835891516263</v>
      </c>
    </row>
    <row r="48" spans="1:9" ht="15" customHeight="1" x14ac:dyDescent="0.35">
      <c r="A48" s="17" t="s">
        <v>347</v>
      </c>
      <c r="B48" s="15">
        <v>-4.5432264427447535</v>
      </c>
      <c r="C48" s="15">
        <v>5.7761031914617051</v>
      </c>
      <c r="D48" s="15">
        <v>-0.78655562273551438</v>
      </c>
      <c r="E48" s="20">
        <v>0.43237710154572351</v>
      </c>
      <c r="F48" s="15">
        <v>-15.925955955711112</v>
      </c>
      <c r="G48" s="15">
        <v>6.8395030702216051</v>
      </c>
      <c r="H48" s="15">
        <v>10.402854069769456</v>
      </c>
      <c r="I48" s="15">
        <v>0.90387253408600765</v>
      </c>
    </row>
    <row r="49" spans="1:32" ht="15" customHeight="1" x14ac:dyDescent="0.35">
      <c r="A49" s="17" t="s">
        <v>348</v>
      </c>
      <c r="B49" s="15">
        <v>3.436328447904657</v>
      </c>
      <c r="C49" s="15">
        <v>5.8546616558434597</v>
      </c>
      <c r="D49" s="15">
        <v>0.58693886169748233</v>
      </c>
      <c r="E49" s="20">
        <v>0.55783850336809704</v>
      </c>
      <c r="F49" s="15">
        <v>-8.1012130068451089</v>
      </c>
      <c r="G49" s="15">
        <v>14.973869902654423</v>
      </c>
      <c r="H49" s="15">
        <v>10.273620676526944</v>
      </c>
      <c r="I49" s="15">
        <v>0.90266333248172292</v>
      </c>
    </row>
    <row r="50" spans="1:32" ht="15" customHeight="1" x14ac:dyDescent="0.35">
      <c r="A50" s="17" t="s">
        <v>349</v>
      </c>
      <c r="B50" s="15">
        <v>2.8576971649722509</v>
      </c>
      <c r="C50" s="15">
        <v>5.8611085481816216</v>
      </c>
      <c r="D50" s="15">
        <v>0.48756939774794589</v>
      </c>
      <c r="E50" s="20">
        <v>0.62633385367636452</v>
      </c>
      <c r="F50" s="15">
        <v>-8.6925489159332567</v>
      </c>
      <c r="G50" s="15">
        <v>14.407943245877759</v>
      </c>
      <c r="H50" s="15">
        <v>10.052345622195558</v>
      </c>
      <c r="I50" s="15">
        <v>0.90052073042614034</v>
      </c>
    </row>
    <row r="51" spans="1:32" ht="15" customHeight="1" x14ac:dyDescent="0.35">
      <c r="A51" s="17" t="s">
        <v>350</v>
      </c>
      <c r="B51" s="15">
        <v>1.5493880042623118</v>
      </c>
      <c r="C51" s="15">
        <v>5.6478725094618651</v>
      </c>
      <c r="D51" s="15">
        <v>0.27433126397003943</v>
      </c>
      <c r="E51" s="20">
        <v>0.78408401864389321</v>
      </c>
      <c r="F51" s="15">
        <v>-9.5806425661669756</v>
      </c>
      <c r="G51" s="15">
        <v>12.679418574691599</v>
      </c>
      <c r="H51" s="15">
        <v>10.230381416511639</v>
      </c>
      <c r="I51" s="15">
        <v>0.90225193379535007</v>
      </c>
    </row>
    <row r="52" spans="1:32" ht="15" customHeight="1" x14ac:dyDescent="0.35"/>
    <row r="53" spans="1:32" ht="15" customHeight="1" x14ac:dyDescent="0.35">
      <c r="A53" s="18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 spans="1:32" ht="15" customHeight="1" thickBot="1" x14ac:dyDescent="0.4">
      <c r="A54" s="47" t="s">
        <v>175</v>
      </c>
      <c r="B54" s="46" t="s">
        <v>6</v>
      </c>
      <c r="C54" s="46" t="s">
        <v>1</v>
      </c>
      <c r="D54" s="46" t="s">
        <v>238</v>
      </c>
      <c r="E54" s="46" t="s">
        <v>239</v>
      </c>
      <c r="F54" s="46" t="s">
        <v>240</v>
      </c>
      <c r="G54" s="46" t="s">
        <v>241</v>
      </c>
      <c r="H54" s="46" t="s">
        <v>242</v>
      </c>
      <c r="I54" s="46" t="s">
        <v>243</v>
      </c>
      <c r="J54" s="46" t="s">
        <v>244</v>
      </c>
      <c r="K54" s="46" t="s">
        <v>245</v>
      </c>
      <c r="L54" s="46" t="s">
        <v>246</v>
      </c>
      <c r="M54" s="46" t="s">
        <v>247</v>
      </c>
      <c r="N54" s="46" t="s">
        <v>248</v>
      </c>
      <c r="O54" s="46" t="s">
        <v>274</v>
      </c>
      <c r="P54" s="46" t="s">
        <v>275</v>
      </c>
      <c r="Q54" s="46" t="s">
        <v>276</v>
      </c>
      <c r="R54" s="46" t="s">
        <v>277</v>
      </c>
      <c r="S54" s="46" t="s">
        <v>301</v>
      </c>
      <c r="T54" s="46" t="s">
        <v>313</v>
      </c>
      <c r="U54" s="46" t="s">
        <v>325</v>
      </c>
      <c r="V54" s="46" t="s">
        <v>340</v>
      </c>
      <c r="W54" s="46" t="s">
        <v>341</v>
      </c>
      <c r="X54" s="46" t="s">
        <v>342</v>
      </c>
      <c r="Y54" s="46" t="s">
        <v>343</v>
      </c>
      <c r="Z54" s="46" t="s">
        <v>344</v>
      </c>
      <c r="AA54" s="46" t="s">
        <v>345</v>
      </c>
      <c r="AB54" s="46" t="s">
        <v>346</v>
      </c>
      <c r="AC54" s="46" t="s">
        <v>347</v>
      </c>
      <c r="AD54" s="46" t="s">
        <v>348</v>
      </c>
      <c r="AE54" s="46" t="s">
        <v>349</v>
      </c>
      <c r="AF54" s="46" t="s">
        <v>350</v>
      </c>
    </row>
    <row r="55" spans="1:32" ht="15" customHeight="1" thickTop="1" x14ac:dyDescent="0.35">
      <c r="A55" s="17" t="s">
        <v>6</v>
      </c>
      <c r="B55" s="33">
        <v>0.99999999999999989</v>
      </c>
      <c r="C55" s="33">
        <v>-0.25239861054508933</v>
      </c>
      <c r="D55" s="33">
        <v>-2.1275114079400911E-2</v>
      </c>
      <c r="E55" s="33">
        <v>3.8294619142593411E-2</v>
      </c>
      <c r="F55" s="33">
        <v>5.576630478529624E-2</v>
      </c>
      <c r="G55" s="33">
        <v>-7.1408308203276108E-2</v>
      </c>
      <c r="H55" s="33">
        <v>-9.6870196624243537E-2</v>
      </c>
      <c r="I55" s="33">
        <v>0.10058121679204562</v>
      </c>
      <c r="J55" s="33">
        <v>0.1105089217874668</v>
      </c>
      <c r="K55" s="33">
        <v>-7.9008869941626977E-3</v>
      </c>
      <c r="L55" s="33">
        <v>6.5774252958288551E-2</v>
      </c>
      <c r="M55" s="33">
        <v>-1.4934553789398064E-2</v>
      </c>
      <c r="N55" s="33">
        <v>-7.0707680020562047E-2</v>
      </c>
      <c r="O55" s="33">
        <v>0.68760350698999428</v>
      </c>
      <c r="P55" s="33">
        <v>8.1013602924763187E-2</v>
      </c>
      <c r="Q55" s="33">
        <v>-0.22290994860205235</v>
      </c>
      <c r="R55" s="33">
        <v>-0.24129837739565904</v>
      </c>
      <c r="S55" s="33">
        <v>-0.64806541765064007</v>
      </c>
      <c r="T55" s="33">
        <v>-0.345472617470859</v>
      </c>
      <c r="U55" s="33">
        <v>-0.22158964201883408</v>
      </c>
      <c r="V55" s="33">
        <v>-2.6293653707443566E-2</v>
      </c>
      <c r="W55" s="33">
        <v>-2.1359596555788823E-2</v>
      </c>
      <c r="X55" s="33">
        <v>3.606340905366074E-2</v>
      </c>
      <c r="Y55" s="33">
        <v>-0.12065221323207807</v>
      </c>
      <c r="Z55" s="33">
        <v>-0.16353924249758664</v>
      </c>
      <c r="AA55" s="33">
        <v>3.6870280228753174E-2</v>
      </c>
      <c r="AB55" s="33">
        <v>5.5462640292805412E-2</v>
      </c>
      <c r="AC55" s="33">
        <v>-5.4006267245951617E-2</v>
      </c>
      <c r="AD55" s="33">
        <v>2.8907680780974717E-2</v>
      </c>
      <c r="AE55" s="33">
        <v>-2.7103641821033919E-2</v>
      </c>
      <c r="AF55" s="33">
        <v>-9.3393224906232752E-2</v>
      </c>
    </row>
    <row r="56" spans="1:32" ht="15" customHeight="1" x14ac:dyDescent="0.35">
      <c r="A56" s="17" t="s">
        <v>1</v>
      </c>
      <c r="B56" s="33">
        <v>-0.25239861054508939</v>
      </c>
      <c r="C56" s="33">
        <v>0.99999999999999978</v>
      </c>
      <c r="D56" s="33">
        <v>-2.0337490517710444E-2</v>
      </c>
      <c r="E56" s="33">
        <v>1.8652682282915112E-2</v>
      </c>
      <c r="F56" s="33">
        <v>-1.0262712135626962E-3</v>
      </c>
      <c r="G56" s="33">
        <v>-3.7787832376308492E-2</v>
      </c>
      <c r="H56" s="33">
        <v>1.7159800952442489E-2</v>
      </c>
      <c r="I56" s="33">
        <v>2.3786049491925237E-2</v>
      </c>
      <c r="J56" s="33">
        <v>2.3156888921414872E-3</v>
      </c>
      <c r="K56" s="33">
        <v>7.5593836794900782E-3</v>
      </c>
      <c r="L56" s="33">
        <v>-1.3241520411906692E-2</v>
      </c>
      <c r="M56" s="33">
        <v>-2.3612334767477514E-3</v>
      </c>
      <c r="N56" s="33">
        <v>-6.4398370145913545E-3</v>
      </c>
      <c r="O56" s="33">
        <v>8.9580459617283554E-4</v>
      </c>
      <c r="P56" s="33">
        <v>6.1851445780040587E-3</v>
      </c>
      <c r="Q56" s="33">
        <v>-2.9621542321408637E-2</v>
      </c>
      <c r="R56" s="33">
        <v>-1.3892976621105644E-2</v>
      </c>
      <c r="S56" s="33">
        <v>4.497301130514289E-2</v>
      </c>
      <c r="T56" s="33">
        <v>0.11410603675278159</v>
      </c>
      <c r="U56" s="33">
        <v>-4.1704907950807307E-2</v>
      </c>
      <c r="V56" s="33">
        <v>0.12109885593758551</v>
      </c>
      <c r="W56" s="33">
        <v>0.17905831123208288</v>
      </c>
      <c r="X56" s="33">
        <v>0.12982184133279903</v>
      </c>
      <c r="Y56" s="33">
        <v>9.8373835622574166E-2</v>
      </c>
      <c r="Z56" s="33">
        <v>0.16405698652187858</v>
      </c>
      <c r="AA56" s="33">
        <v>0.15798160931429395</v>
      </c>
      <c r="AB56" s="33">
        <v>0.13797801759729586</v>
      </c>
      <c r="AC56" s="33">
        <v>0.15596041068747804</v>
      </c>
      <c r="AD56" s="33">
        <v>0.15051486624490798</v>
      </c>
      <c r="AE56" s="33">
        <v>0.14889734984792646</v>
      </c>
      <c r="AF56" s="33">
        <v>0.16281584941399144</v>
      </c>
    </row>
    <row r="57" spans="1:32" ht="15" customHeight="1" x14ac:dyDescent="0.35">
      <c r="A57" s="17" t="s">
        <v>238</v>
      </c>
      <c r="B57" s="33">
        <v>-2.1275114079400911E-2</v>
      </c>
      <c r="C57" s="33">
        <v>-2.033749051771044E-2</v>
      </c>
      <c r="D57" s="33">
        <v>1.0000000000000002</v>
      </c>
      <c r="E57" s="33">
        <v>-9.473045317777383E-2</v>
      </c>
      <c r="F57" s="33">
        <v>-8.7768516133875818E-2</v>
      </c>
      <c r="G57" s="33">
        <v>-8.7768516133876137E-2</v>
      </c>
      <c r="H57" s="33">
        <v>-9.2448322424351678E-2</v>
      </c>
      <c r="I57" s="33">
        <v>-9.0128755364806759E-2</v>
      </c>
      <c r="J57" s="33">
        <v>-8.7768516133876123E-2</v>
      </c>
      <c r="K57" s="33">
        <v>-9.2448322424351595E-2</v>
      </c>
      <c r="L57" s="33">
        <v>-9.2448322424351179E-2</v>
      </c>
      <c r="M57" s="33">
        <v>-9.0128755364806537E-2</v>
      </c>
      <c r="N57" s="33">
        <v>-9.4730453177773913E-2</v>
      </c>
      <c r="O57" s="33">
        <v>-1.0601043775241008E-2</v>
      </c>
      <c r="P57" s="33">
        <v>3.1141174425141537E-2</v>
      </c>
      <c r="Q57" s="33">
        <v>-7.727552683669244E-3</v>
      </c>
      <c r="R57" s="33">
        <v>-7.7275526836692483E-3</v>
      </c>
      <c r="S57" s="33">
        <v>3.2119854403519416E-3</v>
      </c>
      <c r="T57" s="33">
        <v>6.0776652173160813E-2</v>
      </c>
      <c r="U57" s="33">
        <v>6.3874114524005848E-2</v>
      </c>
      <c r="V57" s="33">
        <v>0.86582248227494174</v>
      </c>
      <c r="W57" s="33">
        <v>-8.1419659714987103E-2</v>
      </c>
      <c r="X57" s="33">
        <v>-7.6764626874716024E-2</v>
      </c>
      <c r="Y57" s="33">
        <v>-7.5973758347444978E-2</v>
      </c>
      <c r="Z57" s="33">
        <v>-8.0236171195442477E-2</v>
      </c>
      <c r="AA57" s="33">
        <v>-7.9028935605596762E-2</v>
      </c>
      <c r="AB57" s="33">
        <v>-7.6422422065524506E-2</v>
      </c>
      <c r="AC57" s="33">
        <v>-8.0025084426778262E-2</v>
      </c>
      <c r="AD57" s="33">
        <v>-7.8616137222085908E-2</v>
      </c>
      <c r="AE57" s="33">
        <v>-7.7458092482341076E-2</v>
      </c>
      <c r="AF57" s="33">
        <v>-8.0470040148809138E-2</v>
      </c>
    </row>
    <row r="58" spans="1:32" ht="15" customHeight="1" x14ac:dyDescent="0.35">
      <c r="A58" s="17" t="s">
        <v>239</v>
      </c>
      <c r="B58" s="33">
        <v>3.8294619142593411E-2</v>
      </c>
      <c r="C58" s="33">
        <v>1.8652682282915112E-2</v>
      </c>
      <c r="D58" s="33">
        <v>-9.473045317777383E-2</v>
      </c>
      <c r="E58" s="33">
        <v>0.99999999999999978</v>
      </c>
      <c r="F58" s="33">
        <v>-9.2249707370855721E-2</v>
      </c>
      <c r="G58" s="33">
        <v>-9.224970737085568E-2</v>
      </c>
      <c r="H58" s="33">
        <v>-9.7168450216980853E-2</v>
      </c>
      <c r="I58" s="33">
        <v>-9.4730453177773774E-2</v>
      </c>
      <c r="J58" s="33">
        <v>-9.2249707370855971E-2</v>
      </c>
      <c r="K58" s="33">
        <v>-9.7168450216980812E-2</v>
      </c>
      <c r="L58" s="33">
        <v>-9.7168450216980715E-2</v>
      </c>
      <c r="M58" s="33">
        <v>-9.4730453177774399E-2</v>
      </c>
      <c r="N58" s="33">
        <v>-9.9567099567100012E-2</v>
      </c>
      <c r="O58" s="33">
        <v>9.9056836748059058E-3</v>
      </c>
      <c r="P58" s="33">
        <v>-1.8202657794236854E-2</v>
      </c>
      <c r="Q58" s="33">
        <v>1.3078824714716076E-2</v>
      </c>
      <c r="R58" s="33">
        <v>-2.1168819383612588E-2</v>
      </c>
      <c r="S58" s="33">
        <v>-3.3906577374059971E-2</v>
      </c>
      <c r="T58" s="33">
        <v>-6.6657100824695772E-3</v>
      </c>
      <c r="U58" s="33">
        <v>-2.6535703913786745E-4</v>
      </c>
      <c r="V58" s="33">
        <v>-8.2019756117411066E-2</v>
      </c>
      <c r="W58" s="33">
        <v>0.85948770415139997</v>
      </c>
      <c r="X58" s="33">
        <v>-8.0683993276403118E-2</v>
      </c>
      <c r="Y58" s="33">
        <v>-7.9852745427821462E-2</v>
      </c>
      <c r="Z58" s="33">
        <v>-8.4332784002491931E-2</v>
      </c>
      <c r="AA58" s="33">
        <v>-8.3063910666170637E-2</v>
      </c>
      <c r="AB58" s="33">
        <v>-8.0324316539237939E-2</v>
      </c>
      <c r="AC58" s="33">
        <v>-8.4110919790848213E-2</v>
      </c>
      <c r="AD58" s="33">
        <v>-8.2630036063300091E-2</v>
      </c>
      <c r="AE58" s="33">
        <v>-8.1412865111008814E-2</v>
      </c>
      <c r="AF58" s="33">
        <v>-8.4578593587313317E-2</v>
      </c>
    </row>
    <row r="59" spans="1:32" ht="15" customHeight="1" x14ac:dyDescent="0.35">
      <c r="A59" s="17" t="s">
        <v>240</v>
      </c>
      <c r="B59" s="33">
        <v>5.5766304785296247E-2</v>
      </c>
      <c r="C59" s="33">
        <v>-1.0262712135626962E-3</v>
      </c>
      <c r="D59" s="33">
        <v>-8.7768516133875818E-2</v>
      </c>
      <c r="E59" s="33">
        <v>-9.2249707370855721E-2</v>
      </c>
      <c r="F59" s="33">
        <v>0.99999999999999978</v>
      </c>
      <c r="G59" s="33">
        <v>-8.5470085470085194E-2</v>
      </c>
      <c r="H59" s="33">
        <v>-9.002733972536002E-2</v>
      </c>
      <c r="I59" s="33">
        <v>-8.7768516133875873E-2</v>
      </c>
      <c r="J59" s="33">
        <v>-8.5470085470085222E-2</v>
      </c>
      <c r="K59" s="33">
        <v>-9.0027339725360145E-2</v>
      </c>
      <c r="L59" s="33">
        <v>-9.0027339725360256E-2</v>
      </c>
      <c r="M59" s="33">
        <v>-8.776851613387622E-2</v>
      </c>
      <c r="N59" s="33">
        <v>-9.2249707370855541E-2</v>
      </c>
      <c r="O59" s="33">
        <v>-3.4230319960768373E-3</v>
      </c>
      <c r="P59" s="33">
        <v>3.9078757928918052E-2</v>
      </c>
      <c r="Q59" s="33">
        <v>-5.7465072344487726E-4</v>
      </c>
      <c r="R59" s="33">
        <v>-3.7064971662193746E-2</v>
      </c>
      <c r="S59" s="33">
        <v>-1.5455366742303444E-3</v>
      </c>
      <c r="T59" s="33">
        <v>5.9185068685702925E-2</v>
      </c>
      <c r="U59" s="33">
        <v>-8.1427308873661355E-2</v>
      </c>
      <c r="V59" s="33">
        <v>-7.5991954504620859E-2</v>
      </c>
      <c r="W59" s="33">
        <v>-7.9287489196815122E-2</v>
      </c>
      <c r="X59" s="33">
        <v>0.87462600777737798</v>
      </c>
      <c r="Y59" s="33">
        <v>-7.3984201915127668E-2</v>
      </c>
      <c r="Z59" s="33">
        <v>-7.8134993183733667E-2</v>
      </c>
      <c r="AA59" s="33">
        <v>-7.6959371974766988E-2</v>
      </c>
      <c r="AB59" s="33">
        <v>-7.4421116289674086E-2</v>
      </c>
      <c r="AC59" s="33">
        <v>-7.7929434232140452E-2</v>
      </c>
      <c r="AD59" s="33">
        <v>-7.6557383714342689E-2</v>
      </c>
      <c r="AE59" s="33">
        <v>-7.5429665174209473E-2</v>
      </c>
      <c r="AF59" s="33">
        <v>-7.8362737713476058E-2</v>
      </c>
    </row>
    <row r="60" spans="1:32" ht="15" customHeight="1" x14ac:dyDescent="0.35">
      <c r="A60" s="17" t="s">
        <v>241</v>
      </c>
      <c r="B60" s="33">
        <v>-7.1408308203276108E-2</v>
      </c>
      <c r="C60" s="33">
        <v>-3.7787832376308492E-2</v>
      </c>
      <c r="D60" s="33">
        <v>-8.7768516133876137E-2</v>
      </c>
      <c r="E60" s="33">
        <v>-9.224970737085568E-2</v>
      </c>
      <c r="F60" s="33">
        <v>-8.5470085470085194E-2</v>
      </c>
      <c r="G60" s="33">
        <v>1</v>
      </c>
      <c r="H60" s="33">
        <v>-9.0027339725360839E-2</v>
      </c>
      <c r="I60" s="33">
        <v>-8.7768516133876096E-2</v>
      </c>
      <c r="J60" s="33">
        <v>-8.5470085470085042E-2</v>
      </c>
      <c r="K60" s="33">
        <v>-9.0027339725360603E-2</v>
      </c>
      <c r="L60" s="33">
        <v>-9.0027339725359951E-2</v>
      </c>
      <c r="M60" s="33">
        <v>-8.776851613387586E-2</v>
      </c>
      <c r="N60" s="33">
        <v>-9.2249707370855069E-2</v>
      </c>
      <c r="O60" s="33">
        <v>-3.4230319960768352E-3</v>
      </c>
      <c r="P60" s="33">
        <v>2.3157782476396094E-3</v>
      </c>
      <c r="Q60" s="33">
        <v>-5.7465072344486728E-4</v>
      </c>
      <c r="R60" s="33">
        <v>-5.7465072344486674E-4</v>
      </c>
      <c r="S60" s="33">
        <v>-1.5455366742303277E-3</v>
      </c>
      <c r="T60" s="33">
        <v>-1.5979968545139753E-2</v>
      </c>
      <c r="U60" s="33">
        <v>6.2201416500712571E-2</v>
      </c>
      <c r="V60" s="33">
        <v>-7.5991954504620707E-2</v>
      </c>
      <c r="W60" s="33">
        <v>-7.9287489196814553E-2</v>
      </c>
      <c r="X60" s="33">
        <v>-7.4754359639091633E-2</v>
      </c>
      <c r="Y60" s="33">
        <v>0.86561516240698388</v>
      </c>
      <c r="Z60" s="33">
        <v>-7.8134993183734402E-2</v>
      </c>
      <c r="AA60" s="33">
        <v>-7.695937197476703E-2</v>
      </c>
      <c r="AB60" s="33">
        <v>-7.4421116289673475E-2</v>
      </c>
      <c r="AC60" s="33">
        <v>-7.7929434232139577E-2</v>
      </c>
      <c r="AD60" s="33">
        <v>-7.6557383714343286E-2</v>
      </c>
      <c r="AE60" s="33">
        <v>-7.5429665174209015E-2</v>
      </c>
      <c r="AF60" s="33">
        <v>-7.8362737713475475E-2</v>
      </c>
    </row>
    <row r="61" spans="1:32" ht="15" customHeight="1" x14ac:dyDescent="0.35">
      <c r="A61" s="17" t="s">
        <v>242</v>
      </c>
      <c r="B61" s="33">
        <v>-9.6870196624243551E-2</v>
      </c>
      <c r="C61" s="33">
        <v>1.7159800952442492E-2</v>
      </c>
      <c r="D61" s="33">
        <v>-9.2448322424351678E-2</v>
      </c>
      <c r="E61" s="33">
        <v>-9.7168450216980853E-2</v>
      </c>
      <c r="F61" s="33">
        <v>-9.0027339725360034E-2</v>
      </c>
      <c r="G61" s="33">
        <v>-9.0027339725360839E-2</v>
      </c>
      <c r="H61" s="33">
        <v>0.99999999999999978</v>
      </c>
      <c r="I61" s="33">
        <v>-9.2448322424351068E-2</v>
      </c>
      <c r="J61" s="33">
        <v>-9.002733972536002E-2</v>
      </c>
      <c r="K61" s="33">
        <v>-9.4827586206896852E-2</v>
      </c>
      <c r="L61" s="33">
        <v>-9.4827586206897102E-2</v>
      </c>
      <c r="M61" s="33">
        <v>-9.244832242435029E-2</v>
      </c>
      <c r="N61" s="33">
        <v>-9.7168450216980742E-2</v>
      </c>
      <c r="O61" s="33">
        <v>-1.7481443071508122E-2</v>
      </c>
      <c r="P61" s="33">
        <v>-1.1641900075133551E-2</v>
      </c>
      <c r="Q61" s="33">
        <v>-1.4582011130657933E-2</v>
      </c>
      <c r="R61" s="33">
        <v>2.0359789125824174E-2</v>
      </c>
      <c r="S61" s="33">
        <v>-3.9218662862484002E-2</v>
      </c>
      <c r="T61" s="33">
        <v>-9.6344886848504854E-3</v>
      </c>
      <c r="U61" s="33">
        <v>-3.2488258631449274E-3</v>
      </c>
      <c r="V61" s="33">
        <v>-8.0043836003605456E-2</v>
      </c>
      <c r="W61" s="33">
        <v>-8.3515088192941886E-2</v>
      </c>
      <c r="X61" s="33">
        <v>-7.8740252734809627E-2</v>
      </c>
      <c r="Y61" s="33">
        <v>-7.7929030297436558E-2</v>
      </c>
      <c r="Z61" s="33">
        <v>0.86790294395121259</v>
      </c>
      <c r="AA61" s="33">
        <v>-8.1062836052126219E-2</v>
      </c>
      <c r="AB61" s="33">
        <v>-7.8389240891726941E-2</v>
      </c>
      <c r="AC61" s="33">
        <v>-8.2084621907598077E-2</v>
      </c>
      <c r="AD61" s="33">
        <v>-8.0639413827989365E-2</v>
      </c>
      <c r="AE61" s="33">
        <v>-7.9451565476502214E-2</v>
      </c>
      <c r="AF61" s="33">
        <v>-8.254102907630291E-2</v>
      </c>
    </row>
    <row r="62" spans="1:32" ht="15" customHeight="1" x14ac:dyDescent="0.35">
      <c r="A62" s="17" t="s">
        <v>243</v>
      </c>
      <c r="B62" s="33">
        <v>0.10058121679204562</v>
      </c>
      <c r="C62" s="33">
        <v>2.378604949192524E-2</v>
      </c>
      <c r="D62" s="33">
        <v>-9.0128755364806759E-2</v>
      </c>
      <c r="E62" s="33">
        <v>-9.473045317777376E-2</v>
      </c>
      <c r="F62" s="33">
        <v>-8.7768516133875873E-2</v>
      </c>
      <c r="G62" s="33">
        <v>-8.7768516133876096E-2</v>
      </c>
      <c r="H62" s="33">
        <v>-9.2448322424351068E-2</v>
      </c>
      <c r="I62" s="33">
        <v>1</v>
      </c>
      <c r="J62" s="33">
        <v>-8.7768516133876096E-2</v>
      </c>
      <c r="K62" s="33">
        <v>-9.244832242435097E-2</v>
      </c>
      <c r="L62" s="33">
        <v>-9.2448322424350804E-2</v>
      </c>
      <c r="M62" s="33">
        <v>-9.0128755364806731E-2</v>
      </c>
      <c r="N62" s="33">
        <v>-9.4730453177773857E-2</v>
      </c>
      <c r="O62" s="33">
        <v>-1.0601043775241011E-2</v>
      </c>
      <c r="P62" s="33">
        <v>3.1141174425141523E-2</v>
      </c>
      <c r="Q62" s="33">
        <v>-7.7275526836692726E-3</v>
      </c>
      <c r="R62" s="33">
        <v>2.7959690619094198E-2</v>
      </c>
      <c r="S62" s="33">
        <v>3.211985440351956E-3</v>
      </c>
      <c r="T62" s="33">
        <v>6.077665217316066E-2</v>
      </c>
      <c r="U62" s="33">
        <v>-7.6593635165150734E-2</v>
      </c>
      <c r="V62" s="33">
        <v>-7.8035502694308256E-2</v>
      </c>
      <c r="W62" s="33">
        <v>-8.1419659714987019E-2</v>
      </c>
      <c r="X62" s="33">
        <v>-7.6764626874716163E-2</v>
      </c>
      <c r="Y62" s="33">
        <v>-7.5973758347445811E-2</v>
      </c>
      <c r="Z62" s="33">
        <v>-8.0236171195442588E-2</v>
      </c>
      <c r="AA62" s="33">
        <v>0.87684485695734793</v>
      </c>
      <c r="AB62" s="33">
        <v>-7.6422422065524603E-2</v>
      </c>
      <c r="AC62" s="33">
        <v>-8.0025084426777748E-2</v>
      </c>
      <c r="AD62" s="33">
        <v>-7.8616137222085963E-2</v>
      </c>
      <c r="AE62" s="33">
        <v>-7.7458092482341145E-2</v>
      </c>
      <c r="AF62" s="33">
        <v>-8.0470040148809222E-2</v>
      </c>
    </row>
    <row r="63" spans="1:32" ht="15" customHeight="1" x14ac:dyDescent="0.35">
      <c r="A63" s="17" t="s">
        <v>244</v>
      </c>
      <c r="B63" s="33">
        <v>0.1105089217874668</v>
      </c>
      <c r="C63" s="33">
        <v>2.3156888921414868E-3</v>
      </c>
      <c r="D63" s="33">
        <v>-8.7768516133876123E-2</v>
      </c>
      <c r="E63" s="33">
        <v>-9.2249707370855985E-2</v>
      </c>
      <c r="F63" s="33">
        <v>-8.5470085470085222E-2</v>
      </c>
      <c r="G63" s="33">
        <v>-8.5470085470085042E-2</v>
      </c>
      <c r="H63" s="33">
        <v>-9.0027339725360034E-2</v>
      </c>
      <c r="I63" s="33">
        <v>-8.7768516133876082E-2</v>
      </c>
      <c r="J63" s="33">
        <v>1</v>
      </c>
      <c r="K63" s="33">
        <v>-9.0027339725360159E-2</v>
      </c>
      <c r="L63" s="33">
        <v>-9.002733972536027E-2</v>
      </c>
      <c r="M63" s="33">
        <v>-8.776851613387586E-2</v>
      </c>
      <c r="N63" s="33">
        <v>-9.2249707370855388E-2</v>
      </c>
      <c r="O63" s="33">
        <v>3.280405662906944E-2</v>
      </c>
      <c r="P63" s="33">
        <v>2.3157782476396155E-3</v>
      </c>
      <c r="Q63" s="33">
        <v>-5.7465072344487606E-4</v>
      </c>
      <c r="R63" s="33">
        <v>-5.7465072344486999E-4</v>
      </c>
      <c r="S63" s="33">
        <v>-1.5455366742303444E-3</v>
      </c>
      <c r="T63" s="33">
        <v>5.9185068685702925E-2</v>
      </c>
      <c r="U63" s="33">
        <v>6.2201416500713008E-2</v>
      </c>
      <c r="V63" s="33">
        <v>-7.5991954504620735E-2</v>
      </c>
      <c r="W63" s="33">
        <v>-7.9287489196814817E-2</v>
      </c>
      <c r="X63" s="33">
        <v>-7.4754359639092022E-2</v>
      </c>
      <c r="Y63" s="33">
        <v>-7.3984201915127126E-2</v>
      </c>
      <c r="Z63" s="33">
        <v>-7.813499318373375E-2</v>
      </c>
      <c r="AA63" s="33">
        <v>-7.6959371974767279E-2</v>
      </c>
      <c r="AB63" s="33">
        <v>0.8707270605891877</v>
      </c>
      <c r="AC63" s="33">
        <v>-7.7929434232139799E-2</v>
      </c>
      <c r="AD63" s="33">
        <v>-7.6557383714343175E-2</v>
      </c>
      <c r="AE63" s="33">
        <v>-7.5429665174209307E-2</v>
      </c>
      <c r="AF63" s="33">
        <v>-7.8362737713475877E-2</v>
      </c>
    </row>
    <row r="64" spans="1:32" ht="15" customHeight="1" x14ac:dyDescent="0.35">
      <c r="A64" s="17" t="s">
        <v>245</v>
      </c>
      <c r="B64" s="33">
        <v>-7.9008869941626959E-3</v>
      </c>
      <c r="C64" s="33">
        <v>7.5593836794900782E-3</v>
      </c>
      <c r="D64" s="33">
        <v>-9.2448322424351595E-2</v>
      </c>
      <c r="E64" s="33">
        <v>-9.7168450216980812E-2</v>
      </c>
      <c r="F64" s="33">
        <v>-9.0027339725360159E-2</v>
      </c>
      <c r="G64" s="33">
        <v>-9.0027339725360617E-2</v>
      </c>
      <c r="H64" s="33">
        <v>-9.4827586206896852E-2</v>
      </c>
      <c r="I64" s="33">
        <v>-9.244832242435097E-2</v>
      </c>
      <c r="J64" s="33">
        <v>-9.0027339725360173E-2</v>
      </c>
      <c r="K64" s="33">
        <v>1.0000000000000002</v>
      </c>
      <c r="L64" s="33">
        <v>-9.4827586206896824E-2</v>
      </c>
      <c r="M64" s="33">
        <v>-9.2448322424350193E-2</v>
      </c>
      <c r="N64" s="33">
        <v>-9.7168450216980742E-2</v>
      </c>
      <c r="O64" s="33">
        <v>1.7208295523515629E-2</v>
      </c>
      <c r="P64" s="33">
        <v>-1.1641900075133577E-2</v>
      </c>
      <c r="Q64" s="33">
        <v>2.0359789125824222E-2</v>
      </c>
      <c r="R64" s="33">
        <v>-1.4582011130657791E-2</v>
      </c>
      <c r="S64" s="33">
        <v>-3.9218662862484051E-2</v>
      </c>
      <c r="T64" s="33">
        <v>-8.1609786506967999E-2</v>
      </c>
      <c r="U64" s="33">
        <v>6.5517988240088573E-2</v>
      </c>
      <c r="V64" s="33">
        <v>-8.0043836003605554E-2</v>
      </c>
      <c r="W64" s="33">
        <v>-8.3515088192941789E-2</v>
      </c>
      <c r="X64" s="33">
        <v>-7.8740252734809557E-2</v>
      </c>
      <c r="Y64" s="33">
        <v>-7.7929030297436502E-2</v>
      </c>
      <c r="Z64" s="33">
        <v>-8.230114123675146E-2</v>
      </c>
      <c r="AA64" s="33">
        <v>-8.1062836052126094E-2</v>
      </c>
      <c r="AB64" s="33">
        <v>-7.8389240891726733E-2</v>
      </c>
      <c r="AC64" s="33">
        <v>0.86561964920738432</v>
      </c>
      <c r="AD64" s="33">
        <v>-8.0639413827989434E-2</v>
      </c>
      <c r="AE64" s="33">
        <v>-7.9451565476502242E-2</v>
      </c>
      <c r="AF64" s="33">
        <v>-8.2541029076302994E-2</v>
      </c>
    </row>
    <row r="65" spans="1:32" ht="15" customHeight="1" x14ac:dyDescent="0.35">
      <c r="A65" s="17" t="s">
        <v>246</v>
      </c>
      <c r="B65" s="33">
        <v>6.5774252958288551E-2</v>
      </c>
      <c r="C65" s="33">
        <v>-1.3241520411906692E-2</v>
      </c>
      <c r="D65" s="33">
        <v>-9.2448322424351193E-2</v>
      </c>
      <c r="E65" s="33">
        <v>-9.7168450216980715E-2</v>
      </c>
      <c r="F65" s="33">
        <v>-9.0027339725360256E-2</v>
      </c>
      <c r="G65" s="33">
        <v>-9.0027339725359951E-2</v>
      </c>
      <c r="H65" s="33">
        <v>-9.4827586206897102E-2</v>
      </c>
      <c r="I65" s="33">
        <v>-9.2448322424350804E-2</v>
      </c>
      <c r="J65" s="33">
        <v>-9.002733972536027E-2</v>
      </c>
      <c r="K65" s="33">
        <v>-9.4827586206896838E-2</v>
      </c>
      <c r="L65" s="33">
        <v>0.99999999999999978</v>
      </c>
      <c r="M65" s="33">
        <v>-9.2448322424350027E-2</v>
      </c>
      <c r="N65" s="33">
        <v>-9.7168450216980631E-2</v>
      </c>
      <c r="O65" s="33">
        <v>-1.748144307150807E-2</v>
      </c>
      <c r="P65" s="33">
        <v>-4.6844788397561829E-2</v>
      </c>
      <c r="Q65" s="33">
        <v>2.035978912582417E-2</v>
      </c>
      <c r="R65" s="33">
        <v>2.0359789125824042E-2</v>
      </c>
      <c r="S65" s="33">
        <v>5.4758133053279673E-2</v>
      </c>
      <c r="T65" s="33">
        <v>-8.1609786506968027E-2</v>
      </c>
      <c r="U65" s="33">
        <v>-7.2015639966378137E-2</v>
      </c>
      <c r="V65" s="33">
        <v>-8.0043836003605331E-2</v>
      </c>
      <c r="W65" s="33">
        <v>-8.3515088192941622E-2</v>
      </c>
      <c r="X65" s="33">
        <v>-7.8740252734809418E-2</v>
      </c>
      <c r="Y65" s="33">
        <v>-7.7929030297436377E-2</v>
      </c>
      <c r="Z65" s="33">
        <v>-8.2301141236751321E-2</v>
      </c>
      <c r="AA65" s="33">
        <v>-8.10628360521259E-2</v>
      </c>
      <c r="AB65" s="33">
        <v>-7.8389240891726469E-2</v>
      </c>
      <c r="AC65" s="33">
        <v>-8.208462190759773E-2</v>
      </c>
      <c r="AD65" s="33">
        <v>0.85037927309517058</v>
      </c>
      <c r="AE65" s="33">
        <v>-7.9451565476502228E-2</v>
      </c>
      <c r="AF65" s="33">
        <v>-8.2541029076303049E-2</v>
      </c>
    </row>
    <row r="66" spans="1:32" ht="15" customHeight="1" x14ac:dyDescent="0.35">
      <c r="A66" s="17" t="s">
        <v>247</v>
      </c>
      <c r="B66" s="33">
        <v>-1.4934553789398064E-2</v>
      </c>
      <c r="C66" s="33">
        <v>-2.3612334767477519E-3</v>
      </c>
      <c r="D66" s="33">
        <v>-9.0128755364806537E-2</v>
      </c>
      <c r="E66" s="33">
        <v>-9.4730453177774399E-2</v>
      </c>
      <c r="F66" s="33">
        <v>-8.776851613387622E-2</v>
      </c>
      <c r="G66" s="33">
        <v>-8.7768516133875873E-2</v>
      </c>
      <c r="H66" s="33">
        <v>-9.244832242435029E-2</v>
      </c>
      <c r="I66" s="33">
        <v>-9.0128755364806731E-2</v>
      </c>
      <c r="J66" s="33">
        <v>-8.776851613387586E-2</v>
      </c>
      <c r="K66" s="33">
        <v>-9.2448322424350193E-2</v>
      </c>
      <c r="L66" s="33">
        <v>-9.2448322424350027E-2</v>
      </c>
      <c r="M66" s="33">
        <v>1.0000000000000002</v>
      </c>
      <c r="N66" s="33">
        <v>-9.4730453177774399E-2</v>
      </c>
      <c r="O66" s="33">
        <v>2.4828760420959193E-2</v>
      </c>
      <c r="P66" s="33">
        <v>-4.8127269566127827E-3</v>
      </c>
      <c r="Q66" s="33">
        <v>-7.7275526836693186E-3</v>
      </c>
      <c r="R66" s="33">
        <v>-7.7275526836693247E-3</v>
      </c>
      <c r="S66" s="33">
        <v>5.1202826725610634E-2</v>
      </c>
      <c r="T66" s="33">
        <v>-8.6244963560008533E-2</v>
      </c>
      <c r="U66" s="33">
        <v>-7.6593635165150206E-2</v>
      </c>
      <c r="V66" s="33">
        <v>-7.8035502694308048E-2</v>
      </c>
      <c r="W66" s="33">
        <v>-8.1419659714986908E-2</v>
      </c>
      <c r="X66" s="33">
        <v>-7.6764626874716135E-2</v>
      </c>
      <c r="Y66" s="33">
        <v>-7.5973758347446227E-2</v>
      </c>
      <c r="Z66" s="33">
        <v>-8.0236171195442657E-2</v>
      </c>
      <c r="AA66" s="33">
        <v>-7.9028935605597525E-2</v>
      </c>
      <c r="AB66" s="33">
        <v>-7.6422422065524617E-2</v>
      </c>
      <c r="AC66" s="33">
        <v>-8.0025084426777082E-2</v>
      </c>
      <c r="AD66" s="33">
        <v>-7.8616137222085991E-2</v>
      </c>
      <c r="AE66" s="33">
        <v>0.85941597849454698</v>
      </c>
      <c r="AF66" s="33">
        <v>-8.0470040148809388E-2</v>
      </c>
    </row>
    <row r="67" spans="1:32" ht="15" customHeight="1" x14ac:dyDescent="0.35">
      <c r="A67" s="17" t="s">
        <v>248</v>
      </c>
      <c r="B67" s="33">
        <v>-7.0707680020562047E-2</v>
      </c>
      <c r="C67" s="33">
        <v>-6.4398370145913545E-3</v>
      </c>
      <c r="D67" s="33">
        <v>-9.4730453177773899E-2</v>
      </c>
      <c r="E67" s="33">
        <v>-9.9567099567100012E-2</v>
      </c>
      <c r="F67" s="33">
        <v>-9.2249707370855541E-2</v>
      </c>
      <c r="G67" s="33">
        <v>-9.2249707370855069E-2</v>
      </c>
      <c r="H67" s="33">
        <v>-9.7168450216980756E-2</v>
      </c>
      <c r="I67" s="33">
        <v>-9.4730453177773857E-2</v>
      </c>
      <c r="J67" s="33">
        <v>-9.2249707370855388E-2</v>
      </c>
      <c r="K67" s="33">
        <v>-9.7168450216980742E-2</v>
      </c>
      <c r="L67" s="33">
        <v>-9.7168450216980617E-2</v>
      </c>
      <c r="M67" s="33">
        <v>-9.4730453177774399E-2</v>
      </c>
      <c r="N67" s="33">
        <v>0.99999999999999978</v>
      </c>
      <c r="O67" s="33">
        <v>-2.4094906236014322E-2</v>
      </c>
      <c r="P67" s="33">
        <v>1.6300887576928588E-2</v>
      </c>
      <c r="Q67" s="33">
        <v>-2.1168819383612571E-2</v>
      </c>
      <c r="R67" s="33">
        <v>1.3078824714716034E-2</v>
      </c>
      <c r="S67" s="33">
        <v>1.2148345904074901E-2</v>
      </c>
      <c r="T67" s="33">
        <v>-6.6657100824695894E-3</v>
      </c>
      <c r="U67" s="33">
        <v>6.7135330901849366E-2</v>
      </c>
      <c r="V67" s="33">
        <v>-8.2019756117410553E-2</v>
      </c>
      <c r="W67" s="33">
        <v>-8.5576697815940156E-2</v>
      </c>
      <c r="X67" s="33">
        <v>-8.0683993276403049E-2</v>
      </c>
      <c r="Y67" s="33">
        <v>-7.9852745427821309E-2</v>
      </c>
      <c r="Z67" s="33">
        <v>-8.4332784002492014E-2</v>
      </c>
      <c r="AA67" s="33">
        <v>-8.3063910666170138E-2</v>
      </c>
      <c r="AB67" s="33">
        <v>-8.0324316539237828E-2</v>
      </c>
      <c r="AC67" s="33">
        <v>-8.4110919790848462E-2</v>
      </c>
      <c r="AD67" s="33">
        <v>-8.2630036063299606E-2</v>
      </c>
      <c r="AE67" s="33">
        <v>-8.1412865111008842E-2</v>
      </c>
      <c r="AF67" s="33">
        <v>0.84946326602910582</v>
      </c>
    </row>
    <row r="68" spans="1:32" ht="15" customHeight="1" x14ac:dyDescent="0.35">
      <c r="A68" s="17" t="s">
        <v>274</v>
      </c>
      <c r="B68" s="33">
        <v>0.6876035069899944</v>
      </c>
      <c r="C68" s="33">
        <v>8.9580459617283554E-4</v>
      </c>
      <c r="D68" s="33">
        <v>-1.0601043775241006E-2</v>
      </c>
      <c r="E68" s="33">
        <v>9.9056836748059058E-3</v>
      </c>
      <c r="F68" s="33">
        <v>-3.4230319960768373E-3</v>
      </c>
      <c r="G68" s="33">
        <v>-3.4230319960768356E-3</v>
      </c>
      <c r="H68" s="33">
        <v>-1.7481443071508122E-2</v>
      </c>
      <c r="I68" s="33">
        <v>-1.0601043775241011E-2</v>
      </c>
      <c r="J68" s="33">
        <v>3.280405662906944E-2</v>
      </c>
      <c r="K68" s="33">
        <v>1.7208295523515625E-2</v>
      </c>
      <c r="L68" s="33">
        <v>-1.748144307150807E-2</v>
      </c>
      <c r="M68" s="33">
        <v>2.4828760420959193E-2</v>
      </c>
      <c r="N68" s="33">
        <v>-2.4094906236014322E-2</v>
      </c>
      <c r="O68" s="33">
        <v>0.99999999999999989</v>
      </c>
      <c r="P68" s="33">
        <v>-0.25118627500043184</v>
      </c>
      <c r="Q68" s="33">
        <v>-0.25430977649342046</v>
      </c>
      <c r="R68" s="33">
        <v>-0.25430977649342046</v>
      </c>
      <c r="S68" s="33">
        <v>-0.58570917585270266</v>
      </c>
      <c r="T68" s="33">
        <v>-9.7973676806242985E-2</v>
      </c>
      <c r="U68" s="33">
        <v>-3.5857232321018645E-2</v>
      </c>
      <c r="V68" s="33">
        <v>9.8277680025590417E-4</v>
      </c>
      <c r="W68" s="33">
        <v>1.4342886915901252E-2</v>
      </c>
      <c r="X68" s="33">
        <v>1.0642775703672098E-2</v>
      </c>
      <c r="Y68" s="33">
        <v>-2.1735593798115672E-2</v>
      </c>
      <c r="Z68" s="33">
        <v>-2.1210434040286053E-2</v>
      </c>
      <c r="AA68" s="33">
        <v>-9.474528012944369E-3</v>
      </c>
      <c r="AB68" s="33">
        <v>1.9635859126971144E-2</v>
      </c>
      <c r="AC68" s="33">
        <v>1.4470511264923281E-2</v>
      </c>
      <c r="AD68" s="33">
        <v>-2.215395248117108E-2</v>
      </c>
      <c r="AE68" s="33">
        <v>2.3638002302162616E-2</v>
      </c>
      <c r="AF68" s="33">
        <v>-2.159093644073156E-2</v>
      </c>
    </row>
    <row r="69" spans="1:32" ht="15" customHeight="1" x14ac:dyDescent="0.35">
      <c r="A69" s="17" t="s">
        <v>275</v>
      </c>
      <c r="B69" s="33">
        <v>8.1013602924763173E-2</v>
      </c>
      <c r="C69" s="33">
        <v>6.1851445780040587E-3</v>
      </c>
      <c r="D69" s="33">
        <v>3.1141174425141537E-2</v>
      </c>
      <c r="E69" s="33">
        <v>-1.8202657794236854E-2</v>
      </c>
      <c r="F69" s="33">
        <v>3.9078757928918052E-2</v>
      </c>
      <c r="G69" s="33">
        <v>2.3157782476396094E-3</v>
      </c>
      <c r="H69" s="33">
        <v>-1.1641900075133551E-2</v>
      </c>
      <c r="I69" s="33">
        <v>3.114117442514152E-2</v>
      </c>
      <c r="J69" s="33">
        <v>2.3157782476396155E-3</v>
      </c>
      <c r="K69" s="33">
        <v>-1.1641900075133575E-2</v>
      </c>
      <c r="L69" s="33">
        <v>-4.6844788397561829E-2</v>
      </c>
      <c r="M69" s="33">
        <v>-4.8127269566127827E-3</v>
      </c>
      <c r="N69" s="33">
        <v>1.6300887576928588E-2</v>
      </c>
      <c r="O69" s="33">
        <v>-0.25118627500043184</v>
      </c>
      <c r="P69" s="33">
        <v>1.0000000000000002</v>
      </c>
      <c r="Q69" s="33">
        <v>-0.24814583349273378</v>
      </c>
      <c r="R69" s="33">
        <v>-0.24814583349273384</v>
      </c>
      <c r="S69" s="33">
        <v>0.16357697839847377</v>
      </c>
      <c r="T69" s="33">
        <v>4.9310579686770731E-2</v>
      </c>
      <c r="U69" s="33">
        <v>5.6688131940194862E-2</v>
      </c>
      <c r="V69" s="33">
        <v>3.4745152977187423E-2</v>
      </c>
      <c r="W69" s="33">
        <v>-1.4540771136952872E-2</v>
      </c>
      <c r="X69" s="33">
        <v>4.6389623917016509E-2</v>
      </c>
      <c r="Y69" s="33">
        <v>8.9319398664870313E-3</v>
      </c>
      <c r="Z69" s="33">
        <v>6.2361181971186275E-3</v>
      </c>
      <c r="AA69" s="33">
        <v>2.2309063235801625E-2</v>
      </c>
      <c r="AB69" s="33">
        <v>-9.2577350577158907E-3</v>
      </c>
      <c r="AC69" s="33">
        <v>-1.4221001278849593E-2</v>
      </c>
      <c r="AD69" s="33">
        <v>-4.8288300140867248E-2</v>
      </c>
      <c r="AE69" s="33">
        <v>-6.1898681669082991E-3</v>
      </c>
      <c r="AF69" s="33">
        <v>7.740860545984816E-3</v>
      </c>
    </row>
    <row r="70" spans="1:32" ht="15" customHeight="1" x14ac:dyDescent="0.35">
      <c r="A70" s="17" t="s">
        <v>276</v>
      </c>
      <c r="B70" s="33">
        <v>-0.22290994860205235</v>
      </c>
      <c r="C70" s="33">
        <v>-2.9621542321408637E-2</v>
      </c>
      <c r="D70" s="33">
        <v>-7.727552683669244E-3</v>
      </c>
      <c r="E70" s="33">
        <v>1.3078824714716076E-2</v>
      </c>
      <c r="F70" s="33">
        <v>-5.7465072344487726E-4</v>
      </c>
      <c r="G70" s="33">
        <v>-5.7465072344486728E-4</v>
      </c>
      <c r="H70" s="33">
        <v>-1.4582011130657931E-2</v>
      </c>
      <c r="I70" s="33">
        <v>-7.7275526836692735E-3</v>
      </c>
      <c r="J70" s="33">
        <v>-5.7465072344487606E-4</v>
      </c>
      <c r="K70" s="33">
        <v>2.0359789125824226E-2</v>
      </c>
      <c r="L70" s="33">
        <v>2.035978912582417E-2</v>
      </c>
      <c r="M70" s="33">
        <v>-7.7275526836693186E-3</v>
      </c>
      <c r="N70" s="33">
        <v>-2.1168819383612567E-2</v>
      </c>
      <c r="O70" s="33">
        <v>-0.25430977649342051</v>
      </c>
      <c r="P70" s="33">
        <v>-0.24814583349273378</v>
      </c>
      <c r="Q70" s="33">
        <v>1.0000000000000002</v>
      </c>
      <c r="R70" s="33">
        <v>-0.25123152709359636</v>
      </c>
      <c r="S70" s="33">
        <v>0.13261873761105611</v>
      </c>
      <c r="T70" s="33">
        <v>-5.013863664859558E-2</v>
      </c>
      <c r="U70" s="33">
        <v>5.835872420378109E-2</v>
      </c>
      <c r="V70" s="33">
        <v>-4.5663951377260207E-3</v>
      </c>
      <c r="W70" s="33">
        <v>8.1096604101704127E-3</v>
      </c>
      <c r="X70" s="33">
        <v>5.1532863186265834E-3</v>
      </c>
      <c r="Y70" s="33">
        <v>-2.800138291649127E-2</v>
      </c>
      <c r="Z70" s="33">
        <v>-2.617157710080634E-2</v>
      </c>
      <c r="AA70" s="33">
        <v>-1.4531274379171091E-2</v>
      </c>
      <c r="AB70" s="33">
        <v>1.2288812373017398E-2</v>
      </c>
      <c r="AC70" s="33">
        <v>7.7702201463030118E-3</v>
      </c>
      <c r="AD70" s="33">
        <v>3.2170434028560811E-2</v>
      </c>
      <c r="AE70" s="33">
        <v>-2.6192268302105103E-2</v>
      </c>
      <c r="AF70" s="33">
        <v>-2.6548146269956673E-2</v>
      </c>
    </row>
    <row r="71" spans="1:32" ht="15" customHeight="1" x14ac:dyDescent="0.35">
      <c r="A71" s="17" t="s">
        <v>277</v>
      </c>
      <c r="B71" s="33">
        <v>-0.24129837739565901</v>
      </c>
      <c r="C71" s="33">
        <v>-1.3892976621105646E-2</v>
      </c>
      <c r="D71" s="33">
        <v>-7.7275526836692483E-3</v>
      </c>
      <c r="E71" s="33">
        <v>-2.1168819383612588E-2</v>
      </c>
      <c r="F71" s="33">
        <v>-3.7064971662193746E-2</v>
      </c>
      <c r="G71" s="33">
        <v>-5.7465072344486685E-4</v>
      </c>
      <c r="H71" s="33">
        <v>2.0359789125824174E-2</v>
      </c>
      <c r="I71" s="33">
        <v>2.7959690619094198E-2</v>
      </c>
      <c r="J71" s="33">
        <v>-5.7465072344486999E-4</v>
      </c>
      <c r="K71" s="33">
        <v>-1.4582011130657791E-2</v>
      </c>
      <c r="L71" s="33">
        <v>2.0359789125824042E-2</v>
      </c>
      <c r="M71" s="33">
        <v>-7.7275526836693255E-3</v>
      </c>
      <c r="N71" s="33">
        <v>1.3078824714716034E-2</v>
      </c>
      <c r="O71" s="33">
        <v>-0.25430977649342046</v>
      </c>
      <c r="P71" s="33">
        <v>-0.24814583349273384</v>
      </c>
      <c r="Q71" s="33">
        <v>-0.25123152709359636</v>
      </c>
      <c r="R71" s="33">
        <v>1.0000000000000002</v>
      </c>
      <c r="S71" s="33">
        <v>0.13261873761105614</v>
      </c>
      <c r="T71" s="33">
        <v>3.9792568768698156E-4</v>
      </c>
      <c r="U71" s="33">
        <v>-8.6492571702672619E-2</v>
      </c>
      <c r="V71" s="33">
        <v>-2.0788274368249066E-2</v>
      </c>
      <c r="W71" s="33">
        <v>-9.8960541368863144E-3</v>
      </c>
      <c r="X71" s="33">
        <v>-6.1505426525089557E-2</v>
      </c>
      <c r="Y71" s="33">
        <v>1.4973549172867083E-2</v>
      </c>
      <c r="Z71" s="33">
        <v>1.4713738202326306E-2</v>
      </c>
      <c r="AA71" s="33">
        <v>2.9025269963116211E-2</v>
      </c>
      <c r="AB71" s="33">
        <v>-3.6976580123676134E-3</v>
      </c>
      <c r="AC71" s="33">
        <v>-9.195131577143606E-3</v>
      </c>
      <c r="AD71" s="33">
        <v>1.294386875031491E-2</v>
      </c>
      <c r="AE71" s="33">
        <v>-8.9631336395036001E-4</v>
      </c>
      <c r="AF71" s="33">
        <v>1.4342438447936916E-2</v>
      </c>
    </row>
    <row r="72" spans="1:32" ht="15" customHeight="1" x14ac:dyDescent="0.35">
      <c r="A72" s="17" t="s">
        <v>301</v>
      </c>
      <c r="B72" s="33">
        <v>-0.64806541765064007</v>
      </c>
      <c r="C72" s="33">
        <v>4.497301130514289E-2</v>
      </c>
      <c r="D72" s="33">
        <v>3.2119854403519416E-3</v>
      </c>
      <c r="E72" s="33">
        <v>-3.3906577374059971E-2</v>
      </c>
      <c r="F72" s="33">
        <v>-1.5455366742303444E-3</v>
      </c>
      <c r="G72" s="33">
        <v>-1.5455366742303277E-3</v>
      </c>
      <c r="H72" s="33">
        <v>-3.9218662862484009E-2</v>
      </c>
      <c r="I72" s="33">
        <v>3.211985440351956E-3</v>
      </c>
      <c r="J72" s="33">
        <v>-1.5455366742303444E-3</v>
      </c>
      <c r="K72" s="33">
        <v>-3.9218662862484051E-2</v>
      </c>
      <c r="L72" s="33">
        <v>5.4758133053279666E-2</v>
      </c>
      <c r="M72" s="33">
        <v>5.1202826725610634E-2</v>
      </c>
      <c r="N72" s="33">
        <v>1.21483459040749E-2</v>
      </c>
      <c r="O72" s="33">
        <v>-0.58570917585270266</v>
      </c>
      <c r="P72" s="33">
        <v>0.16357697839847374</v>
      </c>
      <c r="Q72" s="33">
        <v>0.13261873761105608</v>
      </c>
      <c r="R72" s="33">
        <v>0.13261873761105616</v>
      </c>
      <c r="S72" s="33">
        <v>1</v>
      </c>
      <c r="T72" s="33">
        <v>0.20494914503595882</v>
      </c>
      <c r="U72" s="33">
        <v>5.9561920986980606E-2</v>
      </c>
      <c r="V72" s="33">
        <v>-2.0461888698390138E-2</v>
      </c>
      <c r="W72" s="33">
        <v>-3.38796900989628E-2</v>
      </c>
      <c r="X72" s="33">
        <v>8.427152358777168E-3</v>
      </c>
      <c r="Y72" s="33">
        <v>3.1603056653161363E-2</v>
      </c>
      <c r="Z72" s="33">
        <v>2.3328556637676068E-2</v>
      </c>
      <c r="AA72" s="33">
        <v>2.0764301414228636E-2</v>
      </c>
      <c r="AB72" s="33">
        <v>3.4913081743488425E-3</v>
      </c>
      <c r="AC72" s="33">
        <v>-3.3602773116682853E-2</v>
      </c>
      <c r="AD72" s="33">
        <v>5.8082475648173405E-2</v>
      </c>
      <c r="AE72" s="33">
        <v>6.1698369144211798E-2</v>
      </c>
      <c r="AF72" s="33">
        <v>-6.4159338944257205E-3</v>
      </c>
    </row>
    <row r="73" spans="1:32" ht="15" customHeight="1" x14ac:dyDescent="0.35">
      <c r="A73" s="17" t="s">
        <v>313</v>
      </c>
      <c r="B73" s="33">
        <v>-0.345472617470859</v>
      </c>
      <c r="C73" s="33">
        <v>0.11410603675278159</v>
      </c>
      <c r="D73" s="33">
        <v>6.0776652173160813E-2</v>
      </c>
      <c r="E73" s="33">
        <v>-6.6657100824695772E-3</v>
      </c>
      <c r="F73" s="33">
        <v>5.9185068685702918E-2</v>
      </c>
      <c r="G73" s="33">
        <v>-1.5979968545139753E-2</v>
      </c>
      <c r="H73" s="33">
        <v>-9.6344886848504854E-3</v>
      </c>
      <c r="I73" s="33">
        <v>6.0776652173160667E-2</v>
      </c>
      <c r="J73" s="33">
        <v>5.9185068685702932E-2</v>
      </c>
      <c r="K73" s="33">
        <v>-8.1609786506968013E-2</v>
      </c>
      <c r="L73" s="33">
        <v>-8.1609786506968027E-2</v>
      </c>
      <c r="M73" s="33">
        <v>-8.6244963560008533E-2</v>
      </c>
      <c r="N73" s="33">
        <v>-6.6657100824695894E-3</v>
      </c>
      <c r="O73" s="33">
        <v>-9.7973676806242999E-2</v>
      </c>
      <c r="P73" s="33">
        <v>4.9310579686770724E-2</v>
      </c>
      <c r="Q73" s="33">
        <v>-5.013863664859558E-2</v>
      </c>
      <c r="R73" s="33">
        <v>3.9792568768698156E-4</v>
      </c>
      <c r="S73" s="33">
        <v>0.20494914503595882</v>
      </c>
      <c r="T73" s="33">
        <v>1</v>
      </c>
      <c r="U73" s="33">
        <v>0.15584349508769182</v>
      </c>
      <c r="V73" s="33">
        <v>5.262179184892668E-2</v>
      </c>
      <c r="W73" s="33">
        <v>-6.0072972963447359E-2</v>
      </c>
      <c r="X73" s="33">
        <v>5.1764800344606225E-2</v>
      </c>
      <c r="Y73" s="33">
        <v>4.6805370671701402E-2</v>
      </c>
      <c r="Z73" s="33">
        <v>4.6449579003186289E-2</v>
      </c>
      <c r="AA73" s="33">
        <v>5.32916948811211E-2</v>
      </c>
      <c r="AB73" s="33">
        <v>5.1534040887471134E-2</v>
      </c>
      <c r="AC73" s="33">
        <v>-6.6407120974122755E-2</v>
      </c>
      <c r="AD73" s="33">
        <v>5.4884390733313361E-3</v>
      </c>
      <c r="AE73" s="33">
        <v>-7.2020783157219451E-2</v>
      </c>
      <c r="AF73" s="33">
        <v>5.0434887199936287E-2</v>
      </c>
    </row>
    <row r="74" spans="1:32" ht="15" customHeight="1" x14ac:dyDescent="0.35">
      <c r="A74" s="17" t="s">
        <v>325</v>
      </c>
      <c r="B74" s="33">
        <v>-0.22158964201883408</v>
      </c>
      <c r="C74" s="33">
        <v>-4.1704907950807307E-2</v>
      </c>
      <c r="D74" s="33">
        <v>6.3874114524005848E-2</v>
      </c>
      <c r="E74" s="33">
        <v>-2.6535703913786751E-4</v>
      </c>
      <c r="F74" s="33">
        <v>-8.1427308873661342E-2</v>
      </c>
      <c r="G74" s="33">
        <v>6.2201416500712571E-2</v>
      </c>
      <c r="H74" s="33">
        <v>-3.2488258631449274E-3</v>
      </c>
      <c r="I74" s="33">
        <v>-7.6593635165150734E-2</v>
      </c>
      <c r="J74" s="33">
        <v>6.2201416500713008E-2</v>
      </c>
      <c r="K74" s="33">
        <v>6.5517988240088559E-2</v>
      </c>
      <c r="L74" s="33">
        <v>-7.2015639966378137E-2</v>
      </c>
      <c r="M74" s="33">
        <v>-7.6593635165150206E-2</v>
      </c>
      <c r="N74" s="33">
        <v>6.7135330901849366E-2</v>
      </c>
      <c r="O74" s="33">
        <v>-3.5857232321018652E-2</v>
      </c>
      <c r="P74" s="33">
        <v>5.6688131940194862E-2</v>
      </c>
      <c r="Q74" s="33">
        <v>5.835872420378109E-2</v>
      </c>
      <c r="R74" s="33">
        <v>-8.6492571702672619E-2</v>
      </c>
      <c r="S74" s="33">
        <v>5.9561920986980606E-2</v>
      </c>
      <c r="T74" s="33">
        <v>0.15584349508769182</v>
      </c>
      <c r="U74" s="33">
        <v>0.99999999999999989</v>
      </c>
      <c r="V74" s="33">
        <v>5.5303644390288335E-2</v>
      </c>
      <c r="W74" s="33">
        <v>-5.2149430353951053E-2</v>
      </c>
      <c r="X74" s="33">
        <v>-0.14436509093374206</v>
      </c>
      <c r="Y74" s="33">
        <v>5.3842489246209657E-2</v>
      </c>
      <c r="Z74" s="33">
        <v>4.9548356552549105E-2</v>
      </c>
      <c r="AA74" s="33">
        <v>2.6191701475333146E-2</v>
      </c>
      <c r="AB74" s="33">
        <v>5.4160456554150312E-2</v>
      </c>
      <c r="AC74" s="33">
        <v>5.6713657997158662E-2</v>
      </c>
      <c r="AD74" s="33">
        <v>-0.14861343016082451</v>
      </c>
      <c r="AE74" s="33">
        <v>-0.11360328617635398</v>
      </c>
      <c r="AF74" s="33">
        <v>5.7028997453829514E-2</v>
      </c>
    </row>
    <row r="75" spans="1:32" ht="15" customHeight="1" x14ac:dyDescent="0.35">
      <c r="A75" s="17" t="s">
        <v>340</v>
      </c>
      <c r="B75" s="33">
        <v>-2.6293653707443569E-2</v>
      </c>
      <c r="C75" s="33">
        <v>0.12109885593758551</v>
      </c>
      <c r="D75" s="33">
        <v>0.86582248227494163</v>
      </c>
      <c r="E75" s="33">
        <v>-8.2019756117411066E-2</v>
      </c>
      <c r="F75" s="33">
        <v>-7.5991954504620859E-2</v>
      </c>
      <c r="G75" s="33">
        <v>-7.5991954504620693E-2</v>
      </c>
      <c r="H75" s="33">
        <v>-8.0043836003605442E-2</v>
      </c>
      <c r="I75" s="33">
        <v>-7.8035502694308256E-2</v>
      </c>
      <c r="J75" s="33">
        <v>-7.5991954504620721E-2</v>
      </c>
      <c r="K75" s="33">
        <v>-8.0043836003605554E-2</v>
      </c>
      <c r="L75" s="33">
        <v>-8.0043836003605318E-2</v>
      </c>
      <c r="M75" s="33">
        <v>-7.8035502694308048E-2</v>
      </c>
      <c r="N75" s="33">
        <v>-8.2019756117410553E-2</v>
      </c>
      <c r="O75" s="33">
        <v>9.8277680025590395E-4</v>
      </c>
      <c r="P75" s="33">
        <v>3.4745152977187423E-2</v>
      </c>
      <c r="Q75" s="33">
        <v>-4.5663951377260207E-3</v>
      </c>
      <c r="R75" s="33">
        <v>-2.0788274368249066E-2</v>
      </c>
      <c r="S75" s="33">
        <v>-2.0461888698390138E-2</v>
      </c>
      <c r="T75" s="33">
        <v>5.262179184892668E-2</v>
      </c>
      <c r="U75" s="33">
        <v>5.5303644390288335E-2</v>
      </c>
      <c r="V75" s="33">
        <v>1</v>
      </c>
      <c r="W75" s="33">
        <v>-7.0494971880410803E-2</v>
      </c>
      <c r="X75" s="33">
        <v>-6.6464539791576724E-2</v>
      </c>
      <c r="Y75" s="33">
        <v>-6.5779788040142131E-2</v>
      </c>
      <c r="Z75" s="33">
        <v>-6.9470280912675236E-2</v>
      </c>
      <c r="AA75" s="33">
        <v>-6.8425029197585432E-2</v>
      </c>
      <c r="AB75" s="33">
        <v>-6.6168251174235596E-2</v>
      </c>
      <c r="AC75" s="33">
        <v>-6.9287517242653571E-2</v>
      </c>
      <c r="AD75" s="33">
        <v>-6.8067619076494473E-2</v>
      </c>
      <c r="AE75" s="33">
        <v>-6.7064957905342518E-2</v>
      </c>
      <c r="AF75" s="33">
        <v>-6.967276991040601E-2</v>
      </c>
    </row>
    <row r="76" spans="1:32" ht="15" customHeight="1" x14ac:dyDescent="0.35">
      <c r="A76" s="17" t="s">
        <v>341</v>
      </c>
      <c r="B76" s="33">
        <v>-2.1359596555788823E-2</v>
      </c>
      <c r="C76" s="33">
        <v>0.17905831123208288</v>
      </c>
      <c r="D76" s="33">
        <v>-8.1419659714987103E-2</v>
      </c>
      <c r="E76" s="33">
        <v>0.85948770415139997</v>
      </c>
      <c r="F76" s="33">
        <v>-7.9287489196815122E-2</v>
      </c>
      <c r="G76" s="33">
        <v>-7.9287489196814553E-2</v>
      </c>
      <c r="H76" s="33">
        <v>-8.3515088192941886E-2</v>
      </c>
      <c r="I76" s="33">
        <v>-8.1419659714987019E-2</v>
      </c>
      <c r="J76" s="33">
        <v>-7.9287489196814817E-2</v>
      </c>
      <c r="K76" s="33">
        <v>-8.3515088192941789E-2</v>
      </c>
      <c r="L76" s="33">
        <v>-8.3515088192941636E-2</v>
      </c>
      <c r="M76" s="33">
        <v>-8.1419659714986908E-2</v>
      </c>
      <c r="N76" s="33">
        <v>-8.557669781594017E-2</v>
      </c>
      <c r="O76" s="33">
        <v>1.4342886915901253E-2</v>
      </c>
      <c r="P76" s="33">
        <v>-1.4540771136952872E-2</v>
      </c>
      <c r="Q76" s="33">
        <v>8.1096604101704127E-3</v>
      </c>
      <c r="R76" s="33">
        <v>-9.8960541368863144E-3</v>
      </c>
      <c r="S76" s="33">
        <v>-3.38796900989628E-2</v>
      </c>
      <c r="T76" s="33">
        <v>-6.0072972963447359E-2</v>
      </c>
      <c r="U76" s="33">
        <v>-5.2149430353951053E-2</v>
      </c>
      <c r="V76" s="33">
        <v>-7.0494971880410789E-2</v>
      </c>
      <c r="W76" s="33">
        <v>1.0000000000000002</v>
      </c>
      <c r="X76" s="33">
        <v>-6.9346900142902512E-2</v>
      </c>
      <c r="Y76" s="33">
        <v>-6.8632452837944113E-2</v>
      </c>
      <c r="Z76" s="33">
        <v>-7.2482990906997238E-2</v>
      </c>
      <c r="AA76" s="33">
        <v>-7.1392409876303478E-2</v>
      </c>
      <c r="AB76" s="33">
        <v>-6.9037762409839928E-2</v>
      </c>
      <c r="AC76" s="33">
        <v>-7.2292301345099133E-2</v>
      </c>
      <c r="AD76" s="33">
        <v>-7.1019499989992199E-2</v>
      </c>
      <c r="AE76" s="33">
        <v>-6.9973356522648314E-2</v>
      </c>
      <c r="AF76" s="33">
        <v>-7.2694261222713982E-2</v>
      </c>
    </row>
    <row r="77" spans="1:32" ht="15" customHeight="1" x14ac:dyDescent="0.35">
      <c r="A77" s="17" t="s">
        <v>342</v>
      </c>
      <c r="B77" s="33">
        <v>3.606340905366074E-2</v>
      </c>
      <c r="C77" s="33">
        <v>0.12982184133279903</v>
      </c>
      <c r="D77" s="33">
        <v>-7.676462687471601E-2</v>
      </c>
      <c r="E77" s="33">
        <v>-8.0683993276403118E-2</v>
      </c>
      <c r="F77" s="33">
        <v>0.87462600777737809</v>
      </c>
      <c r="G77" s="33">
        <v>-7.4754359639091633E-2</v>
      </c>
      <c r="H77" s="33">
        <v>-7.8740252734809627E-2</v>
      </c>
      <c r="I77" s="33">
        <v>-7.6764626874716163E-2</v>
      </c>
      <c r="J77" s="33">
        <v>-7.4754359639092036E-2</v>
      </c>
      <c r="K77" s="33">
        <v>-7.8740252734809543E-2</v>
      </c>
      <c r="L77" s="33">
        <v>-7.8740252734809418E-2</v>
      </c>
      <c r="M77" s="33">
        <v>-7.6764626874716135E-2</v>
      </c>
      <c r="N77" s="33">
        <v>-8.0683993276403063E-2</v>
      </c>
      <c r="O77" s="33">
        <v>1.0642775703672098E-2</v>
      </c>
      <c r="P77" s="33">
        <v>4.6389623917016509E-2</v>
      </c>
      <c r="Q77" s="33">
        <v>5.1532863186265843E-3</v>
      </c>
      <c r="R77" s="33">
        <v>-6.150542652508955E-2</v>
      </c>
      <c r="S77" s="33">
        <v>8.427152358777168E-3</v>
      </c>
      <c r="T77" s="33">
        <v>5.1764800344606225E-2</v>
      </c>
      <c r="U77" s="33">
        <v>-0.14436509093374206</v>
      </c>
      <c r="V77" s="33">
        <v>-6.6464539791576724E-2</v>
      </c>
      <c r="W77" s="33">
        <v>-6.9346900142902512E-2</v>
      </c>
      <c r="X77" s="33">
        <v>1</v>
      </c>
      <c r="Y77" s="33">
        <v>-6.4708507159623466E-2</v>
      </c>
      <c r="Z77" s="33">
        <v>-6.8338897156001721E-2</v>
      </c>
      <c r="AA77" s="33">
        <v>-6.731066827134477E-2</v>
      </c>
      <c r="AB77" s="33">
        <v>-6.5090643834773726E-2</v>
      </c>
      <c r="AC77" s="33">
        <v>-6.8159109950806651E-2</v>
      </c>
      <c r="AD77" s="33">
        <v>-6.6959078883956566E-2</v>
      </c>
      <c r="AE77" s="33">
        <v>-6.5972746919303257E-2</v>
      </c>
      <c r="AF77" s="33">
        <v>-6.853808844484327E-2</v>
      </c>
    </row>
    <row r="78" spans="1:32" ht="15" customHeight="1" x14ac:dyDescent="0.35">
      <c r="A78" s="17" t="s">
        <v>343</v>
      </c>
      <c r="B78" s="33">
        <v>-0.12065221323207807</v>
      </c>
      <c r="C78" s="33">
        <v>9.8373835622574179E-2</v>
      </c>
      <c r="D78" s="33">
        <v>-7.5973758347444978E-2</v>
      </c>
      <c r="E78" s="33">
        <v>-7.9852745427821462E-2</v>
      </c>
      <c r="F78" s="33">
        <v>-7.3984201915127654E-2</v>
      </c>
      <c r="G78" s="33">
        <v>0.86561516240698388</v>
      </c>
      <c r="H78" s="33">
        <v>-7.7929030297436558E-2</v>
      </c>
      <c r="I78" s="33">
        <v>-7.5973758347445797E-2</v>
      </c>
      <c r="J78" s="33">
        <v>-7.3984201915127126E-2</v>
      </c>
      <c r="K78" s="33">
        <v>-7.7929030297436502E-2</v>
      </c>
      <c r="L78" s="33">
        <v>-7.7929030297436377E-2</v>
      </c>
      <c r="M78" s="33">
        <v>-7.5973758347446227E-2</v>
      </c>
      <c r="N78" s="33">
        <v>-7.9852745427821309E-2</v>
      </c>
      <c r="O78" s="33">
        <v>-2.1735593798115672E-2</v>
      </c>
      <c r="P78" s="33">
        <v>8.9319398664870313E-3</v>
      </c>
      <c r="Q78" s="33">
        <v>-2.800138291649127E-2</v>
      </c>
      <c r="R78" s="33">
        <v>1.4973549172867084E-2</v>
      </c>
      <c r="S78" s="33">
        <v>3.1603056653161363E-2</v>
      </c>
      <c r="T78" s="33">
        <v>4.6805370671701402E-2</v>
      </c>
      <c r="U78" s="33">
        <v>5.384248924620965E-2</v>
      </c>
      <c r="V78" s="33">
        <v>-6.5779788040142145E-2</v>
      </c>
      <c r="W78" s="33">
        <v>-6.8632452837944113E-2</v>
      </c>
      <c r="X78" s="33">
        <v>-6.4708507159623466E-2</v>
      </c>
      <c r="Y78" s="33">
        <v>1.0000000000000002</v>
      </c>
      <c r="Z78" s="33">
        <v>-6.7634834814408698E-2</v>
      </c>
      <c r="AA78" s="33">
        <v>-6.6617199270678343E-2</v>
      </c>
      <c r="AB78" s="33">
        <v>-6.4420046663596006E-2</v>
      </c>
      <c r="AC78" s="33">
        <v>-6.7456899869138637E-2</v>
      </c>
      <c r="AD78" s="33">
        <v>-6.6269232137345563E-2</v>
      </c>
      <c r="AE78" s="33">
        <v>-6.5293061870078356E-2</v>
      </c>
      <c r="AF78" s="33">
        <v>-6.7831973932507131E-2</v>
      </c>
    </row>
    <row r="79" spans="1:32" ht="15" customHeight="1" x14ac:dyDescent="0.35">
      <c r="A79" s="17" t="s">
        <v>344</v>
      </c>
      <c r="B79" s="33">
        <v>-0.16353924249758664</v>
      </c>
      <c r="C79" s="33">
        <v>0.16405698652187858</v>
      </c>
      <c r="D79" s="33">
        <v>-8.0236171195442491E-2</v>
      </c>
      <c r="E79" s="33">
        <v>-8.4332784002491931E-2</v>
      </c>
      <c r="F79" s="33">
        <v>-7.8134993183733667E-2</v>
      </c>
      <c r="G79" s="33">
        <v>-7.8134993183734402E-2</v>
      </c>
      <c r="H79" s="33">
        <v>0.86790294395121259</v>
      </c>
      <c r="I79" s="33">
        <v>-8.0236171195442588E-2</v>
      </c>
      <c r="J79" s="33">
        <v>-7.813499318373375E-2</v>
      </c>
      <c r="K79" s="33">
        <v>-8.230114123675146E-2</v>
      </c>
      <c r="L79" s="33">
        <v>-8.2301141236751335E-2</v>
      </c>
      <c r="M79" s="33">
        <v>-8.0236171195442657E-2</v>
      </c>
      <c r="N79" s="33">
        <v>-8.4332784002492014E-2</v>
      </c>
      <c r="O79" s="33">
        <v>-2.1210434040286053E-2</v>
      </c>
      <c r="P79" s="33">
        <v>6.2361181971186275E-3</v>
      </c>
      <c r="Q79" s="33">
        <v>-2.617157710080634E-2</v>
      </c>
      <c r="R79" s="33">
        <v>1.4713738202326306E-2</v>
      </c>
      <c r="S79" s="33">
        <v>2.3328556637676068E-2</v>
      </c>
      <c r="T79" s="33">
        <v>4.6449579003186282E-2</v>
      </c>
      <c r="U79" s="33">
        <v>4.9548356552549105E-2</v>
      </c>
      <c r="V79" s="33">
        <v>-6.9470280912675236E-2</v>
      </c>
      <c r="W79" s="33">
        <v>-7.2482990906997238E-2</v>
      </c>
      <c r="X79" s="33">
        <v>-6.8338897156001707E-2</v>
      </c>
      <c r="Y79" s="33">
        <v>-6.7634834814408698E-2</v>
      </c>
      <c r="Z79" s="33">
        <v>1</v>
      </c>
      <c r="AA79" s="33">
        <v>-7.0354674054672675E-2</v>
      </c>
      <c r="AB79" s="33">
        <v>-6.8034252944028886E-2</v>
      </c>
      <c r="AC79" s="33">
        <v>-7.124148500672435E-2</v>
      </c>
      <c r="AD79" s="33">
        <v>-6.9987184659811144E-2</v>
      </c>
      <c r="AE79" s="33">
        <v>-6.895624757858719E-2</v>
      </c>
      <c r="AF79" s="33">
        <v>-7.1637602132083728E-2</v>
      </c>
    </row>
    <row r="80" spans="1:32" ht="15" customHeight="1" x14ac:dyDescent="0.35">
      <c r="A80" s="17" t="s">
        <v>345</v>
      </c>
      <c r="B80" s="33">
        <v>3.6870280228753168E-2</v>
      </c>
      <c r="C80" s="33">
        <v>0.15798160931429395</v>
      </c>
      <c r="D80" s="33">
        <v>-7.9028935605596762E-2</v>
      </c>
      <c r="E80" s="33">
        <v>-8.3063910666170637E-2</v>
      </c>
      <c r="F80" s="33">
        <v>-7.6959371974766988E-2</v>
      </c>
      <c r="G80" s="33">
        <v>-7.695937197476703E-2</v>
      </c>
      <c r="H80" s="33">
        <v>-8.1062836052126219E-2</v>
      </c>
      <c r="I80" s="33">
        <v>0.87684485695734793</v>
      </c>
      <c r="J80" s="33">
        <v>-7.6959371974767279E-2</v>
      </c>
      <c r="K80" s="33">
        <v>-8.1062836052126094E-2</v>
      </c>
      <c r="L80" s="33">
        <v>-8.10628360521259E-2</v>
      </c>
      <c r="M80" s="33">
        <v>-7.9028935605597525E-2</v>
      </c>
      <c r="N80" s="33">
        <v>-8.3063910666170138E-2</v>
      </c>
      <c r="O80" s="33">
        <v>-9.4745280129443672E-3</v>
      </c>
      <c r="P80" s="33">
        <v>2.2309063235801625E-2</v>
      </c>
      <c r="Q80" s="33">
        <v>-1.4531274379171092E-2</v>
      </c>
      <c r="R80" s="33">
        <v>2.9025269963116208E-2</v>
      </c>
      <c r="S80" s="33">
        <v>2.0764301414228636E-2</v>
      </c>
      <c r="T80" s="33">
        <v>5.3291694881121114E-2</v>
      </c>
      <c r="U80" s="33">
        <v>2.6191701475333146E-2</v>
      </c>
      <c r="V80" s="33">
        <v>-6.8425029197585446E-2</v>
      </c>
      <c r="W80" s="33">
        <v>-7.1392409876303478E-2</v>
      </c>
      <c r="X80" s="33">
        <v>-6.731066827134477E-2</v>
      </c>
      <c r="Y80" s="33">
        <v>-6.6617199270678343E-2</v>
      </c>
      <c r="Z80" s="33">
        <v>-7.0354674054672675E-2</v>
      </c>
      <c r="AA80" s="33">
        <v>0.99999999999999978</v>
      </c>
      <c r="AB80" s="33">
        <v>-6.7010607744378795E-2</v>
      </c>
      <c r="AC80" s="33">
        <v>-7.016958370719642E-2</v>
      </c>
      <c r="AD80" s="33">
        <v>-6.8934155597038305E-2</v>
      </c>
      <c r="AE80" s="33">
        <v>-6.7918730022867177E-2</v>
      </c>
      <c r="AF80" s="33">
        <v>-7.0559740843634269E-2</v>
      </c>
    </row>
    <row r="81" spans="1:32" ht="15" customHeight="1" x14ac:dyDescent="0.35">
      <c r="A81" s="17" t="s">
        <v>346</v>
      </c>
      <c r="B81" s="33">
        <v>5.5462640292805419E-2</v>
      </c>
      <c r="C81" s="33">
        <v>0.13797801759729583</v>
      </c>
      <c r="D81" s="33">
        <v>-7.642242206552452E-2</v>
      </c>
      <c r="E81" s="33">
        <v>-8.0324316539237939E-2</v>
      </c>
      <c r="F81" s="33">
        <v>-7.4421116289674086E-2</v>
      </c>
      <c r="G81" s="33">
        <v>-7.4421116289673475E-2</v>
      </c>
      <c r="H81" s="33">
        <v>-7.8389240891726927E-2</v>
      </c>
      <c r="I81" s="33">
        <v>-7.6422422065524603E-2</v>
      </c>
      <c r="J81" s="33">
        <v>0.87072706058918758</v>
      </c>
      <c r="K81" s="33">
        <v>-7.8389240891726747E-2</v>
      </c>
      <c r="L81" s="33">
        <v>-7.8389240891726483E-2</v>
      </c>
      <c r="M81" s="33">
        <v>-7.6422422065524631E-2</v>
      </c>
      <c r="N81" s="33">
        <v>-8.0324316539237828E-2</v>
      </c>
      <c r="O81" s="33">
        <v>1.9635859126971144E-2</v>
      </c>
      <c r="P81" s="33">
        <v>-9.2577350577158907E-3</v>
      </c>
      <c r="Q81" s="33">
        <v>1.2288812373017398E-2</v>
      </c>
      <c r="R81" s="33">
        <v>-3.6976580123676134E-3</v>
      </c>
      <c r="S81" s="33">
        <v>3.4913081743488429E-3</v>
      </c>
      <c r="T81" s="33">
        <v>5.1534040887471134E-2</v>
      </c>
      <c r="U81" s="33">
        <v>5.4160456554150305E-2</v>
      </c>
      <c r="V81" s="33">
        <v>-6.6168251174235596E-2</v>
      </c>
      <c r="W81" s="33">
        <v>-6.9037762409839928E-2</v>
      </c>
      <c r="X81" s="33">
        <v>-6.5090643834773726E-2</v>
      </c>
      <c r="Y81" s="33">
        <v>-6.4420046663596006E-2</v>
      </c>
      <c r="Z81" s="33">
        <v>-6.8034252944028886E-2</v>
      </c>
      <c r="AA81" s="33">
        <v>-6.7010607744378808E-2</v>
      </c>
      <c r="AB81" s="33">
        <v>1</v>
      </c>
      <c r="AC81" s="33">
        <v>-6.7855267202330538E-2</v>
      </c>
      <c r="AD81" s="33">
        <v>-6.6660585687988605E-2</v>
      </c>
      <c r="AE81" s="33">
        <v>-6.5678650638366073E-2</v>
      </c>
      <c r="AF81" s="33">
        <v>-6.8232556268976507E-2</v>
      </c>
    </row>
    <row r="82" spans="1:32" ht="15" customHeight="1" x14ac:dyDescent="0.35">
      <c r="A82" s="17" t="s">
        <v>347</v>
      </c>
      <c r="B82" s="33">
        <v>-5.4006267245951624E-2</v>
      </c>
      <c r="C82" s="33">
        <v>0.15596041068747801</v>
      </c>
      <c r="D82" s="33">
        <v>-8.0025084426778262E-2</v>
      </c>
      <c r="E82" s="33">
        <v>-8.4110919790848213E-2</v>
      </c>
      <c r="F82" s="33">
        <v>-7.7929434232140452E-2</v>
      </c>
      <c r="G82" s="33">
        <v>-7.7929434232139577E-2</v>
      </c>
      <c r="H82" s="33">
        <v>-8.2084621907598077E-2</v>
      </c>
      <c r="I82" s="33">
        <v>-8.0025084426777748E-2</v>
      </c>
      <c r="J82" s="33">
        <v>-7.7929434232139785E-2</v>
      </c>
      <c r="K82" s="33">
        <v>0.86561964920738443</v>
      </c>
      <c r="L82" s="33">
        <v>-8.208462190759773E-2</v>
      </c>
      <c r="M82" s="33">
        <v>-8.0025084426777082E-2</v>
      </c>
      <c r="N82" s="33">
        <v>-8.4110919790848462E-2</v>
      </c>
      <c r="O82" s="33">
        <v>1.4470511264923283E-2</v>
      </c>
      <c r="P82" s="33">
        <v>-1.4221001278849595E-2</v>
      </c>
      <c r="Q82" s="33">
        <v>7.7702201463030127E-3</v>
      </c>
      <c r="R82" s="33">
        <v>-9.1951315771436077E-3</v>
      </c>
      <c r="S82" s="33">
        <v>-3.3602773116682846E-2</v>
      </c>
      <c r="T82" s="33">
        <v>-6.6407120974122755E-2</v>
      </c>
      <c r="U82" s="33">
        <v>5.6713657997158655E-2</v>
      </c>
      <c r="V82" s="33">
        <v>-6.9287517242653571E-2</v>
      </c>
      <c r="W82" s="33">
        <v>-7.2292301345099133E-2</v>
      </c>
      <c r="X82" s="33">
        <v>-6.8159109950806651E-2</v>
      </c>
      <c r="Y82" s="33">
        <v>-6.7456899869138637E-2</v>
      </c>
      <c r="Z82" s="33">
        <v>-7.1241485006724337E-2</v>
      </c>
      <c r="AA82" s="33">
        <v>-7.016958370719642E-2</v>
      </c>
      <c r="AB82" s="33">
        <v>-6.7855267202330538E-2</v>
      </c>
      <c r="AC82" s="33">
        <v>0.99999999999999989</v>
      </c>
      <c r="AD82" s="33">
        <v>-6.9803061110073561E-2</v>
      </c>
      <c r="AE82" s="33">
        <v>-6.8774836236747641E-2</v>
      </c>
      <c r="AF82" s="33">
        <v>-7.1449136634245763E-2</v>
      </c>
    </row>
    <row r="83" spans="1:32" ht="15" customHeight="1" x14ac:dyDescent="0.35">
      <c r="A83" s="17" t="s">
        <v>348</v>
      </c>
      <c r="B83" s="33">
        <v>2.890768078097472E-2</v>
      </c>
      <c r="C83" s="33">
        <v>0.15051486624490798</v>
      </c>
      <c r="D83" s="33">
        <v>-7.8616137222085908E-2</v>
      </c>
      <c r="E83" s="33">
        <v>-8.2630036063300091E-2</v>
      </c>
      <c r="F83" s="33">
        <v>-7.6557383714342689E-2</v>
      </c>
      <c r="G83" s="33">
        <v>-7.6557383714343286E-2</v>
      </c>
      <c r="H83" s="33">
        <v>-8.0639413827989365E-2</v>
      </c>
      <c r="I83" s="33">
        <v>-7.8616137222085963E-2</v>
      </c>
      <c r="J83" s="33">
        <v>-7.6557383714343175E-2</v>
      </c>
      <c r="K83" s="33">
        <v>-8.0639413827989434E-2</v>
      </c>
      <c r="L83" s="33">
        <v>0.85037927309517047</v>
      </c>
      <c r="M83" s="33">
        <v>-7.8616137222085991E-2</v>
      </c>
      <c r="N83" s="33">
        <v>-8.2630036063299606E-2</v>
      </c>
      <c r="O83" s="33">
        <v>-2.215395248117108E-2</v>
      </c>
      <c r="P83" s="33">
        <v>-4.8288300140867241E-2</v>
      </c>
      <c r="Q83" s="33">
        <v>3.2170434028560811E-2</v>
      </c>
      <c r="R83" s="33">
        <v>1.2943868750314912E-2</v>
      </c>
      <c r="S83" s="33">
        <v>5.8082475648173398E-2</v>
      </c>
      <c r="T83" s="33">
        <v>5.4884390733313361E-3</v>
      </c>
      <c r="U83" s="33">
        <v>-0.14861343016082451</v>
      </c>
      <c r="V83" s="33">
        <v>-6.8067619076494473E-2</v>
      </c>
      <c r="W83" s="33">
        <v>-7.1019499989992199E-2</v>
      </c>
      <c r="X83" s="33">
        <v>-6.6959078883956566E-2</v>
      </c>
      <c r="Y83" s="33">
        <v>-6.6269232137345563E-2</v>
      </c>
      <c r="Z83" s="33">
        <v>-6.9987184659811144E-2</v>
      </c>
      <c r="AA83" s="33">
        <v>-6.8934155597038305E-2</v>
      </c>
      <c r="AB83" s="33">
        <v>-6.6660585687988605E-2</v>
      </c>
      <c r="AC83" s="33">
        <v>-6.9803061110073561E-2</v>
      </c>
      <c r="AD83" s="33">
        <v>0.99999999999999978</v>
      </c>
      <c r="AE83" s="33">
        <v>-6.7563964496180282E-2</v>
      </c>
      <c r="AF83" s="33">
        <v>-7.0191180306432802E-2</v>
      </c>
    </row>
    <row r="84" spans="1:32" ht="15" customHeight="1" x14ac:dyDescent="0.35">
      <c r="A84" s="17" t="s">
        <v>349</v>
      </c>
      <c r="B84" s="33">
        <v>-2.7103641821033919E-2</v>
      </c>
      <c r="C84" s="33">
        <v>0.14889734984792646</v>
      </c>
      <c r="D84" s="33">
        <v>-7.7458092482341062E-2</v>
      </c>
      <c r="E84" s="33">
        <v>-8.1412865111008814E-2</v>
      </c>
      <c r="F84" s="33">
        <v>-7.5429665174209487E-2</v>
      </c>
      <c r="G84" s="33">
        <v>-7.5429665174209015E-2</v>
      </c>
      <c r="H84" s="33">
        <v>-7.9451565476502214E-2</v>
      </c>
      <c r="I84" s="33">
        <v>-7.7458092482341145E-2</v>
      </c>
      <c r="J84" s="33">
        <v>-7.542966517420932E-2</v>
      </c>
      <c r="K84" s="33">
        <v>-7.9451565476502242E-2</v>
      </c>
      <c r="L84" s="33">
        <v>-7.9451565476502228E-2</v>
      </c>
      <c r="M84" s="33">
        <v>0.85941597849454698</v>
      </c>
      <c r="N84" s="33">
        <v>-8.1412865111008828E-2</v>
      </c>
      <c r="O84" s="33">
        <v>2.3638002302162616E-2</v>
      </c>
      <c r="P84" s="33">
        <v>-6.1898681669082991E-3</v>
      </c>
      <c r="Q84" s="33">
        <v>-2.6192268302105099E-2</v>
      </c>
      <c r="R84" s="33">
        <v>-8.963133639503599E-4</v>
      </c>
      <c r="S84" s="33">
        <v>6.1698369144211798E-2</v>
      </c>
      <c r="T84" s="33">
        <v>-7.2020783157219437E-2</v>
      </c>
      <c r="U84" s="33">
        <v>-0.11360328617635397</v>
      </c>
      <c r="V84" s="33">
        <v>-6.7064957905342518E-2</v>
      </c>
      <c r="W84" s="33">
        <v>-6.9973356522648314E-2</v>
      </c>
      <c r="X84" s="33">
        <v>-6.5972746919303257E-2</v>
      </c>
      <c r="Y84" s="33">
        <v>-6.5293061870078356E-2</v>
      </c>
      <c r="Z84" s="33">
        <v>-6.895624757858719E-2</v>
      </c>
      <c r="AA84" s="33">
        <v>-6.7918730022867191E-2</v>
      </c>
      <c r="AB84" s="33">
        <v>-6.5678650638366073E-2</v>
      </c>
      <c r="AC84" s="33">
        <v>-6.8774836236747655E-2</v>
      </c>
      <c r="AD84" s="33">
        <v>-6.7563964496180282E-2</v>
      </c>
      <c r="AE84" s="33">
        <v>0.99999999999999978</v>
      </c>
      <c r="AF84" s="33">
        <v>-6.9157238293984291E-2</v>
      </c>
    </row>
    <row r="85" spans="1:32" ht="15" customHeight="1" x14ac:dyDescent="0.35">
      <c r="A85" s="17" t="s">
        <v>350</v>
      </c>
      <c r="B85" s="33">
        <v>-9.3393224906232752E-2</v>
      </c>
      <c r="C85" s="33">
        <v>0.16281584941399144</v>
      </c>
      <c r="D85" s="33">
        <v>-8.0470040148809138E-2</v>
      </c>
      <c r="E85" s="33">
        <v>-8.4578593587313317E-2</v>
      </c>
      <c r="F85" s="33">
        <v>-7.8362737713476058E-2</v>
      </c>
      <c r="G85" s="33">
        <v>-7.8362737713475475E-2</v>
      </c>
      <c r="H85" s="33">
        <v>-8.254102907630291E-2</v>
      </c>
      <c r="I85" s="33">
        <v>-8.0470040148809208E-2</v>
      </c>
      <c r="J85" s="33">
        <v>-7.8362737713475863E-2</v>
      </c>
      <c r="K85" s="33">
        <v>-8.2541029076303007E-2</v>
      </c>
      <c r="L85" s="33">
        <v>-8.2541029076303049E-2</v>
      </c>
      <c r="M85" s="33">
        <v>-8.0470040148809374E-2</v>
      </c>
      <c r="N85" s="33">
        <v>0.84946326602910582</v>
      </c>
      <c r="O85" s="33">
        <v>-2.159093644073156E-2</v>
      </c>
      <c r="P85" s="33">
        <v>7.740860545984816E-3</v>
      </c>
      <c r="Q85" s="33">
        <v>-2.6548146269956673E-2</v>
      </c>
      <c r="R85" s="33">
        <v>1.4342438447936914E-2</v>
      </c>
      <c r="S85" s="33">
        <v>-6.4159338944257205E-3</v>
      </c>
      <c r="T85" s="33">
        <v>5.0434887199936287E-2</v>
      </c>
      <c r="U85" s="33">
        <v>5.7028997453829521E-2</v>
      </c>
      <c r="V85" s="33">
        <v>-6.967276991040601E-2</v>
      </c>
      <c r="W85" s="33">
        <v>-7.2694261222713982E-2</v>
      </c>
      <c r="X85" s="33">
        <v>-6.853808844484327E-2</v>
      </c>
      <c r="Y85" s="33">
        <v>-6.7831973932507117E-2</v>
      </c>
      <c r="Z85" s="33">
        <v>-7.1637602132083728E-2</v>
      </c>
      <c r="AA85" s="33">
        <v>-7.0559740843634269E-2</v>
      </c>
      <c r="AB85" s="33">
        <v>-6.8232556268976507E-2</v>
      </c>
      <c r="AC85" s="33">
        <v>-7.1449136634245763E-2</v>
      </c>
      <c r="AD85" s="33">
        <v>-7.0191180306432815E-2</v>
      </c>
      <c r="AE85" s="33">
        <v>-6.9157238293984291E-2</v>
      </c>
      <c r="AF85" s="33">
        <v>1.0000000000000002</v>
      </c>
    </row>
    <row r="86" spans="1:32" ht="15" customHeight="1" x14ac:dyDescent="0.35"/>
    <row r="87" spans="1:32" ht="15" customHeight="1" x14ac:dyDescent="0.35">
      <c r="A87" s="18"/>
      <c r="B87" s="16"/>
      <c r="C87" s="16"/>
    </row>
    <row r="88" spans="1:32" ht="15" customHeight="1" thickBot="1" x14ac:dyDescent="0.4">
      <c r="A88" s="47" t="s">
        <v>92</v>
      </c>
      <c r="B88" s="46" t="s">
        <v>0</v>
      </c>
      <c r="C88" s="46"/>
    </row>
    <row r="89" spans="1:32" ht="15" customHeight="1" thickTop="1" x14ac:dyDescent="0.35">
      <c r="A89" s="17"/>
      <c r="B89" s="15" t="s">
        <v>17</v>
      </c>
      <c r="C89" s="5" t="s">
        <v>351</v>
      </c>
    </row>
    <row r="90" spans="1:32" ht="15" customHeight="1" x14ac:dyDescent="0.35">
      <c r="A90" s="17"/>
      <c r="B90" s="15" t="s">
        <v>21</v>
      </c>
      <c r="C90" s="5" t="s">
        <v>352</v>
      </c>
    </row>
    <row r="91" spans="1:32" ht="15" customHeight="1" x14ac:dyDescent="0.35">
      <c r="A91" s="17"/>
      <c r="B91" s="15" t="s">
        <v>25</v>
      </c>
      <c r="C91" s="5" t="s">
        <v>353</v>
      </c>
    </row>
    <row r="92" spans="1:32" ht="15" customHeight="1" x14ac:dyDescent="0.35">
      <c r="A92" s="17"/>
      <c r="B92" s="15" t="s">
        <v>15</v>
      </c>
      <c r="C92" s="5" t="s">
        <v>354</v>
      </c>
    </row>
    <row r="93" spans="1:32" ht="15" customHeight="1" x14ac:dyDescent="0.35">
      <c r="A93" s="17"/>
      <c r="B93" s="15" t="s">
        <v>7</v>
      </c>
      <c r="C93" s="5" t="s">
        <v>355</v>
      </c>
    </row>
    <row r="94" spans="1:32" ht="15" customHeight="1" x14ac:dyDescent="0.35">
      <c r="A94" s="17"/>
      <c r="B94" s="15" t="s">
        <v>20</v>
      </c>
      <c r="C94" s="5" t="s">
        <v>356</v>
      </c>
    </row>
    <row r="95" spans="1:32" ht="15" customHeight="1" x14ac:dyDescent="0.35">
      <c r="A95" s="17"/>
      <c r="B95" s="15" t="s">
        <v>19</v>
      </c>
      <c r="C95" s="5" t="s">
        <v>357</v>
      </c>
    </row>
    <row r="96" spans="1:32" ht="15" customHeight="1" x14ac:dyDescent="0.35">
      <c r="A96" s="17"/>
      <c r="B96" s="15" t="s">
        <v>16</v>
      </c>
      <c r="C96" s="5" t="s">
        <v>358</v>
      </c>
    </row>
    <row r="97" spans="1:3" ht="15" customHeight="1" x14ac:dyDescent="0.35">
      <c r="A97" s="17"/>
      <c r="B97" s="15" t="s">
        <v>18</v>
      </c>
      <c r="C97" s="5" t="s">
        <v>359</v>
      </c>
    </row>
    <row r="98" spans="1:3" ht="15" customHeight="1" x14ac:dyDescent="0.35">
      <c r="A98" s="17"/>
      <c r="B98" s="15" t="s">
        <v>24</v>
      </c>
      <c r="C98" s="5" t="s">
        <v>360</v>
      </c>
    </row>
    <row r="99" spans="1:3" ht="15" customHeight="1" x14ac:dyDescent="0.35">
      <c r="A99" s="17"/>
      <c r="B99" s="15" t="s">
        <v>23</v>
      </c>
      <c r="C99" s="5" t="s">
        <v>361</v>
      </c>
    </row>
    <row r="100" spans="1:3" ht="15" customHeight="1" x14ac:dyDescent="0.35">
      <c r="A100" s="17"/>
      <c r="B100" s="15" t="s">
        <v>22</v>
      </c>
      <c r="C100" s="5" t="s">
        <v>362</v>
      </c>
    </row>
    <row r="101" spans="1:3" ht="15" customHeight="1" x14ac:dyDescent="0.35"/>
    <row r="102" spans="1:3" ht="15" customHeight="1" x14ac:dyDescent="0.35"/>
    <row r="103" spans="1:3" ht="15" customHeight="1" x14ac:dyDescent="0.35"/>
    <row r="104" spans="1:3" ht="15" customHeight="1" x14ac:dyDescent="0.35"/>
    <row r="105" spans="1:3" ht="15" customHeight="1" x14ac:dyDescent="0.35"/>
    <row r="106" spans="1:3" ht="15" customHeight="1" x14ac:dyDescent="0.35"/>
    <row r="107" spans="1:3" ht="15" customHeight="1" x14ac:dyDescent="0.35"/>
    <row r="108" spans="1:3" ht="15" customHeight="1" x14ac:dyDescent="0.35"/>
    <row r="109" spans="1:3" ht="15" customHeight="1" x14ac:dyDescent="0.35"/>
    <row r="110" spans="1:3" ht="15" customHeight="1" x14ac:dyDescent="0.35"/>
    <row r="111" spans="1:3" ht="15" customHeight="1" x14ac:dyDescent="0.35"/>
    <row r="112" spans="1:3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spans="1:5" ht="15" customHeight="1" x14ac:dyDescent="0.35"/>
    <row r="130" spans="1:5" ht="15" customHeight="1" x14ac:dyDescent="0.35"/>
    <row r="131" spans="1:5" ht="15" customHeight="1" x14ac:dyDescent="0.35"/>
    <row r="132" spans="1:5" ht="15" customHeight="1" x14ac:dyDescent="0.35"/>
    <row r="133" spans="1:5" ht="15" customHeight="1" x14ac:dyDescent="0.35"/>
    <row r="134" spans="1:5" ht="15" customHeight="1" x14ac:dyDescent="0.35"/>
    <row r="135" spans="1:5" ht="15" customHeight="1" x14ac:dyDescent="0.35"/>
    <row r="136" spans="1:5" ht="15" customHeight="1" x14ac:dyDescent="0.35"/>
    <row r="137" spans="1:5" ht="15" customHeight="1" x14ac:dyDescent="0.35"/>
    <row r="138" spans="1:5" ht="15" customHeight="1" x14ac:dyDescent="0.35"/>
    <row r="139" spans="1:5" ht="15" customHeight="1" x14ac:dyDescent="0.35"/>
    <row r="140" spans="1:5" ht="15" customHeight="1" x14ac:dyDescent="0.35"/>
    <row r="141" spans="1:5" ht="15" customHeight="1" x14ac:dyDescent="0.35">
      <c r="A141" s="18"/>
      <c r="B141" s="48" t="s">
        <v>96</v>
      </c>
      <c r="C141" s="49"/>
      <c r="D141" s="49"/>
      <c r="E141" s="49"/>
    </row>
    <row r="142" spans="1:5" ht="15" customHeight="1" thickBot="1" x14ac:dyDescent="0.4">
      <c r="A142" s="47" t="s">
        <v>93</v>
      </c>
      <c r="B142" s="46" t="s">
        <v>97</v>
      </c>
      <c r="C142" s="46" t="s">
        <v>98</v>
      </c>
      <c r="D142" s="46" t="s">
        <v>99</v>
      </c>
      <c r="E142" s="46" t="s">
        <v>100</v>
      </c>
    </row>
    <row r="143" spans="1:5" ht="15" customHeight="1" thickTop="1" x14ac:dyDescent="0.35">
      <c r="A143" s="17" t="s">
        <v>101</v>
      </c>
      <c r="B143" s="15">
        <v>-404.94753863808864</v>
      </c>
      <c r="C143" s="15">
        <v>-303.50101451</v>
      </c>
      <c r="D143" s="15">
        <v>-354.22427657404432</v>
      </c>
      <c r="E143" s="15">
        <v>4</v>
      </c>
    </row>
    <row r="144" spans="1:5" ht="15" customHeight="1" x14ac:dyDescent="0.35">
      <c r="A144" s="17" t="s">
        <v>102</v>
      </c>
      <c r="B144" s="15">
        <v>-303.50101451</v>
      </c>
      <c r="C144" s="15">
        <v>-202.05449037</v>
      </c>
      <c r="D144" s="15">
        <v>-252.77775244</v>
      </c>
      <c r="E144" s="15">
        <v>6</v>
      </c>
    </row>
    <row r="145" spans="1:5" ht="15" customHeight="1" x14ac:dyDescent="0.35">
      <c r="A145" s="17" t="s">
        <v>103</v>
      </c>
      <c r="B145" s="15">
        <v>-202.05449037</v>
      </c>
      <c r="C145" s="15">
        <v>-100.60796624</v>
      </c>
      <c r="D145" s="15">
        <v>-151.331228305</v>
      </c>
      <c r="E145" s="15">
        <v>48</v>
      </c>
    </row>
    <row r="146" spans="1:5" ht="15" customHeight="1" x14ac:dyDescent="0.35">
      <c r="A146" s="17" t="s">
        <v>104</v>
      </c>
      <c r="B146" s="15">
        <v>-100.60796624</v>
      </c>
      <c r="C146" s="15">
        <v>0.83855789000000003</v>
      </c>
      <c r="D146" s="15">
        <v>-49.884704174999996</v>
      </c>
      <c r="E146" s="15">
        <v>75</v>
      </c>
    </row>
    <row r="147" spans="1:5" ht="15" customHeight="1" x14ac:dyDescent="0.35">
      <c r="A147" s="17" t="s">
        <v>105</v>
      </c>
      <c r="B147" s="15">
        <v>0.83855789000000003</v>
      </c>
      <c r="C147" s="15">
        <v>102.28508203</v>
      </c>
      <c r="D147" s="15">
        <v>51.561819960000001</v>
      </c>
      <c r="E147" s="15">
        <v>74</v>
      </c>
    </row>
    <row r="148" spans="1:5" ht="15" customHeight="1" x14ac:dyDescent="0.35">
      <c r="A148" s="17" t="s">
        <v>106</v>
      </c>
      <c r="B148" s="15">
        <v>102.28508203</v>
      </c>
      <c r="C148" s="15">
        <v>203.73160616000001</v>
      </c>
      <c r="D148" s="15">
        <v>153.00834409500001</v>
      </c>
      <c r="E148" s="15">
        <v>29</v>
      </c>
    </row>
    <row r="149" spans="1:5" ht="15" customHeight="1" x14ac:dyDescent="0.35">
      <c r="A149" s="17" t="s">
        <v>107</v>
      </c>
      <c r="B149" s="15">
        <v>203.73160616000001</v>
      </c>
      <c r="C149" s="15">
        <v>305.17813029000001</v>
      </c>
      <c r="D149" s="15">
        <v>254.45486822500001</v>
      </c>
      <c r="E149" s="15">
        <v>10</v>
      </c>
    </row>
    <row r="150" spans="1:5" ht="15" customHeight="1" x14ac:dyDescent="0.35">
      <c r="A150" s="17" t="s">
        <v>108</v>
      </c>
      <c r="B150" s="15">
        <v>305.17813029000001</v>
      </c>
      <c r="C150" s="15">
        <v>406.62465443000002</v>
      </c>
      <c r="D150" s="15">
        <v>355.90139236000005</v>
      </c>
      <c r="E150" s="15">
        <v>7</v>
      </c>
    </row>
    <row r="151" spans="1:5" ht="15" customHeight="1" x14ac:dyDescent="0.35">
      <c r="A151" s="17" t="s">
        <v>109</v>
      </c>
      <c r="B151" s="15">
        <v>406.62465443000002</v>
      </c>
      <c r="C151" s="15">
        <v>508.07117855883644</v>
      </c>
      <c r="D151" s="15">
        <v>457.3479164944182</v>
      </c>
      <c r="E151" s="15">
        <v>1</v>
      </c>
    </row>
    <row r="152" spans="1:5" ht="15" customHeight="1" x14ac:dyDescent="0.35"/>
    <row r="153" spans="1:5" ht="15" customHeight="1" x14ac:dyDescent="0.35">
      <c r="A153" s="18"/>
      <c r="B153" s="16"/>
      <c r="C153" s="16"/>
      <c r="D153" s="16"/>
    </row>
    <row r="154" spans="1:5" ht="15" customHeight="1" thickBot="1" x14ac:dyDescent="0.4">
      <c r="A154" s="47" t="s">
        <v>94</v>
      </c>
      <c r="B154" s="46" t="s">
        <v>6</v>
      </c>
      <c r="C154" s="46" t="s">
        <v>95</v>
      </c>
      <c r="D154" s="46" t="s">
        <v>96</v>
      </c>
    </row>
    <row r="155" spans="1:5" ht="15" customHeight="1" thickTop="1" x14ac:dyDescent="0.35">
      <c r="A155" s="17">
        <v>1</v>
      </c>
      <c r="B155" s="15">
        <v>1825</v>
      </c>
      <c r="C155" s="15">
        <v>1889.1184445975109</v>
      </c>
      <c r="D155" s="15">
        <v>-64.118444597510916</v>
      </c>
    </row>
    <row r="156" spans="1:5" ht="15" customHeight="1" x14ac:dyDescent="0.35">
      <c r="A156" s="17">
        <v>2</v>
      </c>
      <c r="B156" s="15">
        <v>1257</v>
      </c>
      <c r="C156" s="15">
        <v>859.82172323437658</v>
      </c>
      <c r="D156" s="15">
        <v>397.17827676562342</v>
      </c>
    </row>
    <row r="157" spans="1:5" ht="15" customHeight="1" x14ac:dyDescent="0.35">
      <c r="A157" s="17">
        <v>3</v>
      </c>
      <c r="B157" s="15">
        <v>969</v>
      </c>
      <c r="C157" s="15">
        <v>871.7329773990482</v>
      </c>
      <c r="D157" s="15">
        <v>97.267022600951805</v>
      </c>
    </row>
    <row r="158" spans="1:5" ht="15" customHeight="1" x14ac:dyDescent="0.35">
      <c r="A158" s="17">
        <v>4</v>
      </c>
      <c r="B158" s="15">
        <v>1672</v>
      </c>
      <c r="C158" s="15">
        <v>1669.1159328050021</v>
      </c>
      <c r="D158" s="15">
        <v>2.8840671949978969</v>
      </c>
    </row>
    <row r="159" spans="1:5" ht="15" customHeight="1" x14ac:dyDescent="0.35">
      <c r="A159" s="17">
        <v>5</v>
      </c>
      <c r="B159" s="15">
        <v>1098</v>
      </c>
      <c r="C159" s="15">
        <v>1062.5286444994699</v>
      </c>
      <c r="D159" s="15">
        <v>35.47135550053008</v>
      </c>
    </row>
    <row r="160" spans="1:5" ht="15" customHeight="1" x14ac:dyDescent="0.35">
      <c r="A160" s="17">
        <v>6</v>
      </c>
      <c r="B160" s="15">
        <v>691</v>
      </c>
      <c r="C160" s="15">
        <v>801.14249568344962</v>
      </c>
      <c r="D160" s="15">
        <v>-110.14249568344962</v>
      </c>
    </row>
    <row r="161" spans="1:4" ht="15" customHeight="1" x14ac:dyDescent="0.35">
      <c r="A161" s="17">
        <v>7</v>
      </c>
      <c r="B161" s="15">
        <v>672</v>
      </c>
      <c r="C161" s="15">
        <v>782.77820028078236</v>
      </c>
      <c r="D161" s="15">
        <v>-110.77820028078236</v>
      </c>
    </row>
    <row r="162" spans="1:4" ht="15" customHeight="1" x14ac:dyDescent="0.35">
      <c r="A162" s="17">
        <v>8</v>
      </c>
      <c r="B162" s="15">
        <v>754</v>
      </c>
      <c r="C162" s="15">
        <v>794.6894544454542</v>
      </c>
      <c r="D162" s="15">
        <v>-40.689454445454203</v>
      </c>
    </row>
    <row r="163" spans="1:4" ht="15" customHeight="1" x14ac:dyDescent="0.35">
      <c r="A163" s="17">
        <v>9</v>
      </c>
      <c r="B163" s="15">
        <v>972</v>
      </c>
      <c r="C163" s="15">
        <v>1233.1586689035439</v>
      </c>
      <c r="D163" s="15">
        <v>-261.15866890354391</v>
      </c>
    </row>
    <row r="164" spans="1:4" ht="15" customHeight="1" x14ac:dyDescent="0.35">
      <c r="A164" s="17">
        <v>10</v>
      </c>
      <c r="B164" s="15">
        <v>816</v>
      </c>
      <c r="C164" s="15">
        <v>985.48512154587593</v>
      </c>
      <c r="D164" s="15">
        <v>-169.48512154587593</v>
      </c>
    </row>
    <row r="165" spans="1:4" ht="15" customHeight="1" x14ac:dyDescent="0.35">
      <c r="A165" s="17">
        <v>11</v>
      </c>
      <c r="B165" s="15">
        <v>717</v>
      </c>
      <c r="C165" s="15">
        <v>724.09897272985563</v>
      </c>
      <c r="D165" s="15">
        <v>-7.0989727298556318</v>
      </c>
    </row>
    <row r="166" spans="1:4" ht="15" customHeight="1" x14ac:dyDescent="0.35">
      <c r="A166" s="17">
        <v>12</v>
      </c>
      <c r="B166" s="15">
        <v>728</v>
      </c>
      <c r="C166" s="15">
        <v>705.73467732718814</v>
      </c>
      <c r="D166" s="15">
        <v>22.265322672811863</v>
      </c>
    </row>
    <row r="167" spans="1:4" ht="15" customHeight="1" x14ac:dyDescent="0.35">
      <c r="A167" s="17">
        <v>13</v>
      </c>
      <c r="B167" s="15">
        <v>711</v>
      </c>
      <c r="C167" s="15">
        <v>717.64593149185998</v>
      </c>
      <c r="D167" s="15">
        <v>-6.645931491859983</v>
      </c>
    </row>
    <row r="168" spans="1:4" ht="15" customHeight="1" x14ac:dyDescent="0.35">
      <c r="A168" s="17">
        <v>14</v>
      </c>
      <c r="B168" s="15">
        <v>1545</v>
      </c>
      <c r="C168" s="15">
        <v>1515.0288868978141</v>
      </c>
      <c r="D168" s="15">
        <v>29.971113102185882</v>
      </c>
    </row>
    <row r="169" spans="1:4" ht="15" customHeight="1" x14ac:dyDescent="0.35">
      <c r="A169" s="17">
        <v>15</v>
      </c>
      <c r="B169" s="15">
        <v>873</v>
      </c>
      <c r="C169" s="15">
        <v>908.44159859228148</v>
      </c>
      <c r="D169" s="15">
        <v>-35.44159859228148</v>
      </c>
    </row>
    <row r="170" spans="1:4" ht="15" customHeight="1" x14ac:dyDescent="0.35">
      <c r="A170" s="17">
        <v>16</v>
      </c>
      <c r="B170" s="15">
        <v>713</v>
      </c>
      <c r="C170" s="15">
        <v>647.05544977626164</v>
      </c>
      <c r="D170" s="15">
        <v>65.944550223738361</v>
      </c>
    </row>
    <row r="171" spans="1:4" ht="15" customHeight="1" x14ac:dyDescent="0.35">
      <c r="A171" s="17">
        <v>17</v>
      </c>
      <c r="B171" s="15">
        <v>626</v>
      </c>
      <c r="C171" s="15">
        <v>628.69115437359414</v>
      </c>
      <c r="D171" s="15">
        <v>-2.691154373594145</v>
      </c>
    </row>
    <row r="172" spans="1:4" ht="15" customHeight="1" x14ac:dyDescent="0.35">
      <c r="A172" s="17">
        <v>18</v>
      </c>
      <c r="B172" s="15">
        <v>653</v>
      </c>
      <c r="C172" s="15">
        <v>640.60240853826576</v>
      </c>
      <c r="D172" s="15">
        <v>12.397591461734237</v>
      </c>
    </row>
    <row r="173" spans="1:4" ht="15" customHeight="1" x14ac:dyDescent="0.35">
      <c r="A173" s="17">
        <v>19</v>
      </c>
      <c r="B173" s="15">
        <v>1080</v>
      </c>
      <c r="C173" s="15">
        <v>1079.0716229963555</v>
      </c>
      <c r="D173" s="15">
        <v>0.92837700364452758</v>
      </c>
    </row>
    <row r="174" spans="1:4" ht="15" customHeight="1" x14ac:dyDescent="0.35">
      <c r="A174" s="17">
        <v>20</v>
      </c>
      <c r="B174" s="15">
        <v>650</v>
      </c>
      <c r="C174" s="15">
        <v>831.39807563868749</v>
      </c>
      <c r="D174" s="15">
        <v>-181.39807563868749</v>
      </c>
    </row>
    <row r="175" spans="1:4" ht="15" customHeight="1" x14ac:dyDescent="0.35">
      <c r="A175" s="17">
        <v>21</v>
      </c>
      <c r="B175" s="15">
        <v>644</v>
      </c>
      <c r="C175" s="15">
        <v>570.01192682266742</v>
      </c>
      <c r="D175" s="15">
        <v>73.988073177332581</v>
      </c>
    </row>
    <row r="176" spans="1:4" ht="15" customHeight="1" x14ac:dyDescent="0.35">
      <c r="A176" s="17">
        <v>22</v>
      </c>
      <c r="B176" s="15">
        <v>803</v>
      </c>
      <c r="C176" s="15">
        <v>551.64763142000015</v>
      </c>
      <c r="D176" s="15">
        <v>251.35236857999985</v>
      </c>
    </row>
    <row r="177" spans="1:4" ht="15" customHeight="1" x14ac:dyDescent="0.35">
      <c r="A177" s="17">
        <v>23</v>
      </c>
      <c r="B177" s="15">
        <v>1282</v>
      </c>
      <c r="C177" s="15">
        <v>1258.8366634075105</v>
      </c>
      <c r="D177" s="15">
        <v>23.163336592489486</v>
      </c>
    </row>
    <row r="178" spans="1:4" ht="15" customHeight="1" x14ac:dyDescent="0.35">
      <c r="A178" s="17">
        <v>24</v>
      </c>
      <c r="B178" s="15">
        <v>2043</v>
      </c>
      <c r="C178" s="15">
        <v>1677.5041458444607</v>
      </c>
      <c r="D178" s="15">
        <v>365.49585415553929</v>
      </c>
    </row>
    <row r="179" spans="1:4" ht="15" customHeight="1" x14ac:dyDescent="0.35">
      <c r="A179" s="17">
        <v>25</v>
      </c>
      <c r="B179" s="15">
        <v>1146</v>
      </c>
      <c r="C179" s="15">
        <v>1080.5693332339149</v>
      </c>
      <c r="D179" s="15">
        <v>65.430666766085096</v>
      </c>
    </row>
    <row r="180" spans="1:4" ht="15" customHeight="1" x14ac:dyDescent="0.35">
      <c r="A180" s="17">
        <v>26</v>
      </c>
      <c r="B180" s="15">
        <v>740</v>
      </c>
      <c r="C180" s="15">
        <v>822.40067631622367</v>
      </c>
      <c r="D180" s="15">
        <v>-82.400676316223667</v>
      </c>
    </row>
    <row r="181" spans="1:4" ht="15" customHeight="1" x14ac:dyDescent="0.35">
      <c r="A181" s="17">
        <v>27</v>
      </c>
      <c r="B181" s="15">
        <v>698</v>
      </c>
      <c r="C181" s="15">
        <v>807.25387281188523</v>
      </c>
      <c r="D181" s="15">
        <v>-109.25387281188523</v>
      </c>
    </row>
    <row r="182" spans="1:4" ht="15" customHeight="1" x14ac:dyDescent="0.35">
      <c r="A182" s="17">
        <v>28</v>
      </c>
      <c r="B182" s="15">
        <v>695</v>
      </c>
      <c r="C182" s="15">
        <v>822.38261887488579</v>
      </c>
      <c r="D182" s="15">
        <v>-127.38261887488579</v>
      </c>
    </row>
    <row r="183" spans="1:4" ht="15" customHeight="1" x14ac:dyDescent="0.35">
      <c r="A183" s="17">
        <v>29</v>
      </c>
      <c r="B183" s="15">
        <v>1159</v>
      </c>
      <c r="C183" s="15">
        <v>1264.0693252313044</v>
      </c>
      <c r="D183" s="15">
        <v>-105.06932523130445</v>
      </c>
    </row>
    <row r="184" spans="1:4" ht="15" customHeight="1" x14ac:dyDescent="0.35">
      <c r="A184" s="17">
        <v>30</v>
      </c>
      <c r="B184" s="15">
        <v>881</v>
      </c>
      <c r="C184" s="15">
        <v>1026.0482535686231</v>
      </c>
      <c r="D184" s="15">
        <v>-145.04825356862307</v>
      </c>
    </row>
    <row r="185" spans="1:4" ht="15" customHeight="1" x14ac:dyDescent="0.35">
      <c r="A185" s="17">
        <v>31</v>
      </c>
      <c r="B185" s="15">
        <v>768</v>
      </c>
      <c r="C185" s="15">
        <v>767.87959665093172</v>
      </c>
      <c r="D185" s="15">
        <v>0.12040334906828321</v>
      </c>
    </row>
    <row r="186" spans="1:4" ht="15" customHeight="1" x14ac:dyDescent="0.35">
      <c r="A186" s="17">
        <v>32</v>
      </c>
      <c r="B186" s="15">
        <v>654</v>
      </c>
      <c r="C186" s="15">
        <v>752.73279314659328</v>
      </c>
      <c r="D186" s="15">
        <v>-98.732793146593281</v>
      </c>
    </row>
    <row r="187" spans="1:4" ht="15" customHeight="1" x14ac:dyDescent="0.35">
      <c r="A187" s="17">
        <v>33</v>
      </c>
      <c r="B187" s="15">
        <v>858</v>
      </c>
      <c r="C187" s="15">
        <v>767.86153920959396</v>
      </c>
      <c r="D187" s="15">
        <v>90.138460790406043</v>
      </c>
    </row>
    <row r="188" spans="1:4" ht="15" customHeight="1" x14ac:dyDescent="0.35">
      <c r="A188" s="17">
        <v>34</v>
      </c>
      <c r="B188" s="15">
        <v>1647</v>
      </c>
      <c r="C188" s="15">
        <v>1568.4619865138768</v>
      </c>
      <c r="D188" s="15">
        <v>78.538013486123191</v>
      </c>
    </row>
    <row r="189" spans="1:4" ht="15" customHeight="1" x14ac:dyDescent="0.35">
      <c r="A189" s="17">
        <v>35</v>
      </c>
      <c r="B189" s="15">
        <v>773</v>
      </c>
      <c r="C189" s="15">
        <v>971.52717390333123</v>
      </c>
      <c r="D189" s="15">
        <v>-198.52717390333123</v>
      </c>
    </row>
    <row r="190" spans="1:4" ht="15" customHeight="1" x14ac:dyDescent="0.35">
      <c r="A190" s="17">
        <v>36</v>
      </c>
      <c r="B190" s="15">
        <v>755</v>
      </c>
      <c r="C190" s="15">
        <v>713.35851698563988</v>
      </c>
      <c r="D190" s="15">
        <v>41.641483014360119</v>
      </c>
    </row>
    <row r="191" spans="1:4" ht="15" customHeight="1" x14ac:dyDescent="0.35">
      <c r="A191" s="17">
        <v>37</v>
      </c>
      <c r="B191" s="15">
        <v>788</v>
      </c>
      <c r="C191" s="15">
        <v>698.21171348130133</v>
      </c>
      <c r="D191" s="15">
        <v>89.788286518698669</v>
      </c>
    </row>
    <row r="192" spans="1:4" ht="15" customHeight="1" x14ac:dyDescent="0.35">
      <c r="A192" s="17">
        <v>38</v>
      </c>
      <c r="B192" s="15">
        <v>702</v>
      </c>
      <c r="C192" s="15">
        <v>713.34045954430201</v>
      </c>
      <c r="D192" s="15">
        <v>-11.340459544302007</v>
      </c>
    </row>
    <row r="193" spans="1:4" ht="15" customHeight="1" x14ac:dyDescent="0.35">
      <c r="A193" s="17">
        <v>39</v>
      </c>
      <c r="B193" s="15">
        <v>1037</v>
      </c>
      <c r="C193" s="15">
        <v>1155.0271659007208</v>
      </c>
      <c r="D193" s="15">
        <v>-118.02716590072077</v>
      </c>
    </row>
    <row r="194" spans="1:4" ht="15" customHeight="1" x14ac:dyDescent="0.35">
      <c r="A194" s="17">
        <v>40</v>
      </c>
      <c r="B194" s="15">
        <v>931</v>
      </c>
      <c r="C194" s="15">
        <v>917.00609423803905</v>
      </c>
      <c r="D194" s="15">
        <v>13.993905761960946</v>
      </c>
    </row>
    <row r="195" spans="1:4" ht="15" customHeight="1" x14ac:dyDescent="0.35">
      <c r="A195" s="17">
        <v>41</v>
      </c>
      <c r="B195" s="15">
        <v>719</v>
      </c>
      <c r="C195" s="15">
        <v>658.83743732034804</v>
      </c>
      <c r="D195" s="15">
        <v>60.162562679651955</v>
      </c>
    </row>
    <row r="196" spans="1:4" ht="15" customHeight="1" x14ac:dyDescent="0.35">
      <c r="A196" s="17">
        <v>42</v>
      </c>
      <c r="B196" s="15">
        <v>811</v>
      </c>
      <c r="C196" s="15">
        <v>643.69063381600949</v>
      </c>
      <c r="D196" s="15">
        <v>167.30936618399051</v>
      </c>
    </row>
    <row r="197" spans="1:4" ht="15" customHeight="1" x14ac:dyDescent="0.35">
      <c r="A197" s="17">
        <v>43</v>
      </c>
      <c r="B197" s="15">
        <v>1383</v>
      </c>
      <c r="C197" s="15">
        <v>1363.238465298032</v>
      </c>
      <c r="D197" s="15">
        <v>19.761534701968003</v>
      </c>
    </row>
    <row r="198" spans="1:4" ht="15" customHeight="1" x14ac:dyDescent="0.35">
      <c r="A198" s="17">
        <v>44</v>
      </c>
      <c r="B198" s="15">
        <v>2022</v>
      </c>
      <c r="C198" s="15">
        <v>1778.1264558512341</v>
      </c>
      <c r="D198" s="15">
        <v>243.87354414876586</v>
      </c>
    </row>
    <row r="199" spans="1:4" ht="15" customHeight="1" x14ac:dyDescent="0.35">
      <c r="A199" s="17">
        <v>45</v>
      </c>
      <c r="B199" s="15">
        <v>1130</v>
      </c>
      <c r="C199" s="15">
        <v>1169.8531675894435</v>
      </c>
      <c r="D199" s="15">
        <v>-39.853167589443501</v>
      </c>
    </row>
    <row r="200" spans="1:4" ht="15" customHeight="1" x14ac:dyDescent="0.35">
      <c r="A200" s="17">
        <v>46</v>
      </c>
      <c r="B200" s="15">
        <v>798</v>
      </c>
      <c r="C200" s="15">
        <v>907.9050187880041</v>
      </c>
      <c r="D200" s="15">
        <v>-109.9050187880041</v>
      </c>
    </row>
    <row r="201" spans="1:4" ht="15" customHeight="1" x14ac:dyDescent="0.35">
      <c r="A201" s="17">
        <v>47</v>
      </c>
      <c r="B201" s="15">
        <v>885</v>
      </c>
      <c r="C201" s="15">
        <v>888.9787233999175</v>
      </c>
      <c r="D201" s="15">
        <v>-3.9787233999174987</v>
      </c>
    </row>
    <row r="202" spans="1:4" ht="15" customHeight="1" x14ac:dyDescent="0.35">
      <c r="A202" s="17">
        <v>48</v>
      </c>
      <c r="B202" s="15">
        <v>983</v>
      </c>
      <c r="C202" s="15">
        <v>900.32797757916978</v>
      </c>
      <c r="D202" s="15">
        <v>82.672022420830217</v>
      </c>
    </row>
    <row r="203" spans="1:4" ht="15" customHeight="1" x14ac:dyDescent="0.35">
      <c r="A203" s="17">
        <v>49</v>
      </c>
      <c r="B203" s="15">
        <v>1439</v>
      </c>
      <c r="C203" s="15">
        <v>1338.2351920518402</v>
      </c>
      <c r="D203" s="15">
        <v>100.76480794815984</v>
      </c>
    </row>
    <row r="204" spans="1:4" ht="15" customHeight="1" x14ac:dyDescent="0.35">
      <c r="A204" s="17">
        <v>50</v>
      </c>
      <c r="B204" s="15">
        <v>973</v>
      </c>
      <c r="C204" s="15">
        <v>1088.8756447379142</v>
      </c>
      <c r="D204" s="15">
        <v>-115.87564473791417</v>
      </c>
    </row>
    <row r="205" spans="1:4" ht="15" customHeight="1" x14ac:dyDescent="0.35">
      <c r="A205" s="17">
        <v>51</v>
      </c>
      <c r="B205" s="15">
        <v>725</v>
      </c>
      <c r="C205" s="15">
        <v>826.92749593647454</v>
      </c>
      <c r="D205" s="15">
        <v>-101.92749593647454</v>
      </c>
    </row>
    <row r="206" spans="1:4" ht="15" customHeight="1" x14ac:dyDescent="0.35">
      <c r="A206" s="17">
        <v>52</v>
      </c>
      <c r="B206" s="15">
        <v>681</v>
      </c>
      <c r="C206" s="15">
        <v>808.00120054838794</v>
      </c>
      <c r="D206" s="15">
        <v>-127.00120054838794</v>
      </c>
    </row>
    <row r="207" spans="1:4" ht="15" customHeight="1" x14ac:dyDescent="0.35">
      <c r="A207" s="17">
        <v>53</v>
      </c>
      <c r="B207" s="15">
        <v>840</v>
      </c>
      <c r="C207" s="15">
        <v>819.35045472764045</v>
      </c>
      <c r="D207" s="15">
        <v>20.649545272359546</v>
      </c>
    </row>
    <row r="208" spans="1:4" ht="15" customHeight="1" x14ac:dyDescent="0.35">
      <c r="A208" s="17">
        <v>54</v>
      </c>
      <c r="B208" s="15">
        <v>1491</v>
      </c>
      <c r="C208" s="15">
        <v>1616.171410148175</v>
      </c>
      <c r="D208" s="15">
        <v>-125.17141014817503</v>
      </c>
    </row>
    <row r="209" spans="1:4" ht="15" customHeight="1" x14ac:dyDescent="0.35">
      <c r="A209" s="17">
        <v>55</v>
      </c>
      <c r="B209" s="15">
        <v>1050</v>
      </c>
      <c r="C209" s="15">
        <v>1007.8981218863848</v>
      </c>
      <c r="D209" s="15">
        <v>42.101878113615157</v>
      </c>
    </row>
    <row r="210" spans="1:4" ht="15" customHeight="1" x14ac:dyDescent="0.35">
      <c r="A210" s="17">
        <v>56</v>
      </c>
      <c r="B210" s="15">
        <v>779</v>
      </c>
      <c r="C210" s="15">
        <v>745.94997308494521</v>
      </c>
      <c r="D210" s="15">
        <v>33.050026915054787</v>
      </c>
    </row>
    <row r="211" spans="1:4" ht="15" customHeight="1" x14ac:dyDescent="0.35">
      <c r="A211" s="17">
        <v>57</v>
      </c>
      <c r="B211" s="15">
        <v>686</v>
      </c>
      <c r="C211" s="15">
        <v>727.02367769685839</v>
      </c>
      <c r="D211" s="15">
        <v>-41.023677696858385</v>
      </c>
    </row>
    <row r="212" spans="1:4" ht="15" customHeight="1" x14ac:dyDescent="0.35">
      <c r="A212" s="17">
        <v>58</v>
      </c>
      <c r="B212" s="15">
        <v>663</v>
      </c>
      <c r="C212" s="15">
        <v>738.3729318761109</v>
      </c>
      <c r="D212" s="15">
        <v>-75.372931876110897</v>
      </c>
    </row>
    <row r="213" spans="1:4" ht="15" customHeight="1" x14ac:dyDescent="0.35">
      <c r="A213" s="17">
        <v>59</v>
      </c>
      <c r="B213" s="15">
        <v>1059</v>
      </c>
      <c r="C213" s="15">
        <v>1176.2801463487815</v>
      </c>
      <c r="D213" s="15">
        <v>-117.2801463487815</v>
      </c>
    </row>
    <row r="214" spans="1:4" ht="15" customHeight="1" x14ac:dyDescent="0.35">
      <c r="A214" s="17">
        <v>60</v>
      </c>
      <c r="B214" s="15">
        <v>1005</v>
      </c>
      <c r="C214" s="15">
        <v>926.92059903485506</v>
      </c>
      <c r="D214" s="15">
        <v>78.079400965144941</v>
      </c>
    </row>
    <row r="215" spans="1:4" ht="15" customHeight="1" x14ac:dyDescent="0.35">
      <c r="A215" s="17">
        <v>61</v>
      </c>
      <c r="B215" s="15">
        <v>704</v>
      </c>
      <c r="C215" s="15">
        <v>664.97245023341588</v>
      </c>
      <c r="D215" s="15">
        <v>39.027549766584116</v>
      </c>
    </row>
    <row r="216" spans="1:4" ht="15" customHeight="1" x14ac:dyDescent="0.35">
      <c r="A216" s="17">
        <v>62</v>
      </c>
      <c r="B216" s="15">
        <v>732</v>
      </c>
      <c r="C216" s="15">
        <v>646.04615484532906</v>
      </c>
      <c r="D216" s="15">
        <v>85.953845154670944</v>
      </c>
    </row>
    <row r="217" spans="1:4" ht="15" customHeight="1" x14ac:dyDescent="0.35">
      <c r="A217" s="17">
        <v>63</v>
      </c>
      <c r="B217" s="15">
        <v>738</v>
      </c>
      <c r="C217" s="15">
        <v>657.39540902458134</v>
      </c>
      <c r="D217" s="15">
        <v>80.60459097541866</v>
      </c>
    </row>
    <row r="218" spans="1:4" ht="15" customHeight="1" x14ac:dyDescent="0.35">
      <c r="A218" s="17">
        <v>64</v>
      </c>
      <c r="B218" s="15">
        <v>1867</v>
      </c>
      <c r="C218" s="15">
        <v>1836.1493293124493</v>
      </c>
      <c r="D218" s="15">
        <v>30.850670687550746</v>
      </c>
    </row>
    <row r="219" spans="1:4" ht="15" customHeight="1" x14ac:dyDescent="0.35">
      <c r="A219" s="17">
        <v>65</v>
      </c>
      <c r="B219" s="15">
        <v>1486</v>
      </c>
      <c r="C219" s="15">
        <v>1165.7709617516773</v>
      </c>
      <c r="D219" s="15">
        <v>320.22903824832269</v>
      </c>
    </row>
    <row r="220" spans="1:4" ht="15" customHeight="1" x14ac:dyDescent="0.35">
      <c r="A220" s="17">
        <v>66</v>
      </c>
      <c r="B220" s="15">
        <v>1155</v>
      </c>
      <c r="C220" s="15">
        <v>908.89864436184564</v>
      </c>
      <c r="D220" s="15">
        <v>246.10135563815436</v>
      </c>
    </row>
    <row r="221" spans="1:4" ht="15" customHeight="1" x14ac:dyDescent="0.35">
      <c r="A221" s="17">
        <v>67</v>
      </c>
      <c r="B221" s="15">
        <v>871</v>
      </c>
      <c r="C221" s="15">
        <v>895.04818038536632</v>
      </c>
      <c r="D221" s="15">
        <v>-24.048180385366322</v>
      </c>
    </row>
    <row r="222" spans="1:4" ht="15" customHeight="1" x14ac:dyDescent="0.35">
      <c r="A222" s="17">
        <v>68</v>
      </c>
      <c r="B222" s="15">
        <v>832</v>
      </c>
      <c r="C222" s="15">
        <v>911.47326597622612</v>
      </c>
      <c r="D222" s="15">
        <v>-79.473265976226116</v>
      </c>
    </row>
    <row r="223" spans="1:4" ht="15" customHeight="1" x14ac:dyDescent="0.35">
      <c r="A223" s="17">
        <v>69</v>
      </c>
      <c r="B223" s="15">
        <v>1101</v>
      </c>
      <c r="C223" s="15">
        <v>1354.456311860504</v>
      </c>
      <c r="D223" s="15">
        <v>-253.456311860504</v>
      </c>
    </row>
    <row r="224" spans="1:4" ht="15" customHeight="1" x14ac:dyDescent="0.35">
      <c r="A224" s="17">
        <v>70</v>
      </c>
      <c r="B224" s="15">
        <v>929</v>
      </c>
      <c r="C224" s="15">
        <v>1120.3242587814007</v>
      </c>
      <c r="D224" s="15">
        <v>-191.32425878140066</v>
      </c>
    </row>
    <row r="225" spans="1:4" ht="15" customHeight="1" x14ac:dyDescent="0.35">
      <c r="A225" s="17">
        <v>71</v>
      </c>
      <c r="B225" s="15">
        <v>672</v>
      </c>
      <c r="C225" s="15">
        <v>863.45194139156865</v>
      </c>
      <c r="D225" s="15">
        <v>-191.45194139156865</v>
      </c>
    </row>
    <row r="226" spans="1:4" ht="15" customHeight="1" x14ac:dyDescent="0.35">
      <c r="A226" s="17">
        <v>72</v>
      </c>
      <c r="B226" s="15">
        <v>751</v>
      </c>
      <c r="C226" s="15">
        <v>849.60147741508956</v>
      </c>
      <c r="D226" s="15">
        <v>-98.601477415089562</v>
      </c>
    </row>
    <row r="227" spans="1:4" ht="15" customHeight="1" x14ac:dyDescent="0.35">
      <c r="A227" s="17">
        <v>73</v>
      </c>
      <c r="B227" s="15">
        <v>1114</v>
      </c>
      <c r="C227" s="15">
        <v>1224.940303953814</v>
      </c>
      <c r="D227" s="15">
        <v>-110.94030395381401</v>
      </c>
    </row>
    <row r="228" spans="1:4" ht="15" customHeight="1" x14ac:dyDescent="0.35">
      <c r="A228" s="17">
        <v>74</v>
      </c>
      <c r="B228" s="15">
        <v>1612</v>
      </c>
      <c r="C228" s="15">
        <v>1309.0096088902269</v>
      </c>
      <c r="D228" s="15">
        <v>302.9903911097731</v>
      </c>
    </row>
    <row r="229" spans="1:4" ht="15" customHeight="1" x14ac:dyDescent="0.35">
      <c r="A229" s="17">
        <v>75</v>
      </c>
      <c r="B229" s="15">
        <v>1267</v>
      </c>
      <c r="C229" s="15">
        <v>1074.8775558111238</v>
      </c>
      <c r="D229" s="15">
        <v>192.12244418887622</v>
      </c>
    </row>
    <row r="230" spans="1:4" ht="15" customHeight="1" x14ac:dyDescent="0.35">
      <c r="A230" s="17">
        <v>76</v>
      </c>
      <c r="B230" s="15">
        <v>825</v>
      </c>
      <c r="C230" s="15">
        <v>818.00523842129166</v>
      </c>
      <c r="D230" s="15">
        <v>6.994761578708335</v>
      </c>
    </row>
    <row r="231" spans="1:4" ht="15" customHeight="1" x14ac:dyDescent="0.35">
      <c r="A231" s="17">
        <v>77</v>
      </c>
      <c r="B231" s="15">
        <v>729</v>
      </c>
      <c r="C231" s="15">
        <v>804.15477444481257</v>
      </c>
      <c r="D231" s="15">
        <v>-75.154774444812574</v>
      </c>
    </row>
    <row r="232" spans="1:4" ht="15" customHeight="1" x14ac:dyDescent="0.35">
      <c r="A232" s="17">
        <v>78</v>
      </c>
      <c r="B232" s="15">
        <v>836</v>
      </c>
      <c r="C232" s="15">
        <v>820.5798600356726</v>
      </c>
      <c r="D232" s="15">
        <v>15.420139964327404</v>
      </c>
    </row>
    <row r="233" spans="1:4" ht="15" customHeight="1" x14ac:dyDescent="0.35">
      <c r="A233" s="17">
        <v>79</v>
      </c>
      <c r="B233" s="15">
        <v>1123</v>
      </c>
      <c r="C233" s="15">
        <v>1263.5629059199505</v>
      </c>
      <c r="D233" s="15">
        <v>-140.56290591995048</v>
      </c>
    </row>
    <row r="234" spans="1:4" ht="15" customHeight="1" x14ac:dyDescent="0.35">
      <c r="A234" s="17">
        <v>80</v>
      </c>
      <c r="B234" s="15">
        <v>900</v>
      </c>
      <c r="C234" s="15">
        <v>1029.4308528408469</v>
      </c>
      <c r="D234" s="15">
        <v>-129.43085284084691</v>
      </c>
    </row>
    <row r="235" spans="1:4" ht="15" customHeight="1" x14ac:dyDescent="0.35">
      <c r="A235" s="17">
        <v>81</v>
      </c>
      <c r="B235" s="15">
        <v>702</v>
      </c>
      <c r="C235" s="15">
        <v>772.5585354510149</v>
      </c>
      <c r="D235" s="15">
        <v>-70.558535451014905</v>
      </c>
    </row>
    <row r="236" spans="1:4" ht="15" customHeight="1" x14ac:dyDescent="0.35">
      <c r="A236" s="17">
        <v>82</v>
      </c>
      <c r="B236" s="15">
        <v>724</v>
      </c>
      <c r="C236" s="15">
        <v>758.70807147453559</v>
      </c>
      <c r="D236" s="15">
        <v>-34.708071474535586</v>
      </c>
    </row>
    <row r="237" spans="1:4" ht="15" customHeight="1" x14ac:dyDescent="0.35">
      <c r="A237" s="17">
        <v>83</v>
      </c>
      <c r="B237" s="15">
        <v>824</v>
      </c>
      <c r="C237" s="15">
        <v>775.13315706539561</v>
      </c>
      <c r="D237" s="15">
        <v>48.866842934604392</v>
      </c>
    </row>
    <row r="238" spans="1:4" ht="15" customHeight="1" x14ac:dyDescent="0.35">
      <c r="A238" s="17">
        <v>84</v>
      </c>
      <c r="B238" s="15">
        <v>1682</v>
      </c>
      <c r="C238" s="15">
        <v>1577.029943897538</v>
      </c>
      <c r="D238" s="15">
        <v>104.97005610246197</v>
      </c>
    </row>
    <row r="239" spans="1:4" ht="15" customHeight="1" x14ac:dyDescent="0.35">
      <c r="A239" s="17">
        <v>85</v>
      </c>
      <c r="B239" s="15">
        <v>1146</v>
      </c>
      <c r="C239" s="15">
        <v>983.98414987056981</v>
      </c>
      <c r="D239" s="15">
        <v>162.01585012943019</v>
      </c>
    </row>
    <row r="240" spans="1:4" ht="15" customHeight="1" x14ac:dyDescent="0.35">
      <c r="A240" s="17">
        <v>86</v>
      </c>
      <c r="B240" s="15">
        <v>1488</v>
      </c>
      <c r="C240" s="15">
        <v>1347.8855983714229</v>
      </c>
      <c r="D240" s="15">
        <v>140.11440162857707</v>
      </c>
    </row>
    <row r="241" spans="1:4" ht="15" customHeight="1" x14ac:dyDescent="0.35">
      <c r="A241" s="17">
        <v>87</v>
      </c>
      <c r="B241" s="15">
        <v>1121</v>
      </c>
      <c r="C241" s="15">
        <v>955.00589300665297</v>
      </c>
      <c r="D241" s="15">
        <v>165.99410699334703</v>
      </c>
    </row>
    <row r="242" spans="1:4" ht="15" customHeight="1" x14ac:dyDescent="0.35">
      <c r="A242" s="17">
        <v>88</v>
      </c>
      <c r="B242" s="15">
        <v>1147</v>
      </c>
      <c r="C242" s="15">
        <v>974.33470207655489</v>
      </c>
      <c r="D242" s="15">
        <v>172.66529792344511</v>
      </c>
    </row>
    <row r="243" spans="1:4" ht="15" customHeight="1" x14ac:dyDescent="0.35">
      <c r="A243" s="17">
        <v>89</v>
      </c>
      <c r="B243" s="15">
        <v>1455</v>
      </c>
      <c r="C243" s="15">
        <v>1420.2214714398747</v>
      </c>
      <c r="D243" s="15">
        <v>34.778528560125324</v>
      </c>
    </row>
    <row r="244" spans="1:4" ht="15" customHeight="1" x14ac:dyDescent="0.35">
      <c r="A244" s="17">
        <v>90</v>
      </c>
      <c r="B244" s="15">
        <v>1330</v>
      </c>
      <c r="C244" s="15">
        <v>1194.800588797897</v>
      </c>
      <c r="D244" s="15">
        <v>135.19941120210297</v>
      </c>
    </row>
    <row r="245" spans="1:4" ht="15" customHeight="1" x14ac:dyDescent="0.35">
      <c r="A245" s="17">
        <v>91</v>
      </c>
      <c r="B245" s="15">
        <v>819</v>
      </c>
      <c r="C245" s="15">
        <v>940.8319948871067</v>
      </c>
      <c r="D245" s="15">
        <v>-121.8319948871067</v>
      </c>
    </row>
    <row r="246" spans="1:4" ht="15" customHeight="1" x14ac:dyDescent="0.35">
      <c r="A246" s="17">
        <v>92</v>
      </c>
      <c r="B246" s="15">
        <v>743</v>
      </c>
      <c r="C246" s="15">
        <v>929.88525438966929</v>
      </c>
      <c r="D246" s="15">
        <v>-186.88525438966929</v>
      </c>
    </row>
    <row r="247" spans="1:4" ht="15" customHeight="1" x14ac:dyDescent="0.35">
      <c r="A247" s="17">
        <v>93</v>
      </c>
      <c r="B247" s="15">
        <v>921</v>
      </c>
      <c r="C247" s="15">
        <v>949.21406345957121</v>
      </c>
      <c r="D247" s="15">
        <v>-28.214063459571207</v>
      </c>
    </row>
    <row r="248" spans="1:4" ht="15" customHeight="1" x14ac:dyDescent="0.35">
      <c r="A248" s="17">
        <v>94</v>
      </c>
      <c r="B248" s="15">
        <v>1731</v>
      </c>
      <c r="C248" s="15">
        <v>2135.9475386380886</v>
      </c>
      <c r="D248" s="15">
        <v>-404.94753863808864</v>
      </c>
    </row>
    <row r="249" spans="1:4" ht="15" customHeight="1" x14ac:dyDescent="0.35">
      <c r="A249" s="17">
        <v>95</v>
      </c>
      <c r="B249" s="15">
        <v>1118</v>
      </c>
      <c r="C249" s="15">
        <v>1169.679950180913</v>
      </c>
      <c r="D249" s="15">
        <v>-51.679950180913011</v>
      </c>
    </row>
    <row r="250" spans="1:4" ht="15" customHeight="1" x14ac:dyDescent="0.35">
      <c r="A250" s="17">
        <v>96</v>
      </c>
      <c r="B250" s="15">
        <v>1064</v>
      </c>
      <c r="C250" s="15">
        <v>915.71135627012325</v>
      </c>
      <c r="D250" s="15">
        <v>148.28864372987675</v>
      </c>
    </row>
    <row r="251" spans="1:4" ht="15" customHeight="1" x14ac:dyDescent="0.35">
      <c r="A251" s="17">
        <v>97</v>
      </c>
      <c r="B251" s="15">
        <v>869</v>
      </c>
      <c r="C251" s="15">
        <v>904.76461577268583</v>
      </c>
      <c r="D251" s="15">
        <v>-35.764615772685829</v>
      </c>
    </row>
    <row r="252" spans="1:4" ht="15" customHeight="1" x14ac:dyDescent="0.35">
      <c r="A252" s="17">
        <v>98</v>
      </c>
      <c r="B252" s="15">
        <v>844</v>
      </c>
      <c r="C252" s="15">
        <v>924.09342484258752</v>
      </c>
      <c r="D252" s="15">
        <v>-80.093424842587524</v>
      </c>
    </row>
    <row r="253" spans="1:4" ht="15" customHeight="1" x14ac:dyDescent="0.35">
      <c r="A253" s="17">
        <v>99</v>
      </c>
      <c r="B253" s="15">
        <v>1251</v>
      </c>
      <c r="C253" s="15">
        <v>1369.9801942059073</v>
      </c>
      <c r="D253" s="15">
        <v>-118.98019420590731</v>
      </c>
    </row>
    <row r="254" spans="1:4" ht="15" customHeight="1" x14ac:dyDescent="0.35">
      <c r="A254" s="17">
        <v>100</v>
      </c>
      <c r="B254" s="15">
        <v>1187</v>
      </c>
      <c r="C254" s="15">
        <v>1144.5593115639294</v>
      </c>
      <c r="D254" s="15">
        <v>42.440688436070559</v>
      </c>
    </row>
    <row r="255" spans="1:4" ht="15" customHeight="1" x14ac:dyDescent="0.35">
      <c r="A255" s="17">
        <v>101</v>
      </c>
      <c r="B255" s="15">
        <v>785</v>
      </c>
      <c r="C255" s="15">
        <v>890.59071765313956</v>
      </c>
      <c r="D255" s="15">
        <v>-105.59071765313956</v>
      </c>
    </row>
    <row r="256" spans="1:4" ht="15" customHeight="1" x14ac:dyDescent="0.35">
      <c r="A256" s="17">
        <v>102</v>
      </c>
      <c r="B256" s="15">
        <v>705</v>
      </c>
      <c r="C256" s="15">
        <v>879.64397715570237</v>
      </c>
      <c r="D256" s="15">
        <v>-174.64397715570237</v>
      </c>
    </row>
    <row r="257" spans="1:4" ht="15" customHeight="1" x14ac:dyDescent="0.35">
      <c r="A257" s="17">
        <v>103</v>
      </c>
      <c r="B257" s="15">
        <v>890</v>
      </c>
      <c r="C257" s="15">
        <v>898.97278622560407</v>
      </c>
      <c r="D257" s="15">
        <v>-8.972786225604068</v>
      </c>
    </row>
    <row r="258" spans="1:4" ht="15" customHeight="1" x14ac:dyDescent="0.35">
      <c r="A258" s="17">
        <v>104</v>
      </c>
      <c r="B258" s="15">
        <v>1754</v>
      </c>
      <c r="C258" s="15">
        <v>1614.9452757341937</v>
      </c>
      <c r="D258" s="15">
        <v>139.05472426580627</v>
      </c>
    </row>
    <row r="259" spans="1:4" ht="15" customHeight="1" x14ac:dyDescent="0.35">
      <c r="A259" s="17">
        <v>105</v>
      </c>
      <c r="B259" s="15">
        <v>1310</v>
      </c>
      <c r="C259" s="15">
        <v>1135.5557991814253</v>
      </c>
      <c r="D259" s="15">
        <v>174.4442008185747</v>
      </c>
    </row>
    <row r="260" spans="1:4" ht="15" customHeight="1" x14ac:dyDescent="0.35">
      <c r="A260" s="17">
        <v>106</v>
      </c>
      <c r="B260" s="15">
        <v>937</v>
      </c>
      <c r="C260" s="15">
        <v>854.52333853871869</v>
      </c>
      <c r="D260" s="15">
        <v>82.47666146128131</v>
      </c>
    </row>
    <row r="261" spans="1:4" ht="15" customHeight="1" x14ac:dyDescent="0.35">
      <c r="A261" s="17">
        <v>107</v>
      </c>
      <c r="B261" s="15">
        <v>956</v>
      </c>
      <c r="C261" s="15">
        <v>873.85214760862061</v>
      </c>
      <c r="D261" s="15">
        <v>82.147852391379388</v>
      </c>
    </row>
    <row r="262" spans="1:4" ht="15" customHeight="1" x14ac:dyDescent="0.35">
      <c r="A262" s="17">
        <v>108</v>
      </c>
      <c r="B262" s="15">
        <v>2068</v>
      </c>
      <c r="C262" s="15">
        <v>1559.9288214411636</v>
      </c>
      <c r="D262" s="15">
        <v>508.07117855883644</v>
      </c>
    </row>
    <row r="263" spans="1:4" ht="15" customHeight="1" x14ac:dyDescent="0.35">
      <c r="A263" s="17">
        <v>109</v>
      </c>
      <c r="B263" s="15">
        <v>1383</v>
      </c>
      <c r="C263" s="15">
        <v>1318.5098537336705</v>
      </c>
      <c r="D263" s="15">
        <v>64.490146266329475</v>
      </c>
    </row>
    <row r="264" spans="1:4" ht="15" customHeight="1" x14ac:dyDescent="0.35">
      <c r="A264" s="17">
        <v>110</v>
      </c>
      <c r="B264" s="15">
        <v>842</v>
      </c>
      <c r="C264" s="15">
        <v>1059.2085648010418</v>
      </c>
      <c r="D264" s="15">
        <v>-217.2085648010418</v>
      </c>
    </row>
    <row r="265" spans="1:4" ht="15" customHeight="1" x14ac:dyDescent="0.35">
      <c r="A265" s="17">
        <v>111</v>
      </c>
      <c r="B265" s="15">
        <v>923</v>
      </c>
      <c r="C265" s="15">
        <v>1042.9291292817666</v>
      </c>
      <c r="D265" s="15">
        <v>-119.92912928176656</v>
      </c>
    </row>
    <row r="266" spans="1:4" ht="15" customHeight="1" x14ac:dyDescent="0.35">
      <c r="A266" s="17">
        <v>112</v>
      </c>
      <c r="B266" s="15">
        <v>959</v>
      </c>
      <c r="C266" s="15">
        <v>1056.9252433298298</v>
      </c>
      <c r="D266" s="15">
        <v>-97.925243329829755</v>
      </c>
    </row>
    <row r="267" spans="1:4" ht="15" customHeight="1" x14ac:dyDescent="0.35">
      <c r="A267" s="17">
        <v>113</v>
      </c>
      <c r="B267" s="15">
        <v>1820</v>
      </c>
      <c r="C267" s="15">
        <v>1856.3930586191752</v>
      </c>
      <c r="D267" s="15">
        <v>-36.393058619175235</v>
      </c>
    </row>
    <row r="268" spans="1:4" ht="15" customHeight="1" x14ac:dyDescent="0.35">
      <c r="A268" s="17">
        <v>114</v>
      </c>
      <c r="B268" s="15">
        <v>1164</v>
      </c>
      <c r="C268" s="15">
        <v>1256.060349963818</v>
      </c>
      <c r="D268" s="15">
        <v>-92.060349963817998</v>
      </c>
    </row>
    <row r="269" spans="1:4" ht="15" customHeight="1" x14ac:dyDescent="0.35">
      <c r="A269" s="17">
        <v>115</v>
      </c>
      <c r="B269" s="15">
        <v>928</v>
      </c>
      <c r="C269" s="15">
        <v>996.75906103118928</v>
      </c>
      <c r="D269" s="15">
        <v>-68.759061031189276</v>
      </c>
    </row>
    <row r="270" spans="1:4" ht="15" customHeight="1" x14ac:dyDescent="0.35">
      <c r="A270" s="17">
        <v>116</v>
      </c>
      <c r="B270" s="15">
        <v>919</v>
      </c>
      <c r="C270" s="15">
        <v>994.47573955997689</v>
      </c>
      <c r="D270" s="15">
        <v>-75.475739559976887</v>
      </c>
    </row>
    <row r="271" spans="1:4" ht="15" customHeight="1" x14ac:dyDescent="0.35">
      <c r="A271" s="17">
        <v>117</v>
      </c>
      <c r="B271" s="15">
        <v>1460</v>
      </c>
      <c r="C271" s="15">
        <v>1435.0298139014585</v>
      </c>
      <c r="D271" s="15">
        <v>24.97018609854149</v>
      </c>
    </row>
    <row r="272" spans="1:4" ht="15" customHeight="1" x14ac:dyDescent="0.35">
      <c r="A272" s="17">
        <v>118</v>
      </c>
      <c r="B272" s="15">
        <v>1081</v>
      </c>
      <c r="C272" s="15">
        <v>1193.6108461939648</v>
      </c>
      <c r="D272" s="15">
        <v>-112.61084619396479</v>
      </c>
    </row>
    <row r="273" spans="1:4" ht="15" customHeight="1" x14ac:dyDescent="0.35">
      <c r="A273" s="17">
        <v>119</v>
      </c>
      <c r="B273" s="15">
        <v>993</v>
      </c>
      <c r="C273" s="15">
        <v>934.30955726133675</v>
      </c>
      <c r="D273" s="15">
        <v>58.690442738663251</v>
      </c>
    </row>
    <row r="274" spans="1:4" ht="15" customHeight="1" x14ac:dyDescent="0.35">
      <c r="A274" s="17">
        <v>120</v>
      </c>
      <c r="B274" s="15">
        <v>862</v>
      </c>
      <c r="C274" s="15">
        <v>918.03012174206083</v>
      </c>
      <c r="D274" s="15">
        <v>-56.030121742060828</v>
      </c>
    </row>
    <row r="275" spans="1:4" ht="15" customHeight="1" x14ac:dyDescent="0.35">
      <c r="A275" s="17">
        <v>121</v>
      </c>
      <c r="B275" s="15">
        <v>900</v>
      </c>
      <c r="C275" s="15">
        <v>932.02623579012402</v>
      </c>
      <c r="D275" s="15">
        <v>-32.026235790124019</v>
      </c>
    </row>
    <row r="276" spans="1:4" ht="15" customHeight="1" x14ac:dyDescent="0.35">
      <c r="A276" s="17">
        <v>122</v>
      </c>
      <c r="B276" s="15">
        <v>1769</v>
      </c>
      <c r="C276" s="15">
        <v>1731.49405107947</v>
      </c>
      <c r="D276" s="15">
        <v>37.505948920530045</v>
      </c>
    </row>
    <row r="277" spans="1:4" ht="15" customHeight="1" x14ac:dyDescent="0.35">
      <c r="A277" s="17">
        <v>123</v>
      </c>
      <c r="B277" s="15">
        <v>1059</v>
      </c>
      <c r="C277" s="15">
        <v>1131.1613424241123</v>
      </c>
      <c r="D277" s="15">
        <v>-72.161342424112263</v>
      </c>
    </row>
    <row r="278" spans="1:4" ht="15" customHeight="1" x14ac:dyDescent="0.35">
      <c r="A278" s="17">
        <v>124</v>
      </c>
      <c r="B278" s="15">
        <v>924</v>
      </c>
      <c r="C278" s="15">
        <v>871.86005349148388</v>
      </c>
      <c r="D278" s="15">
        <v>52.139946508516118</v>
      </c>
    </row>
    <row r="279" spans="1:4" ht="15" customHeight="1" x14ac:dyDescent="0.35">
      <c r="A279" s="17">
        <v>125</v>
      </c>
      <c r="B279" s="15">
        <v>859</v>
      </c>
      <c r="C279" s="15">
        <v>855.5806179722083</v>
      </c>
      <c r="D279" s="15">
        <v>3.4193820277916984</v>
      </c>
    </row>
    <row r="280" spans="1:4" ht="15" customHeight="1" x14ac:dyDescent="0.35">
      <c r="A280" s="17">
        <v>126</v>
      </c>
      <c r="B280" s="15">
        <v>805</v>
      </c>
      <c r="C280" s="15">
        <v>869.57673202027149</v>
      </c>
      <c r="D280" s="15">
        <v>-64.576732020271493</v>
      </c>
    </row>
    <row r="281" spans="1:4" ht="15" customHeight="1" x14ac:dyDescent="0.35">
      <c r="A281" s="17">
        <v>127</v>
      </c>
      <c r="B281" s="15">
        <v>1606</v>
      </c>
      <c r="C281" s="15">
        <v>1310.1308063617523</v>
      </c>
      <c r="D281" s="15">
        <v>295.86919363824768</v>
      </c>
    </row>
    <row r="282" spans="1:4" ht="15" customHeight="1" x14ac:dyDescent="0.35">
      <c r="A282" s="17">
        <v>128</v>
      </c>
      <c r="B282" s="15">
        <v>1648</v>
      </c>
      <c r="C282" s="15">
        <v>1310.8192428949458</v>
      </c>
      <c r="D282" s="15">
        <v>337.18075710505423</v>
      </c>
    </row>
    <row r="283" spans="1:4" ht="15" customHeight="1" x14ac:dyDescent="0.35">
      <c r="A283" s="17">
        <v>129</v>
      </c>
      <c r="B283" s="15">
        <v>1372</v>
      </c>
      <c r="C283" s="15">
        <v>1322.3400259900709</v>
      </c>
      <c r="D283" s="15">
        <v>49.659974009929101</v>
      </c>
    </row>
    <row r="284" spans="1:4" ht="15" customHeight="1" x14ac:dyDescent="0.35">
      <c r="A284" s="17">
        <v>130</v>
      </c>
      <c r="B284" s="15">
        <v>1283</v>
      </c>
      <c r="C284" s="15">
        <v>1321.5294082838263</v>
      </c>
      <c r="D284" s="15">
        <v>-38.529408283826342</v>
      </c>
    </row>
    <row r="285" spans="1:4" ht="15" customHeight="1" x14ac:dyDescent="0.35">
      <c r="A285" s="17">
        <v>131</v>
      </c>
      <c r="B285" s="15">
        <v>1740</v>
      </c>
      <c r="C285" s="15">
        <v>1851.6478553103866</v>
      </c>
      <c r="D285" s="15">
        <v>-111.6478553103866</v>
      </c>
    </row>
    <row r="286" spans="1:4" ht="15" customHeight="1" x14ac:dyDescent="0.35">
      <c r="A286" s="17">
        <v>132</v>
      </c>
      <c r="B286" s="15">
        <v>1195</v>
      </c>
      <c r="C286" s="15">
        <v>1253.5242023024807</v>
      </c>
      <c r="D286" s="15">
        <v>-58.524202302480717</v>
      </c>
    </row>
    <row r="287" spans="1:4" ht="15" customHeight="1" x14ac:dyDescent="0.35">
      <c r="A287" s="17">
        <v>133</v>
      </c>
      <c r="B287" s="15">
        <v>880</v>
      </c>
      <c r="C287" s="15">
        <v>994.95926525233608</v>
      </c>
      <c r="D287" s="15">
        <v>-114.95926525233608</v>
      </c>
    </row>
    <row r="288" spans="1:4" ht="15" customHeight="1" x14ac:dyDescent="0.35">
      <c r="A288" s="17">
        <v>134</v>
      </c>
      <c r="B288" s="15">
        <v>855</v>
      </c>
      <c r="C288" s="15">
        <v>979.41618161554436</v>
      </c>
      <c r="D288" s="15">
        <v>-124.41618161554436</v>
      </c>
    </row>
    <row r="289" spans="1:4" ht="15" customHeight="1" x14ac:dyDescent="0.35">
      <c r="A289" s="17">
        <v>135</v>
      </c>
      <c r="B289" s="15">
        <v>955</v>
      </c>
      <c r="C289" s="15">
        <v>994.14864754609152</v>
      </c>
      <c r="D289" s="15">
        <v>-39.148647546091524</v>
      </c>
    </row>
    <row r="290" spans="1:4" ht="15" customHeight="1" x14ac:dyDescent="0.35">
      <c r="A290" s="17">
        <v>136</v>
      </c>
      <c r="B290" s="15">
        <v>1466</v>
      </c>
      <c r="C290" s="15">
        <v>1435.4390737700564</v>
      </c>
      <c r="D290" s="15">
        <v>30.560926229943561</v>
      </c>
    </row>
    <row r="291" spans="1:4" ht="15" customHeight="1" x14ac:dyDescent="0.35">
      <c r="A291" s="17">
        <v>137</v>
      </c>
      <c r="B291" s="15">
        <v>1290</v>
      </c>
      <c r="C291" s="15">
        <v>1196.2291617100154</v>
      </c>
      <c r="D291" s="15">
        <v>93.770838289984567</v>
      </c>
    </row>
    <row r="292" spans="1:4" ht="15" customHeight="1" x14ac:dyDescent="0.35">
      <c r="A292" s="17">
        <v>138</v>
      </c>
      <c r="B292" s="15">
        <v>968</v>
      </c>
      <c r="C292" s="15">
        <v>937.66422465987068</v>
      </c>
      <c r="D292" s="15">
        <v>30.335775340129317</v>
      </c>
    </row>
    <row r="293" spans="1:4" ht="15" customHeight="1" x14ac:dyDescent="0.35">
      <c r="A293" s="17">
        <v>139</v>
      </c>
      <c r="B293" s="15">
        <v>831</v>
      </c>
      <c r="C293" s="15">
        <v>922.12114102307896</v>
      </c>
      <c r="D293" s="15">
        <v>-91.121141023078962</v>
      </c>
    </row>
    <row r="294" spans="1:4" ht="15" customHeight="1" x14ac:dyDescent="0.35">
      <c r="A294" s="17">
        <v>140</v>
      </c>
      <c r="B294" s="15">
        <v>838</v>
      </c>
      <c r="C294" s="15">
        <v>936.85360695362635</v>
      </c>
      <c r="D294" s="15">
        <v>-98.853606953626354</v>
      </c>
    </row>
    <row r="295" spans="1:4" ht="15" customHeight="1" x14ac:dyDescent="0.35">
      <c r="A295" s="17">
        <v>141</v>
      </c>
      <c r="B295" s="15">
        <v>1747</v>
      </c>
      <c r="C295" s="15">
        <v>1737.0577741254563</v>
      </c>
      <c r="D295" s="15">
        <v>9.9422258745437375</v>
      </c>
    </row>
    <row r="296" spans="1:4" ht="15" customHeight="1" x14ac:dyDescent="0.35">
      <c r="A296" s="17">
        <v>142</v>
      </c>
      <c r="B296" s="15">
        <v>1182</v>
      </c>
      <c r="C296" s="15">
        <v>1138.9341211175501</v>
      </c>
      <c r="D296" s="15">
        <v>43.065878882449852</v>
      </c>
    </row>
    <row r="297" spans="1:4" ht="15" customHeight="1" x14ac:dyDescent="0.35">
      <c r="A297" s="17">
        <v>143</v>
      </c>
      <c r="B297" s="15">
        <v>842</v>
      </c>
      <c r="C297" s="15">
        <v>880.36918406740551</v>
      </c>
      <c r="D297" s="15">
        <v>-38.369184067405513</v>
      </c>
    </row>
    <row r="298" spans="1:4" ht="15" customHeight="1" x14ac:dyDescent="0.35">
      <c r="A298" s="17">
        <v>144</v>
      </c>
      <c r="B298" s="15">
        <v>818</v>
      </c>
      <c r="C298" s="15">
        <v>864.82610043061356</v>
      </c>
      <c r="D298" s="15">
        <v>-46.826100430613565</v>
      </c>
    </row>
    <row r="299" spans="1:4" ht="15" customHeight="1" x14ac:dyDescent="0.35">
      <c r="A299" s="17">
        <v>145</v>
      </c>
      <c r="B299" s="15">
        <v>822</v>
      </c>
      <c r="C299" s="15">
        <v>879.55856636116096</v>
      </c>
      <c r="D299" s="15">
        <v>-57.558566361160956</v>
      </c>
    </row>
    <row r="300" spans="1:4" ht="15" customHeight="1" x14ac:dyDescent="0.35">
      <c r="A300" s="17">
        <v>146</v>
      </c>
      <c r="B300" s="15">
        <v>1278</v>
      </c>
      <c r="C300" s="15">
        <v>1320.8489925851259</v>
      </c>
      <c r="D300" s="15">
        <v>-42.84899258512587</v>
      </c>
    </row>
    <row r="301" spans="1:4" ht="15" customHeight="1" x14ac:dyDescent="0.35">
      <c r="A301" s="17">
        <v>147</v>
      </c>
      <c r="B301" s="15">
        <v>1184</v>
      </c>
      <c r="C301" s="15">
        <v>1081.6390805250846</v>
      </c>
      <c r="D301" s="15">
        <v>102.36091947491536</v>
      </c>
    </row>
    <row r="302" spans="1:4" ht="15" customHeight="1" x14ac:dyDescent="0.35">
      <c r="A302" s="17">
        <v>148</v>
      </c>
      <c r="B302" s="15">
        <v>989</v>
      </c>
      <c r="C302" s="15">
        <v>823.07414347494034</v>
      </c>
      <c r="D302" s="15">
        <v>165.92585652505966</v>
      </c>
    </row>
    <row r="303" spans="1:4" ht="15" customHeight="1" x14ac:dyDescent="0.35">
      <c r="A303" s="17">
        <v>149</v>
      </c>
      <c r="B303" s="15">
        <v>1506</v>
      </c>
      <c r="C303" s="15">
        <v>1141.4723948447609</v>
      </c>
      <c r="D303" s="15">
        <v>364.52760515523914</v>
      </c>
    </row>
    <row r="304" spans="1:4" ht="15" customHeight="1" x14ac:dyDescent="0.35">
      <c r="A304" s="17">
        <v>150</v>
      </c>
      <c r="B304" s="15">
        <v>1155</v>
      </c>
      <c r="C304" s="15">
        <v>1145.3911095929207</v>
      </c>
      <c r="D304" s="15">
        <v>9.6088904070793433</v>
      </c>
    </row>
    <row r="305" spans="1:4" ht="15" customHeight="1" x14ac:dyDescent="0.35">
      <c r="A305" s="17">
        <v>151</v>
      </c>
      <c r="B305" s="15">
        <v>1889</v>
      </c>
      <c r="C305" s="15">
        <v>1934.781525582363</v>
      </c>
      <c r="D305" s="15">
        <v>-45.781525582362974</v>
      </c>
    </row>
    <row r="306" spans="1:4" ht="15" customHeight="1" x14ac:dyDescent="0.35">
      <c r="A306" s="17">
        <v>152</v>
      </c>
      <c r="B306" s="15">
        <v>1235</v>
      </c>
      <c r="C306" s="15">
        <v>1304.2166190272951</v>
      </c>
      <c r="D306" s="15">
        <v>-69.21661902729511</v>
      </c>
    </row>
    <row r="307" spans="1:4" ht="15" customHeight="1" x14ac:dyDescent="0.35">
      <c r="A307" s="17">
        <v>153</v>
      </c>
      <c r="B307" s="15">
        <v>957</v>
      </c>
      <c r="C307" s="15">
        <v>1034.837930794763</v>
      </c>
      <c r="D307" s="15">
        <v>-77.837930794762997</v>
      </c>
    </row>
    <row r="308" spans="1:4" ht="15" customHeight="1" x14ac:dyDescent="0.35">
      <c r="A308" s="17">
        <v>154</v>
      </c>
      <c r="B308" s="15">
        <v>891</v>
      </c>
      <c r="C308" s="15">
        <v>1008.4810959755837</v>
      </c>
      <c r="D308" s="15">
        <v>-117.48109597558368</v>
      </c>
    </row>
    <row r="309" spans="1:4" ht="15" customHeight="1" x14ac:dyDescent="0.35">
      <c r="A309" s="17">
        <v>155</v>
      </c>
      <c r="B309" s="15">
        <v>1067</v>
      </c>
      <c r="C309" s="15">
        <v>1012.3998107237435</v>
      </c>
      <c r="D309" s="15">
        <v>54.600189276256515</v>
      </c>
    </row>
    <row r="310" spans="1:4" ht="15" customHeight="1" x14ac:dyDescent="0.35">
      <c r="A310" s="17">
        <v>156</v>
      </c>
      <c r="B310" s="15">
        <v>1475</v>
      </c>
      <c r="C310" s="15">
        <v>1442.8764857653209</v>
      </c>
      <c r="D310" s="15">
        <v>32.123514234679078</v>
      </c>
    </row>
    <row r="311" spans="1:4" ht="15" customHeight="1" x14ac:dyDescent="0.35">
      <c r="A311" s="17">
        <v>157</v>
      </c>
      <c r="B311" s="15">
        <v>1051</v>
      </c>
      <c r="C311" s="15">
        <v>1171.2253201581177</v>
      </c>
      <c r="D311" s="15">
        <v>-120.22532015811771</v>
      </c>
    </row>
    <row r="312" spans="1:4" ht="15" customHeight="1" x14ac:dyDescent="0.35">
      <c r="A312" s="17">
        <v>158</v>
      </c>
      <c r="B312" s="15">
        <v>742</v>
      </c>
      <c r="C312" s="15">
        <v>901.84663192558594</v>
      </c>
      <c r="D312" s="15">
        <v>-159.84663192558594</v>
      </c>
    </row>
    <row r="313" spans="1:4" ht="15" customHeight="1" x14ac:dyDescent="0.35">
      <c r="A313" s="17">
        <v>159</v>
      </c>
      <c r="B313" s="15">
        <v>903</v>
      </c>
      <c r="C313" s="15">
        <v>875.48979710640651</v>
      </c>
      <c r="D313" s="15">
        <v>27.510202893593487</v>
      </c>
    </row>
    <row r="314" spans="1:4" ht="15" customHeight="1" x14ac:dyDescent="0.35">
      <c r="A314" s="17">
        <v>160</v>
      </c>
      <c r="B314" s="15">
        <v>793</v>
      </c>
      <c r="C314" s="15">
        <v>879.40851185456631</v>
      </c>
      <c r="D314" s="15">
        <v>-86.408511854566314</v>
      </c>
    </row>
    <row r="315" spans="1:4" ht="15" customHeight="1" x14ac:dyDescent="0.35">
      <c r="A315" s="17">
        <v>161</v>
      </c>
      <c r="B315" s="15">
        <v>1515</v>
      </c>
      <c r="C315" s="15">
        <v>1668.7989278440089</v>
      </c>
      <c r="D315" s="15">
        <v>-153.79892784400886</v>
      </c>
    </row>
    <row r="316" spans="1:4" ht="15" customHeight="1" x14ac:dyDescent="0.35">
      <c r="A316" s="17">
        <v>162</v>
      </c>
      <c r="B316" s="15">
        <v>1127</v>
      </c>
      <c r="C316" s="15">
        <v>1038.2340212889405</v>
      </c>
      <c r="D316" s="15">
        <v>88.765978711059461</v>
      </c>
    </row>
    <row r="317" spans="1:4" ht="15" customHeight="1" x14ac:dyDescent="0.35">
      <c r="A317" s="17">
        <v>163</v>
      </c>
      <c r="B317" s="15">
        <v>860</v>
      </c>
      <c r="C317" s="15">
        <v>768.85533305640843</v>
      </c>
      <c r="D317" s="15">
        <v>91.144666943591574</v>
      </c>
    </row>
    <row r="318" spans="1:4" ht="15" customHeight="1" x14ac:dyDescent="0.35">
      <c r="A318" s="17">
        <v>164</v>
      </c>
      <c r="B318" s="15">
        <v>778</v>
      </c>
      <c r="C318" s="15">
        <v>742.49849823722923</v>
      </c>
      <c r="D318" s="15">
        <v>35.501501762770772</v>
      </c>
    </row>
    <row r="319" spans="1:4" ht="15" customHeight="1" x14ac:dyDescent="0.35">
      <c r="A319" s="17">
        <v>165</v>
      </c>
      <c r="B319" s="15">
        <v>784</v>
      </c>
      <c r="C319" s="15">
        <v>746.41721298538914</v>
      </c>
      <c r="D319" s="15">
        <v>37.582787014610858</v>
      </c>
    </row>
    <row r="320" spans="1:4" ht="15" customHeight="1" x14ac:dyDescent="0.35">
      <c r="A320" s="17">
        <v>166</v>
      </c>
      <c r="B320" s="15">
        <v>1060</v>
      </c>
      <c r="C320" s="15">
        <v>1176.8938880269666</v>
      </c>
      <c r="D320" s="15">
        <v>-116.89388802696658</v>
      </c>
    </row>
    <row r="321" spans="1:4" ht="15" customHeight="1" x14ac:dyDescent="0.35">
      <c r="A321" s="17">
        <v>167</v>
      </c>
      <c r="B321" s="15">
        <v>930</v>
      </c>
      <c r="C321" s="15">
        <v>905.24272241976337</v>
      </c>
      <c r="D321" s="15">
        <v>24.757277580236632</v>
      </c>
    </row>
    <row r="322" spans="1:4" ht="15" customHeight="1" x14ac:dyDescent="0.35">
      <c r="A322" s="17">
        <v>168</v>
      </c>
      <c r="B322" s="15">
        <v>738</v>
      </c>
      <c r="C322" s="15">
        <v>635.86403418723125</v>
      </c>
      <c r="D322" s="15">
        <v>102.13596581276875</v>
      </c>
    </row>
    <row r="323" spans="1:4" ht="15" customHeight="1" x14ac:dyDescent="0.35">
      <c r="A323" s="17">
        <v>169</v>
      </c>
      <c r="B323" s="15">
        <v>660</v>
      </c>
      <c r="C323" s="15">
        <v>609.50719936805194</v>
      </c>
      <c r="D323" s="15">
        <v>50.492800631948057</v>
      </c>
    </row>
    <row r="324" spans="1:4" ht="15" customHeight="1" x14ac:dyDescent="0.35">
      <c r="A324" s="17">
        <v>170</v>
      </c>
      <c r="B324" s="15">
        <v>800</v>
      </c>
      <c r="C324" s="15">
        <v>613.42591411621186</v>
      </c>
      <c r="D324" s="15">
        <v>186.57408588378814</v>
      </c>
    </row>
    <row r="325" spans="1:4" ht="15" customHeight="1" x14ac:dyDescent="0.35">
      <c r="A325" s="17">
        <v>171</v>
      </c>
      <c r="B325" s="15">
        <v>1897</v>
      </c>
      <c r="C325" s="15">
        <v>2054.8350151182572</v>
      </c>
      <c r="D325" s="15">
        <v>-157.83501511825716</v>
      </c>
    </row>
    <row r="326" spans="1:4" ht="15" customHeight="1" x14ac:dyDescent="0.35">
      <c r="A326" s="17">
        <v>172</v>
      </c>
      <c r="B326" s="15">
        <v>1491</v>
      </c>
      <c r="C326" s="15">
        <v>1097.126529732579</v>
      </c>
      <c r="D326" s="15">
        <v>393.873470267421</v>
      </c>
    </row>
    <row r="327" spans="1:4" ht="15" customHeight="1" x14ac:dyDescent="0.35">
      <c r="A327" s="17">
        <v>173</v>
      </c>
      <c r="B327" s="15">
        <v>859</v>
      </c>
      <c r="C327" s="15">
        <v>812.65774064196739</v>
      </c>
      <c r="D327" s="15">
        <v>46.342259358032607</v>
      </c>
    </row>
    <row r="328" spans="1:4" ht="15" customHeight="1" x14ac:dyDescent="0.35">
      <c r="A328" s="17">
        <v>174</v>
      </c>
      <c r="B328" s="15">
        <v>810</v>
      </c>
      <c r="C328" s="15">
        <v>828.55022126396466</v>
      </c>
      <c r="D328" s="15">
        <v>-18.550221263964659</v>
      </c>
    </row>
    <row r="329" spans="1:4" ht="15" customHeight="1" x14ac:dyDescent="0.35">
      <c r="A329" s="17">
        <v>175</v>
      </c>
      <c r="B329" s="15">
        <v>1173</v>
      </c>
      <c r="C329" s="15">
        <v>1271.00066217938</v>
      </c>
      <c r="D329" s="15">
        <v>-98.000662179380015</v>
      </c>
    </row>
    <row r="330" spans="1:4" ht="15" customHeight="1" x14ac:dyDescent="0.35">
      <c r="A330" s="17">
        <v>176</v>
      </c>
      <c r="B330" s="15">
        <v>929</v>
      </c>
      <c r="C330" s="15">
        <v>1035.2707941936878</v>
      </c>
      <c r="D330" s="15">
        <v>-106.27079419368783</v>
      </c>
    </row>
    <row r="331" spans="1:4" ht="15" customHeight="1" x14ac:dyDescent="0.35">
      <c r="A331" s="17">
        <v>177</v>
      </c>
      <c r="B331" s="15">
        <v>701</v>
      </c>
      <c r="C331" s="15">
        <v>777.86587183499341</v>
      </c>
      <c r="D331" s="15">
        <v>-76.865871834993413</v>
      </c>
    </row>
    <row r="332" spans="1:4" ht="15" customHeight="1" x14ac:dyDescent="0.35">
      <c r="A332" s="17">
        <v>178</v>
      </c>
      <c r="B332" s="15">
        <v>647</v>
      </c>
      <c r="C332" s="15">
        <v>763.48280288965134</v>
      </c>
      <c r="D332" s="15">
        <v>-116.48280288965134</v>
      </c>
    </row>
    <row r="333" spans="1:4" ht="15" customHeight="1" x14ac:dyDescent="0.35">
      <c r="A333" s="17">
        <v>179</v>
      </c>
      <c r="B333" s="15">
        <v>851</v>
      </c>
      <c r="C333" s="15">
        <v>779.37528351164838</v>
      </c>
      <c r="D333" s="15">
        <v>71.624716488351623</v>
      </c>
    </row>
    <row r="334" spans="1:4" ht="15" customHeight="1" x14ac:dyDescent="0.35">
      <c r="A334" s="17">
        <v>180</v>
      </c>
      <c r="B334" s="15">
        <v>1559</v>
      </c>
      <c r="C334" s="15">
        <v>1580.7394653749282</v>
      </c>
      <c r="D334" s="15">
        <v>-21.739465374928159</v>
      </c>
    </row>
    <row r="335" spans="1:4" ht="15" customHeight="1" x14ac:dyDescent="0.35">
      <c r="A335" s="17">
        <v>181</v>
      </c>
      <c r="B335" s="15">
        <v>1090</v>
      </c>
      <c r="C335" s="15">
        <v>986.09585644137178</v>
      </c>
      <c r="D335" s="15">
        <v>103.90414355862822</v>
      </c>
    </row>
    <row r="336" spans="1:4" ht="15" customHeight="1" x14ac:dyDescent="0.35">
      <c r="A336" s="17">
        <v>182</v>
      </c>
      <c r="B336" s="15">
        <v>404</v>
      </c>
      <c r="C336" s="15">
        <v>728.69093408267713</v>
      </c>
      <c r="D336" s="15">
        <v>-324.69093408267713</v>
      </c>
    </row>
    <row r="337" spans="1:4" ht="15" customHeight="1" x14ac:dyDescent="0.35">
      <c r="A337" s="17">
        <v>183</v>
      </c>
      <c r="B337" s="15">
        <v>586</v>
      </c>
      <c r="C337" s="15">
        <v>714.30786513733528</v>
      </c>
      <c r="D337" s="15">
        <v>-128.30786513733528</v>
      </c>
    </row>
    <row r="338" spans="1:4" ht="15" customHeight="1" x14ac:dyDescent="0.35">
      <c r="A338" s="17">
        <v>184</v>
      </c>
      <c r="B338" s="15">
        <v>683</v>
      </c>
      <c r="C338" s="15">
        <v>730.20034575933232</v>
      </c>
      <c r="D338" s="15">
        <v>-47.200345759332322</v>
      </c>
    </row>
    <row r="339" spans="1:4" ht="15" customHeight="1" x14ac:dyDescent="0.35">
      <c r="A339" s="17">
        <v>185</v>
      </c>
      <c r="B339" s="15">
        <v>1124</v>
      </c>
      <c r="C339" s="15">
        <v>1172.650786674747</v>
      </c>
      <c r="D339" s="15">
        <v>-48.650786674746996</v>
      </c>
    </row>
    <row r="340" spans="1:4" ht="15" customHeight="1" x14ac:dyDescent="0.35">
      <c r="A340" s="17">
        <v>186</v>
      </c>
      <c r="B340" s="15">
        <v>953</v>
      </c>
      <c r="C340" s="15">
        <v>936.92091868905572</v>
      </c>
      <c r="D340" s="15">
        <v>16.079081310944275</v>
      </c>
    </row>
    <row r="341" spans="1:4" ht="15" customHeight="1" x14ac:dyDescent="0.35">
      <c r="A341" s="17">
        <v>187</v>
      </c>
      <c r="B341" s="15">
        <v>697</v>
      </c>
      <c r="C341" s="15">
        <v>679.51599633036085</v>
      </c>
      <c r="D341" s="15">
        <v>17.484003669639151</v>
      </c>
    </row>
    <row r="342" spans="1:4" ht="15" customHeight="1" x14ac:dyDescent="0.35">
      <c r="A342" s="17">
        <v>188</v>
      </c>
      <c r="B342" s="15">
        <v>727</v>
      </c>
      <c r="C342" s="15">
        <v>665.132927385019</v>
      </c>
      <c r="D342" s="15">
        <v>61.867072614980998</v>
      </c>
    </row>
    <row r="343" spans="1:4" ht="15" customHeight="1" x14ac:dyDescent="0.35">
      <c r="A343" s="17">
        <v>189</v>
      </c>
      <c r="B343" s="15">
        <v>678</v>
      </c>
      <c r="C343" s="15">
        <v>681.02540800701627</v>
      </c>
      <c r="D343" s="15">
        <v>-3.0254080070162672</v>
      </c>
    </row>
    <row r="344" spans="1:4" ht="15" customHeight="1" x14ac:dyDescent="0.35">
      <c r="A344" s="17">
        <v>190</v>
      </c>
      <c r="B344" s="15">
        <v>1761</v>
      </c>
      <c r="C344" s="15">
        <v>1482.389589870296</v>
      </c>
      <c r="D344" s="15">
        <v>278.61041012970395</v>
      </c>
    </row>
    <row r="345" spans="1:4" ht="15" customHeight="1" x14ac:dyDescent="0.35">
      <c r="A345" s="17">
        <v>191</v>
      </c>
      <c r="B345" s="15">
        <v>1615</v>
      </c>
      <c r="C345" s="15">
        <v>1489.5316636284356</v>
      </c>
      <c r="D345" s="15">
        <v>125.46833637156442</v>
      </c>
    </row>
    <row r="346" spans="1:4" ht="15" customHeight="1" x14ac:dyDescent="0.35">
      <c r="A346" s="17">
        <v>192</v>
      </c>
      <c r="B346" s="15">
        <v>1019</v>
      </c>
      <c r="C346" s="15">
        <v>851.74316440667042</v>
      </c>
      <c r="D346" s="15">
        <v>167.25683559332958</v>
      </c>
    </row>
    <row r="347" spans="1:4" ht="15" customHeight="1" x14ac:dyDescent="0.35">
      <c r="A347" s="17">
        <v>193</v>
      </c>
      <c r="B347" s="15">
        <v>854</v>
      </c>
      <c r="C347" s="15">
        <v>838.90948346559094</v>
      </c>
      <c r="D347" s="15">
        <v>15.090516534409062</v>
      </c>
    </row>
    <row r="348" spans="1:4" ht="15" customHeight="1" x14ac:dyDescent="0.35">
      <c r="A348" s="17">
        <v>194</v>
      </c>
      <c r="B348" s="15">
        <v>897</v>
      </c>
      <c r="C348" s="15">
        <v>856.35135209185023</v>
      </c>
      <c r="D348" s="15">
        <v>40.648647908149769</v>
      </c>
    </row>
    <row r="349" spans="1:4" ht="15" customHeight="1" x14ac:dyDescent="0.35">
      <c r="A349" s="17">
        <v>195</v>
      </c>
      <c r="B349" s="15">
        <v>1307</v>
      </c>
      <c r="C349" s="15">
        <v>1300.3511810115272</v>
      </c>
      <c r="D349" s="15">
        <v>6.6488189884728399</v>
      </c>
    </row>
    <row r="350" spans="1:4" ht="15" customHeight="1" x14ac:dyDescent="0.35">
      <c r="A350" s="17">
        <v>196</v>
      </c>
      <c r="B350" s="15">
        <v>796</v>
      </c>
      <c r="C350" s="15">
        <v>1069.2694770386229</v>
      </c>
      <c r="D350" s="15">
        <v>-273.26947703862288</v>
      </c>
    </row>
    <row r="351" spans="1:4" ht="15" customHeight="1" x14ac:dyDescent="0.35">
      <c r="A351" s="17">
        <v>197</v>
      </c>
      <c r="B351" s="15">
        <v>648</v>
      </c>
      <c r="C351" s="15">
        <v>813.41394268419026</v>
      </c>
      <c r="D351" s="15">
        <v>-165.41394268419026</v>
      </c>
    </row>
    <row r="352" spans="1:4" ht="15" customHeight="1" x14ac:dyDescent="0.35">
      <c r="A352" s="17">
        <v>198</v>
      </c>
      <c r="B352" s="15">
        <v>735</v>
      </c>
      <c r="C352" s="15">
        <v>800.58026174311078</v>
      </c>
      <c r="D352" s="15">
        <v>-65.580261743110782</v>
      </c>
    </row>
    <row r="353" spans="1:4" ht="15" customHeight="1" x14ac:dyDescent="0.35">
      <c r="A353" s="17">
        <v>199</v>
      </c>
      <c r="B353" s="15">
        <v>843</v>
      </c>
      <c r="C353" s="15">
        <v>818.02213036937042</v>
      </c>
      <c r="D353" s="15">
        <v>24.977869630629584</v>
      </c>
    </row>
    <row r="354" spans="1:4" ht="15" customHeight="1" x14ac:dyDescent="0.35">
      <c r="A354" s="17">
        <v>200</v>
      </c>
      <c r="B354" s="15">
        <v>1759</v>
      </c>
      <c r="C354" s="15">
        <v>1620.9357002369125</v>
      </c>
      <c r="D354" s="15">
        <v>138.06429976308755</v>
      </c>
    </row>
    <row r="355" spans="1:4" ht="15" customHeight="1" x14ac:dyDescent="0.35">
      <c r="A355" s="17">
        <v>201</v>
      </c>
      <c r="B355" s="15">
        <v>1151</v>
      </c>
      <c r="C355" s="15">
        <v>1030.9402553161431</v>
      </c>
      <c r="D355" s="15">
        <v>120.05974468385693</v>
      </c>
    </row>
    <row r="356" spans="1:4" ht="15" customHeight="1" x14ac:dyDescent="0.35">
      <c r="A356" s="17">
        <v>202</v>
      </c>
      <c r="B356" s="15">
        <v>752</v>
      </c>
      <c r="C356" s="15">
        <v>775.08472096171045</v>
      </c>
      <c r="D356" s="15">
        <v>-23.084720961710445</v>
      </c>
    </row>
    <row r="357" spans="1:4" ht="15" customHeight="1" x14ac:dyDescent="0.35">
      <c r="A357" s="17">
        <v>203</v>
      </c>
      <c r="B357" s="15">
        <v>693</v>
      </c>
      <c r="C357" s="15">
        <v>762.25104002063063</v>
      </c>
      <c r="D357" s="15">
        <v>-69.251040020630626</v>
      </c>
    </row>
    <row r="358" spans="1:4" ht="15" customHeight="1" x14ac:dyDescent="0.35">
      <c r="A358" s="17">
        <v>204</v>
      </c>
      <c r="B358" s="15">
        <v>649</v>
      </c>
      <c r="C358" s="15">
        <v>779.69290864689026</v>
      </c>
      <c r="D358" s="15">
        <v>-130.69290864689026</v>
      </c>
    </row>
    <row r="359" spans="1:4" ht="15" customHeight="1" x14ac:dyDescent="0.35">
      <c r="A359" s="17">
        <v>205</v>
      </c>
      <c r="B359" s="15">
        <v>1158</v>
      </c>
      <c r="C359" s="15">
        <v>1223.6927375665675</v>
      </c>
      <c r="D359" s="15">
        <v>-65.69273756656753</v>
      </c>
    </row>
    <row r="360" spans="1:4" ht="15" customHeight="1" x14ac:dyDescent="0.35">
      <c r="A360" s="17">
        <v>206</v>
      </c>
      <c r="B360" s="15">
        <v>931</v>
      </c>
      <c r="C360" s="15">
        <v>992.61103359366268</v>
      </c>
      <c r="D360" s="15">
        <v>-61.611033593662683</v>
      </c>
    </row>
    <row r="361" spans="1:4" ht="15" customHeight="1" x14ac:dyDescent="0.35">
      <c r="A361" s="17">
        <v>207</v>
      </c>
      <c r="B361" s="15">
        <v>761</v>
      </c>
      <c r="C361" s="15">
        <v>736.75549923923063</v>
      </c>
      <c r="D361" s="15">
        <v>24.24450076076937</v>
      </c>
    </row>
    <row r="362" spans="1:4" ht="15" customHeight="1" x14ac:dyDescent="0.35">
      <c r="A362" s="17">
        <v>208</v>
      </c>
      <c r="B362" s="15">
        <v>670</v>
      </c>
      <c r="C362" s="15">
        <v>723.92181829815081</v>
      </c>
      <c r="D362" s="15">
        <v>-53.921818298150811</v>
      </c>
    </row>
    <row r="363" spans="1:4" ht="15" customHeight="1" x14ac:dyDescent="0.35">
      <c r="A363" s="17">
        <v>209</v>
      </c>
      <c r="B363" s="15">
        <v>820</v>
      </c>
      <c r="C363" s="15">
        <v>741.3636869244101</v>
      </c>
      <c r="D363" s="15">
        <v>78.636313075589896</v>
      </c>
    </row>
    <row r="364" spans="1:4" ht="15" customHeight="1" x14ac:dyDescent="0.35">
      <c r="A364" s="17">
        <v>210</v>
      </c>
      <c r="B364" s="15">
        <v>1543</v>
      </c>
      <c r="C364" s="15">
        <v>1544.2772567919524</v>
      </c>
      <c r="D364" s="15">
        <v>-1.2772567919523681</v>
      </c>
    </row>
    <row r="365" spans="1:4" ht="15" customHeight="1" x14ac:dyDescent="0.35">
      <c r="A365" s="17">
        <v>211</v>
      </c>
      <c r="B365" s="15">
        <v>974</v>
      </c>
      <c r="C365" s="15">
        <v>954.28181187118275</v>
      </c>
      <c r="D365" s="15">
        <v>19.718188128817246</v>
      </c>
    </row>
    <row r="366" spans="1:4" ht="15" customHeight="1" x14ac:dyDescent="0.35">
      <c r="A366" s="17">
        <v>212</v>
      </c>
      <c r="B366" s="15">
        <v>685</v>
      </c>
      <c r="C366" s="15">
        <v>698.42627751675047</v>
      </c>
      <c r="D366" s="15">
        <v>-13.426277516750474</v>
      </c>
    </row>
    <row r="367" spans="1:4" ht="15" customHeight="1" x14ac:dyDescent="0.35">
      <c r="A367" s="17">
        <v>213</v>
      </c>
      <c r="B367" s="15">
        <v>848</v>
      </c>
      <c r="C367" s="15">
        <v>685.592596575671</v>
      </c>
      <c r="D367" s="15">
        <v>162.407403424329</v>
      </c>
    </row>
    <row r="368" spans="1:4" ht="15" customHeight="1" x14ac:dyDescent="0.35">
      <c r="A368" s="17">
        <v>214</v>
      </c>
      <c r="B368" s="15">
        <v>1406</v>
      </c>
      <c r="C368" s="15">
        <v>1240.4166869689298</v>
      </c>
      <c r="D368" s="15">
        <v>165.58331303107025</v>
      </c>
    </row>
    <row r="369" spans="1:4" ht="15" customHeight="1" x14ac:dyDescent="0.35">
      <c r="A369" s="17">
        <v>215</v>
      </c>
      <c r="B369" s="15">
        <v>1578</v>
      </c>
      <c r="C369" s="15">
        <v>1303.7918601819842</v>
      </c>
      <c r="D369" s="15">
        <v>274.20813981801575</v>
      </c>
    </row>
    <row r="370" spans="1:4" ht="15" customHeight="1" x14ac:dyDescent="0.35">
      <c r="A370" s="17">
        <v>216</v>
      </c>
      <c r="B370" s="15">
        <v>1004</v>
      </c>
      <c r="C370" s="15">
        <v>1076.6350836912093</v>
      </c>
      <c r="D370" s="15">
        <v>-72.635083691209275</v>
      </c>
    </row>
    <row r="371" spans="1:4" ht="15" customHeight="1" x14ac:dyDescent="0.35">
      <c r="A371" s="17">
        <v>217</v>
      </c>
      <c r="B371" s="15">
        <v>742</v>
      </c>
      <c r="C371" s="15">
        <v>822.08785849748688</v>
      </c>
      <c r="D371" s="15">
        <v>-80.087858497486877</v>
      </c>
    </row>
    <row r="372" spans="1:4" ht="15" customHeight="1" x14ac:dyDescent="0.35">
      <c r="A372" s="17">
        <v>218</v>
      </c>
      <c r="B372" s="15">
        <v>685</v>
      </c>
      <c r="C372" s="15">
        <v>810.56248671711728</v>
      </c>
      <c r="D372" s="15">
        <v>-125.56248671711728</v>
      </c>
    </row>
    <row r="373" spans="1:4" ht="15" customHeight="1" x14ac:dyDescent="0.35">
      <c r="A373" s="17">
        <v>219</v>
      </c>
      <c r="B373" s="15">
        <v>800</v>
      </c>
      <c r="C373" s="15">
        <v>829.31266450408657</v>
      </c>
      <c r="D373" s="15">
        <v>-29.31266450408657</v>
      </c>
    </row>
    <row r="374" spans="1:4" ht="15" customHeight="1" x14ac:dyDescent="0.35">
      <c r="A374" s="17">
        <v>220</v>
      </c>
      <c r="B374" s="15">
        <v>1454</v>
      </c>
      <c r="C374" s="15">
        <v>1633.5345435323386</v>
      </c>
      <c r="D374" s="15">
        <v>-179.5345435323386</v>
      </c>
    </row>
    <row r="375" spans="1:4" ht="15" customHeight="1" x14ac:dyDescent="0.35">
      <c r="A375" s="17">
        <v>221</v>
      </c>
      <c r="B375" s="15">
        <v>890</v>
      </c>
      <c r="C375" s="15">
        <v>1047.464026093699</v>
      </c>
      <c r="D375" s="15">
        <v>-157.46402609369898</v>
      </c>
    </row>
    <row r="376" spans="1:4" ht="15" customHeight="1" x14ac:dyDescent="0.35">
      <c r="A376" s="17">
        <v>222</v>
      </c>
      <c r="B376" s="15">
        <v>693</v>
      </c>
      <c r="C376" s="15">
        <v>792.91680089997635</v>
      </c>
      <c r="D376" s="15">
        <v>-99.916800899976352</v>
      </c>
    </row>
    <row r="377" spans="1:4" ht="15" customHeight="1" x14ac:dyDescent="0.35">
      <c r="A377" s="17">
        <v>223</v>
      </c>
      <c r="B377" s="15">
        <v>693</v>
      </c>
      <c r="C377" s="15">
        <v>781.39142911960676</v>
      </c>
      <c r="D377" s="15">
        <v>-88.391429119606755</v>
      </c>
    </row>
    <row r="378" spans="1:4" ht="15" customHeight="1" x14ac:dyDescent="0.35">
      <c r="A378" s="17">
        <v>224</v>
      </c>
      <c r="B378" s="15">
        <v>914</v>
      </c>
      <c r="C378" s="15">
        <v>800.14160690657627</v>
      </c>
      <c r="D378" s="15">
        <v>113.85839309342373</v>
      </c>
    </row>
    <row r="379" spans="1:4" ht="15" customHeight="1" x14ac:dyDescent="0.35">
      <c r="A379" s="17">
        <v>225</v>
      </c>
      <c r="B379" s="15">
        <v>1271</v>
      </c>
      <c r="C379" s="15">
        <v>1245.4497449869632</v>
      </c>
      <c r="D379" s="15">
        <v>25.550255013036804</v>
      </c>
    </row>
    <row r="380" spans="1:4" ht="15" customHeight="1" x14ac:dyDescent="0.35">
      <c r="A380" s="17">
        <v>226</v>
      </c>
      <c r="B380" s="15">
        <v>1031</v>
      </c>
      <c r="C380" s="15">
        <v>1018.2929684961887</v>
      </c>
      <c r="D380" s="15">
        <v>12.707031503811322</v>
      </c>
    </row>
    <row r="381" spans="1:4" ht="15" customHeight="1" x14ac:dyDescent="0.35">
      <c r="A381" s="17">
        <v>227</v>
      </c>
      <c r="B381" s="15">
        <v>949</v>
      </c>
      <c r="C381" s="15">
        <v>763.74574330246605</v>
      </c>
      <c r="D381" s="15">
        <v>185.25425669753395</v>
      </c>
    </row>
    <row r="382" spans="1:4" ht="15" customHeight="1" x14ac:dyDescent="0.35">
      <c r="A382" s="17">
        <v>228</v>
      </c>
      <c r="B382" s="15">
        <v>1356</v>
      </c>
      <c r="C382" s="15">
        <v>1022.306091667366</v>
      </c>
      <c r="D382" s="15">
        <v>333.69390833263401</v>
      </c>
    </row>
    <row r="383" spans="1:4" ht="15" customHeight="1" x14ac:dyDescent="0.35">
      <c r="A383" s="17">
        <v>229</v>
      </c>
      <c r="B383" s="15">
        <v>1085</v>
      </c>
      <c r="C383" s="15">
        <v>1486.3644075347231</v>
      </c>
      <c r="D383" s="15">
        <v>-401.36440753472311</v>
      </c>
    </row>
    <row r="384" spans="1:4" ht="15" customHeight="1" x14ac:dyDescent="0.35">
      <c r="A384" s="17">
        <v>230</v>
      </c>
      <c r="B384" s="15">
        <v>1063</v>
      </c>
      <c r="C384" s="15">
        <v>989.12191089867792</v>
      </c>
      <c r="D384" s="15">
        <v>73.878089101322075</v>
      </c>
    </row>
    <row r="385" spans="1:4" ht="15" customHeight="1" x14ac:dyDescent="0.35">
      <c r="A385" s="17">
        <v>231</v>
      </c>
      <c r="B385" s="15">
        <v>797</v>
      </c>
      <c r="C385" s="15">
        <v>734.57468570495575</v>
      </c>
      <c r="D385" s="15">
        <v>62.425314295044245</v>
      </c>
    </row>
    <row r="386" spans="1:4" ht="15" customHeight="1" x14ac:dyDescent="0.35">
      <c r="A386" s="17">
        <v>232</v>
      </c>
      <c r="B386" s="15">
        <v>632</v>
      </c>
      <c r="C386" s="15">
        <v>723.04931392458593</v>
      </c>
      <c r="D386" s="15">
        <v>-91.049313924585931</v>
      </c>
    </row>
    <row r="387" spans="1:4" ht="15" customHeight="1" x14ac:dyDescent="0.35">
      <c r="A387" s="17">
        <v>233</v>
      </c>
      <c r="B387" s="15">
        <v>698</v>
      </c>
      <c r="C387" s="15">
        <v>741.79949171155522</v>
      </c>
      <c r="D387" s="15">
        <v>-43.79949171155522</v>
      </c>
    </row>
    <row r="388" spans="1:4" ht="15" customHeight="1" x14ac:dyDescent="0.35">
      <c r="A388" s="17">
        <v>234</v>
      </c>
      <c r="B388" s="15">
        <v>1691</v>
      </c>
      <c r="C388" s="15">
        <v>1569.0405946592755</v>
      </c>
      <c r="D388" s="15">
        <v>121.95940534072452</v>
      </c>
    </row>
    <row r="389" spans="1:4" ht="15" customHeight="1" x14ac:dyDescent="0.35">
      <c r="A389" s="17">
        <v>235</v>
      </c>
      <c r="B389" s="15">
        <v>1504</v>
      </c>
      <c r="C389" s="15">
        <v>1257.1608013527116</v>
      </c>
      <c r="D389" s="15">
        <v>246.83919864728841</v>
      </c>
    </row>
    <row r="390" spans="1:4" ht="15" customHeight="1" x14ac:dyDescent="0.35">
      <c r="A390" s="17">
        <v>236</v>
      </c>
      <c r="B390" s="15">
        <v>828</v>
      </c>
      <c r="C390" s="15">
        <v>997.05641483451609</v>
      </c>
      <c r="D390" s="15">
        <v>-169.05641483451609</v>
      </c>
    </row>
    <row r="391" spans="1:4" ht="15" customHeight="1" x14ac:dyDescent="0.35">
      <c r="A391" s="17">
        <v>237</v>
      </c>
      <c r="B391" s="15">
        <v>863</v>
      </c>
      <c r="C391" s="15">
        <v>979.97388172967339</v>
      </c>
      <c r="D391" s="15">
        <v>-116.97388172967339</v>
      </c>
    </row>
    <row r="392" spans="1:4" ht="15" customHeight="1" x14ac:dyDescent="0.35">
      <c r="A392" s="17">
        <v>238</v>
      </c>
      <c r="B392" s="15">
        <v>957</v>
      </c>
      <c r="C392" s="15">
        <v>993.16689819217004</v>
      </c>
      <c r="D392" s="15">
        <v>-36.166898192170038</v>
      </c>
    </row>
    <row r="393" spans="1:4" ht="15" customHeight="1" x14ac:dyDescent="0.35">
      <c r="A393" s="17">
        <v>239</v>
      </c>
      <c r="B393" s="15">
        <v>1585</v>
      </c>
      <c r="C393" s="15">
        <v>1791.8316158959494</v>
      </c>
      <c r="D393" s="15">
        <v>-206.83161589594943</v>
      </c>
    </row>
    <row r="394" spans="1:4" ht="15" customHeight="1" x14ac:dyDescent="0.35">
      <c r="A394" s="17">
        <v>240</v>
      </c>
      <c r="B394" s="15">
        <v>1126</v>
      </c>
      <c r="C394" s="15">
        <v>1189.0896144838907</v>
      </c>
      <c r="D394" s="15">
        <v>-63.089614483890728</v>
      </c>
    </row>
    <row r="395" spans="1:4" ht="15" customHeight="1" x14ac:dyDescent="0.35">
      <c r="A395" s="17">
        <v>241</v>
      </c>
      <c r="B395" s="15">
        <v>896</v>
      </c>
      <c r="C395" s="15">
        <v>928.98522796569569</v>
      </c>
      <c r="D395" s="15">
        <v>-32.985227965695685</v>
      </c>
    </row>
    <row r="396" spans="1:4" ht="15" customHeight="1" x14ac:dyDescent="0.35">
      <c r="A396" s="17">
        <v>242</v>
      </c>
      <c r="B396" s="15">
        <v>870</v>
      </c>
      <c r="C396" s="15">
        <v>911.90269486085299</v>
      </c>
      <c r="D396" s="15">
        <v>-41.902694860852989</v>
      </c>
    </row>
    <row r="397" spans="1:4" ht="15" customHeight="1" x14ac:dyDescent="0.35">
      <c r="A397" s="17">
        <v>243</v>
      </c>
      <c r="B397" s="15">
        <v>873</v>
      </c>
      <c r="C397" s="15">
        <v>925.09571132334941</v>
      </c>
      <c r="D397" s="15">
        <v>-52.095711323349406</v>
      </c>
    </row>
    <row r="398" spans="1:4" ht="15" customHeight="1" x14ac:dyDescent="0.35">
      <c r="A398" s="17">
        <v>244</v>
      </c>
      <c r="B398" s="15">
        <v>1471</v>
      </c>
      <c r="C398" s="15">
        <v>1364.8466880792639</v>
      </c>
      <c r="D398" s="15">
        <v>106.15331192073609</v>
      </c>
    </row>
    <row r="399" spans="1:4" ht="15" customHeight="1" x14ac:dyDescent="0.35">
      <c r="A399" s="17">
        <v>245</v>
      </c>
      <c r="B399" s="15">
        <v>1299</v>
      </c>
      <c r="C399" s="15">
        <v>1121.0184276150703</v>
      </c>
      <c r="D399" s="15">
        <v>177.98157238492968</v>
      </c>
    </row>
    <row r="400" spans="1:4" ht="15" customHeight="1" x14ac:dyDescent="0.35">
      <c r="A400" s="17">
        <v>246</v>
      </c>
      <c r="B400" s="15">
        <v>1058</v>
      </c>
      <c r="C400" s="15">
        <v>860.91404109687505</v>
      </c>
      <c r="D400" s="15">
        <v>197.08595890312495</v>
      </c>
    </row>
    <row r="401" spans="1:4" ht="15" customHeight="1" x14ac:dyDescent="0.35">
      <c r="A401" s="17">
        <v>247</v>
      </c>
      <c r="B401" s="15">
        <v>1104</v>
      </c>
      <c r="C401" s="15">
        <v>843.83150799203258</v>
      </c>
      <c r="D401" s="15">
        <v>260.16849200796742</v>
      </c>
    </row>
    <row r="402" spans="1:4" ht="15" customHeight="1" x14ac:dyDescent="0.35">
      <c r="A402" s="17">
        <v>248</v>
      </c>
      <c r="B402" s="15">
        <v>1018</v>
      </c>
      <c r="C402" s="15">
        <v>857.024524454529</v>
      </c>
      <c r="D402" s="15">
        <v>160.975475545471</v>
      </c>
    </row>
    <row r="403" spans="1:4" ht="15" customHeight="1" x14ac:dyDescent="0.35">
      <c r="A403" s="17">
        <v>249</v>
      </c>
      <c r="B403" s="15">
        <v>1955</v>
      </c>
      <c r="C403" s="15">
        <v>1655.6892421583077</v>
      </c>
      <c r="D403" s="15">
        <v>299.31075784169229</v>
      </c>
    </row>
    <row r="404" spans="1:4" ht="15" customHeight="1" x14ac:dyDescent="0.35">
      <c r="A404" s="17">
        <v>250</v>
      </c>
      <c r="B404" s="15">
        <v>941</v>
      </c>
      <c r="C404" s="15">
        <v>1323.0329608915197</v>
      </c>
      <c r="D404" s="15">
        <v>-382.03296089151968</v>
      </c>
    </row>
    <row r="405" spans="1:4" ht="15" customHeight="1" x14ac:dyDescent="0.35">
      <c r="A405" s="17">
        <v>251</v>
      </c>
      <c r="B405" s="15">
        <v>999</v>
      </c>
      <c r="C405" s="15">
        <v>1045.8460412684817</v>
      </c>
      <c r="D405" s="15">
        <v>-46.846041268481713</v>
      </c>
    </row>
    <row r="406" spans="1:4" ht="15" customHeight="1" x14ac:dyDescent="0.35">
      <c r="A406" s="17">
        <v>252</v>
      </c>
      <c r="B406" s="15">
        <v>619</v>
      </c>
      <c r="C406" s="15">
        <v>788.9533375857086</v>
      </c>
      <c r="D406" s="15">
        <v>-169.9533375857086</v>
      </c>
    </row>
    <row r="407" spans="1:4" ht="15" customHeight="1" x14ac:dyDescent="0.35">
      <c r="A407" s="17">
        <v>253</v>
      </c>
      <c r="B407" s="15">
        <v>937</v>
      </c>
      <c r="C407" s="15">
        <v>1228.7043143416231</v>
      </c>
      <c r="D407" s="15">
        <v>-291.7043143416231</v>
      </c>
    </row>
    <row r="408" spans="1:4" ht="15" customHeight="1" x14ac:dyDescent="0.35">
      <c r="A408" s="17">
        <v>254</v>
      </c>
      <c r="B408" s="15">
        <v>1146</v>
      </c>
      <c r="C408" s="15">
        <v>984.87605387742951</v>
      </c>
      <c r="D408" s="15">
        <v>161.12394612257049</v>
      </c>
    </row>
    <row r="409" spans="1:4" ht="15" customHeight="1" x14ac:dyDescent="0.35"/>
  </sheetData>
  <mergeCells count="18">
    <mergeCell ref="G10:G11"/>
    <mergeCell ref="B10:B11"/>
    <mergeCell ref="C10:C11"/>
    <mergeCell ref="D10:D11"/>
    <mergeCell ref="E10:E11"/>
    <mergeCell ref="F10:F11"/>
    <mergeCell ref="H19:I19"/>
    <mergeCell ref="B141:E141"/>
    <mergeCell ref="B14:B15"/>
    <mergeCell ref="C14:C15"/>
    <mergeCell ref="D14:D15"/>
    <mergeCell ref="E14:E15"/>
    <mergeCell ref="F14:F15"/>
    <mergeCell ref="B19:B20"/>
    <mergeCell ref="C19:C20"/>
    <mergeCell ref="D19:D20"/>
    <mergeCell ref="E19:E20"/>
    <mergeCell ref="F19:G19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32</vt:i4>
      </vt:variant>
    </vt:vector>
  </HeadingPairs>
  <TitlesOfParts>
    <vt:vector size="39" baseType="lpstr">
      <vt:lpstr>Dataset</vt:lpstr>
      <vt:lpstr>Dummy variable</vt:lpstr>
      <vt:lpstr>_PalUtilTempWorksheet</vt:lpstr>
      <vt:lpstr>_STDS_DG2755809F</vt:lpstr>
      <vt:lpstr>_STDS_DGAE5F441</vt:lpstr>
      <vt:lpstr>Regression(a.)</vt:lpstr>
      <vt:lpstr>Regression(b..)</vt:lpstr>
      <vt:lpstr>ST_Afterorbeforeholiday_6</vt:lpstr>
      <vt:lpstr>ST_AfterorbeforeholidayNo</vt:lpstr>
      <vt:lpstr>ST_AfterorbeforeholidayYes</vt:lpstr>
      <vt:lpstr>ST_Arrivals_7</vt:lpstr>
      <vt:lpstr>ST_Dayofmonth_2</vt:lpstr>
      <vt:lpstr>ST_Dayofweek_3</vt:lpstr>
      <vt:lpstr>ST_DayofweekFri</vt:lpstr>
      <vt:lpstr>ST_DayofweekMon</vt:lpstr>
      <vt:lpstr>ST_DayofweekThu</vt:lpstr>
      <vt:lpstr>ST_DayofweekTue</vt:lpstr>
      <vt:lpstr>ST_DayofweekWed</vt:lpstr>
      <vt:lpstr>ST_Facultypayday_5</vt:lpstr>
      <vt:lpstr>ST_FacultypaydayNo</vt:lpstr>
      <vt:lpstr>ST_FacultypaydayYes</vt:lpstr>
      <vt:lpstr>ST_Month_1</vt:lpstr>
      <vt:lpstr>ST_MonthApr</vt:lpstr>
      <vt:lpstr>ST_MonthAug</vt:lpstr>
      <vt:lpstr>ST_MonthDec</vt:lpstr>
      <vt:lpstr>ST_MonthFeb</vt:lpstr>
      <vt:lpstr>ST_MonthJan</vt:lpstr>
      <vt:lpstr>ST_MonthJul</vt:lpstr>
      <vt:lpstr>ST_MonthJun</vt:lpstr>
      <vt:lpstr>ST_MonthMar</vt:lpstr>
      <vt:lpstr>ST_MonthMay</vt:lpstr>
      <vt:lpstr>ST_MonthNov</vt:lpstr>
      <vt:lpstr>ST_MonthOct</vt:lpstr>
      <vt:lpstr>ST_MonthSep</vt:lpstr>
      <vt:lpstr>ST_Staffpayday_4</vt:lpstr>
      <vt:lpstr>ST_StaffpaydayNo</vt:lpstr>
      <vt:lpstr>ST_StaffpaydayYes</vt:lpstr>
      <vt:lpstr>'Regression(a.)'!StatToolsHeader</vt:lpstr>
      <vt:lpstr>'Regression(b..)'!StatToolsHeader</vt:lpstr>
    </vt:vector>
  </TitlesOfParts>
  <Company>University of Westminster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Sheema Noorain</dc:creator>
  <cp:lastModifiedBy>Dilpreet Singh</cp:lastModifiedBy>
  <dcterms:created xsi:type="dcterms:W3CDTF">2024-03-04T12:31:52Z</dcterms:created>
  <dcterms:modified xsi:type="dcterms:W3CDTF">2024-06-11T21:27:46Z</dcterms:modified>
</cp:coreProperties>
</file>