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41b517cc5a0cc3/Desktop/balli assessment/"/>
    </mc:Choice>
  </mc:AlternateContent>
  <xr:revisionPtr revIDLastSave="4731" documentId="13_ncr:1_{E46A48FC-9A09-4B62-BA26-CF43FA33155E}" xr6:coauthVersionLast="47" xr6:coauthVersionMax="47" xr10:uidLastSave="{1162E607-2261-44C9-8A03-655888933D0C}"/>
  <bookViews>
    <workbookView xWindow="-110" yWindow="-110" windowWidth="19420" windowHeight="10300" firstSheet="4" activeTab="4" xr2:uid="{00000000-000D-0000-FFFF-FFFF00000000}"/>
  </bookViews>
  <sheets>
    <sheet name="senseInfo" sheetId="12" state="hidden" r:id="rId1"/>
    <sheet name="_AdvSensInfo_" sheetId="13" state="hidden" r:id="rId2"/>
    <sheet name="RiskSerializationData8" sheetId="72" state="hidden" r:id="rId3"/>
    <sheet name="rsklibSimData" sheetId="73" state="hidden" r:id="rId4"/>
    <sheet name="part(a)" sheetId="1" r:id="rId5"/>
    <sheet name="parta" sheetId="17" r:id="rId6"/>
    <sheet name="Cell B11" sheetId="20" r:id="rId7"/>
    <sheet name="Summary" sheetId="15" r:id="rId8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1</definedName>
    <definedName name="_AtRisk_SimSetting_StdRecalcWithoutRiskStaticPercentile" hidden="1">0.5</definedName>
    <definedName name="BrowseRecords" localSheetId="2">RiskSerializationData8!$6:$6</definedName>
    <definedName name="DistributionRecords" localSheetId="2">RiskSerializationData8!$9:$9</definedName>
    <definedName name="Pal_Workbook_GUID" hidden="1">"2L6MYXVUVZWCL9DKIEGX1YXM"</definedName>
    <definedName name="PalisadeReportWorksheetCreatedBy" localSheetId="6" hidden="1">"@RISK"</definedName>
    <definedName name="PalisadeReportWorksheetCreatedBy" localSheetId="5" hidden="1">"@RISK"</definedName>
    <definedName name="PalisadeReportWorksheetCreatedBy" localSheetId="7" hidden="1">"@RISK"</definedName>
    <definedName name="RiskAfterRecalcMacro" hidden="1">""</definedName>
    <definedName name="RiskAfterSimMacro" hidden="1">""</definedName>
    <definedName name="riskATSSboxGraph" hidden="1">TRUE</definedName>
    <definedName name="riskATSSincludeSimtables" hidden="1">FALSE</definedName>
    <definedName name="riskATSSinputsGraphs" hidden="1">TRUE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rintReport" hidden="1">TRUE</definedName>
    <definedName name="riskATSSreportsInActiveBook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"1"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skLibSimDataGUID" localSheetId="3" hidden="1">"G6JQW9SS"</definedName>
    <definedName name="SerializationHeader" localSheetId="2">RiskSerializationData8!$A$1:$B$3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72" l="1"/>
  <c r="A6" i="72"/>
  <c r="B8" i="1"/>
  <c r="C21" i="1" s="1" a="1"/>
  <c r="C21" i="1" s="1"/>
  <c r="D16" i="1"/>
  <c r="E16" i="1"/>
  <c r="I16" i="1"/>
  <c r="B8" i="13"/>
  <c r="AE5" i="13"/>
  <c r="E5" i="12"/>
  <c r="C58" i="1" l="1" a="1"/>
  <c r="C58" i="1" s="1"/>
  <c r="C37" i="1" a="1"/>
  <c r="C37" i="1" s="1"/>
  <c r="C57" i="1" a="1"/>
  <c r="C57" i="1" s="1"/>
  <c r="C35" i="1" a="1"/>
  <c r="C35" i="1" s="1"/>
  <c r="C63" i="1" a="1"/>
  <c r="C63" i="1" s="1"/>
  <c r="C53" i="1" a="1"/>
  <c r="C53" i="1" s="1"/>
  <c r="C42" i="1" a="1"/>
  <c r="C42" i="1" s="1"/>
  <c r="C31" i="1" a="1"/>
  <c r="C31" i="1" s="1"/>
  <c r="C16" i="1" a="1"/>
  <c r="C16" i="1" s="1"/>
  <c r="A9" i="72" s="1"/>
  <c r="C20" i="1" a="1"/>
  <c r="C20" i="1" s="1"/>
  <c r="C24" i="1" a="1"/>
  <c r="C24" i="1" s="1"/>
  <c r="C28" i="1" a="1"/>
  <c r="C28" i="1" s="1"/>
  <c r="C32" i="1" a="1"/>
  <c r="C32" i="1" s="1"/>
  <c r="C36" i="1" a="1"/>
  <c r="C36" i="1" s="1"/>
  <c r="C40" i="1" a="1"/>
  <c r="C40" i="1" s="1"/>
  <c r="C44" i="1" a="1"/>
  <c r="C44" i="1" s="1"/>
  <c r="C48" i="1" a="1"/>
  <c r="C48" i="1" s="1"/>
  <c r="C52" i="1" a="1"/>
  <c r="C52" i="1" s="1"/>
  <c r="C56" i="1" a="1"/>
  <c r="C56" i="1" s="1"/>
  <c r="C60" i="1" a="1"/>
  <c r="C60" i="1" s="1"/>
  <c r="C64" i="1" a="1"/>
  <c r="C64" i="1" s="1"/>
  <c r="C17" i="1" a="1"/>
  <c r="C17" i="1" s="1"/>
  <c r="C22" i="1" a="1"/>
  <c r="C22" i="1" s="1"/>
  <c r="C27" i="1" a="1"/>
  <c r="C27" i="1" s="1"/>
  <c r="C33" i="1" a="1"/>
  <c r="C33" i="1" s="1"/>
  <c r="C38" i="1" a="1"/>
  <c r="C38" i="1" s="1"/>
  <c r="C43" i="1" a="1"/>
  <c r="C43" i="1" s="1"/>
  <c r="C49" i="1" a="1"/>
  <c r="C49" i="1" s="1"/>
  <c r="C54" i="1" a="1"/>
  <c r="C54" i="1" s="1"/>
  <c r="C59" i="1" a="1"/>
  <c r="C59" i="1" s="1"/>
  <c r="C65" i="1" a="1"/>
  <c r="C65" i="1" s="1"/>
  <c r="C50" i="1" a="1"/>
  <c r="C50" i="1" s="1"/>
  <c r="C66" i="1" a="1"/>
  <c r="C66" i="1" s="1"/>
  <c r="C18" i="1" a="1"/>
  <c r="C18" i="1" s="1"/>
  <c r="C23" i="1" a="1"/>
  <c r="C23" i="1" s="1"/>
  <c r="C29" i="1" a="1"/>
  <c r="C29" i="1" s="1"/>
  <c r="C34" i="1" a="1"/>
  <c r="C34" i="1" s="1"/>
  <c r="C39" i="1" a="1"/>
  <c r="C39" i="1" s="1"/>
  <c r="C45" i="1" a="1"/>
  <c r="C45" i="1" s="1"/>
  <c r="C55" i="1" a="1"/>
  <c r="C55" i="1" s="1"/>
  <c r="C61" i="1" a="1"/>
  <c r="C61" i="1" s="1"/>
  <c r="C47" i="1" a="1"/>
  <c r="C47" i="1" s="1"/>
  <c r="C26" i="1" a="1"/>
  <c r="C26" i="1" s="1"/>
  <c r="C67" i="1" a="1"/>
  <c r="C67" i="1" s="1"/>
  <c r="C46" i="1" a="1"/>
  <c r="C46" i="1" s="1"/>
  <c r="C25" i="1" a="1"/>
  <c r="C25" i="1" s="1"/>
  <c r="C62" i="1" a="1"/>
  <c r="C62" i="1" s="1"/>
  <c r="C51" i="1" a="1"/>
  <c r="C51" i="1" s="1"/>
  <c r="C41" i="1" a="1"/>
  <c r="C41" i="1" s="1"/>
  <c r="C30" i="1" a="1"/>
  <c r="C30" i="1" s="1"/>
  <c r="C19" i="1" a="1"/>
  <c r="C19" i="1" s="1"/>
  <c r="F16" i="1" l="1"/>
  <c r="J16" i="1" l="1"/>
  <c r="D17" i="1" s="1"/>
  <c r="G16" i="1"/>
  <c r="E17" i="1" l="1"/>
  <c r="H17" i="1"/>
  <c r="F17" i="1" l="1"/>
  <c r="I17" i="1"/>
  <c r="G17" i="1" l="1"/>
  <c r="J17" i="1"/>
  <c r="D18" i="1" s="1"/>
  <c r="H18" i="1" l="1"/>
  <c r="E18" i="1"/>
  <c r="I18" i="1" l="1"/>
  <c r="F18" i="1"/>
  <c r="G18" i="1" l="1"/>
  <c r="J18" i="1"/>
  <c r="D19" i="1" s="1"/>
  <c r="E19" i="1" l="1"/>
  <c r="H19" i="1"/>
  <c r="I19" i="1" l="1"/>
  <c r="F19" i="1"/>
  <c r="J19" i="1" l="1"/>
  <c r="D20" i="1" s="1"/>
  <c r="G19" i="1"/>
  <c r="E20" i="1" l="1"/>
  <c r="H20" i="1"/>
  <c r="I20" i="1" l="1"/>
  <c r="F20" i="1"/>
  <c r="G20" i="1" l="1"/>
  <c r="J20" i="1"/>
  <c r="D21" i="1" s="1"/>
  <c r="H21" i="1" l="1"/>
  <c r="E21" i="1"/>
  <c r="F21" i="1" l="1"/>
  <c r="I21" i="1"/>
  <c r="J21" i="1" l="1"/>
  <c r="D22" i="1" s="1"/>
  <c r="G21" i="1"/>
  <c r="H22" i="1" l="1"/>
  <c r="E22" i="1"/>
  <c r="I22" i="1" l="1"/>
  <c r="F22" i="1"/>
  <c r="J22" i="1" l="1"/>
  <c r="D23" i="1" s="1"/>
  <c r="G22" i="1"/>
  <c r="E23" i="1" l="1"/>
  <c r="H23" i="1"/>
  <c r="F23" i="1" l="1"/>
  <c r="I23" i="1"/>
  <c r="J23" i="1" l="1"/>
  <c r="D24" i="1" s="1"/>
  <c r="G23" i="1"/>
  <c r="E24" i="1" l="1"/>
  <c r="H24" i="1"/>
  <c r="I24" i="1" l="1"/>
  <c r="F24" i="1"/>
  <c r="G24" i="1" l="1"/>
  <c r="J24" i="1"/>
  <c r="D25" i="1" s="1"/>
  <c r="E25" i="1" l="1"/>
  <c r="H25" i="1"/>
  <c r="I25" i="1" l="1"/>
  <c r="F25" i="1"/>
  <c r="G25" i="1" l="1"/>
  <c r="J25" i="1"/>
  <c r="D26" i="1" s="1"/>
  <c r="H26" i="1" l="1"/>
  <c r="E26" i="1"/>
  <c r="F26" i="1" l="1"/>
  <c r="I26" i="1"/>
  <c r="J26" i="1" l="1"/>
  <c r="D27" i="1" s="1"/>
  <c r="G26" i="1"/>
  <c r="E27" i="1" l="1"/>
  <c r="H27" i="1"/>
  <c r="F27" i="1" l="1"/>
  <c r="I27" i="1"/>
  <c r="J27" i="1" l="1"/>
  <c r="D28" i="1" s="1"/>
  <c r="G27" i="1"/>
  <c r="E28" i="1" l="1"/>
  <c r="H28" i="1"/>
  <c r="F28" i="1" l="1"/>
  <c r="I28" i="1"/>
  <c r="G28" i="1" l="1"/>
  <c r="J28" i="1"/>
  <c r="D29" i="1" s="1"/>
  <c r="H29" i="1" l="1"/>
  <c r="E29" i="1"/>
  <c r="F29" i="1" l="1"/>
  <c r="I29" i="1"/>
  <c r="J29" i="1" l="1"/>
  <c r="D30" i="1" s="1"/>
  <c r="G29" i="1"/>
  <c r="H30" i="1" l="1"/>
  <c r="E30" i="1"/>
  <c r="F30" i="1" l="1"/>
  <c r="I30" i="1"/>
  <c r="G30" i="1" l="1"/>
  <c r="J30" i="1"/>
  <c r="D31" i="1" s="1"/>
  <c r="H31" i="1" l="1"/>
  <c r="E31" i="1"/>
  <c r="F31" i="1" l="1"/>
  <c r="I31" i="1"/>
  <c r="G31" i="1" l="1"/>
  <c r="J31" i="1"/>
  <c r="D32" i="1" s="1"/>
  <c r="H32" i="1" l="1"/>
  <c r="E32" i="1"/>
  <c r="I32" i="1" l="1"/>
  <c r="F32" i="1"/>
  <c r="J32" i="1" l="1"/>
  <c r="D33" i="1" s="1"/>
  <c r="G32" i="1"/>
  <c r="H33" i="1" l="1"/>
  <c r="E33" i="1"/>
  <c r="F33" i="1" l="1"/>
  <c r="I33" i="1"/>
  <c r="J33" i="1" l="1"/>
  <c r="D34" i="1" s="1"/>
  <c r="G33" i="1"/>
  <c r="H34" i="1" l="1"/>
  <c r="E34" i="1"/>
  <c r="F34" i="1" l="1"/>
  <c r="I34" i="1"/>
  <c r="J34" i="1" l="1"/>
  <c r="D35" i="1" s="1"/>
  <c r="G34" i="1"/>
  <c r="E35" i="1" l="1"/>
  <c r="H35" i="1"/>
  <c r="F35" i="1" l="1"/>
  <c r="I35" i="1"/>
  <c r="G35" i="1" l="1"/>
  <c r="J35" i="1"/>
  <c r="D36" i="1" s="1"/>
  <c r="H36" i="1" l="1"/>
  <c r="E36" i="1"/>
  <c r="I36" i="1" l="1"/>
  <c r="F36" i="1"/>
  <c r="J36" i="1" l="1"/>
  <c r="D37" i="1" s="1"/>
  <c r="G36" i="1"/>
  <c r="E37" i="1" l="1"/>
  <c r="H37" i="1"/>
  <c r="I37" i="1" l="1"/>
  <c r="F37" i="1"/>
  <c r="J37" i="1" l="1"/>
  <c r="D38" i="1" s="1"/>
  <c r="G37" i="1"/>
  <c r="E38" i="1" l="1"/>
  <c r="H38" i="1"/>
  <c r="F38" i="1" l="1"/>
  <c r="I38" i="1"/>
  <c r="J38" i="1" l="1"/>
  <c r="D39" i="1" s="1"/>
  <c r="G38" i="1"/>
  <c r="E39" i="1" l="1"/>
  <c r="H39" i="1"/>
  <c r="I39" i="1" l="1"/>
  <c r="F39" i="1"/>
  <c r="J39" i="1" l="1"/>
  <c r="D40" i="1" s="1"/>
  <c r="G39" i="1"/>
  <c r="E40" i="1" l="1"/>
  <c r="H40" i="1"/>
  <c r="I40" i="1" l="1"/>
  <c r="F40" i="1"/>
  <c r="J40" i="1" l="1"/>
  <c r="D41" i="1" s="1"/>
  <c r="G40" i="1"/>
  <c r="E41" i="1" l="1"/>
  <c r="H41" i="1"/>
  <c r="I41" i="1" l="1"/>
  <c r="F41" i="1"/>
  <c r="J41" i="1" l="1"/>
  <c r="D42" i="1" s="1"/>
  <c r="G41" i="1"/>
  <c r="E42" i="1" l="1"/>
  <c r="H42" i="1"/>
  <c r="F42" i="1" l="1"/>
  <c r="I42" i="1"/>
  <c r="J42" i="1" l="1"/>
  <c r="D43" i="1" s="1"/>
  <c r="G42" i="1"/>
  <c r="H43" i="1" l="1"/>
  <c r="E43" i="1"/>
  <c r="F43" i="1" l="1"/>
  <c r="I43" i="1"/>
  <c r="G43" i="1" l="1"/>
  <c r="J43" i="1"/>
  <c r="D44" i="1" s="1"/>
  <c r="E44" i="1" l="1"/>
  <c r="H44" i="1"/>
  <c r="I44" i="1" l="1"/>
  <c r="F44" i="1"/>
  <c r="J44" i="1" l="1"/>
  <c r="D45" i="1" s="1"/>
  <c r="G44" i="1"/>
  <c r="H45" i="1" l="1"/>
  <c r="E45" i="1"/>
  <c r="I45" i="1" l="1"/>
  <c r="F45" i="1"/>
  <c r="J45" i="1" l="1"/>
  <c r="D46" i="1" s="1"/>
  <c r="G45" i="1"/>
  <c r="E46" i="1" l="1"/>
  <c r="H46" i="1"/>
  <c r="I46" i="1" l="1"/>
  <c r="F46" i="1"/>
  <c r="G46" i="1" l="1"/>
  <c r="J46" i="1"/>
  <c r="D47" i="1" s="1"/>
  <c r="E47" i="1" l="1"/>
  <c r="H47" i="1"/>
  <c r="I47" i="1" l="1"/>
  <c r="F47" i="1"/>
  <c r="J47" i="1" l="1"/>
  <c r="D48" i="1" s="1"/>
  <c r="G47" i="1"/>
  <c r="E48" i="1" l="1"/>
  <c r="H48" i="1"/>
  <c r="F48" i="1" l="1"/>
  <c r="I48" i="1"/>
  <c r="J48" i="1" l="1"/>
  <c r="D49" i="1" s="1"/>
  <c r="G48" i="1"/>
  <c r="E49" i="1" l="1"/>
  <c r="H49" i="1"/>
  <c r="F49" i="1" l="1"/>
  <c r="I49" i="1"/>
  <c r="J49" i="1" l="1"/>
  <c r="D50" i="1" s="1"/>
  <c r="G49" i="1"/>
  <c r="E50" i="1" l="1"/>
  <c r="H50" i="1"/>
  <c r="I50" i="1" l="1"/>
  <c r="F50" i="1"/>
  <c r="J50" i="1" l="1"/>
  <c r="D51" i="1" s="1"/>
  <c r="G50" i="1"/>
  <c r="E51" i="1" l="1"/>
  <c r="H51" i="1"/>
  <c r="F51" i="1" l="1"/>
  <c r="I51" i="1"/>
  <c r="G51" i="1" l="1"/>
  <c r="J51" i="1"/>
  <c r="D52" i="1" s="1"/>
  <c r="H52" i="1" l="1"/>
  <c r="E52" i="1"/>
  <c r="F52" i="1" l="1"/>
  <c r="I52" i="1"/>
  <c r="J52" i="1" l="1"/>
  <c r="D53" i="1" s="1"/>
  <c r="G52" i="1"/>
  <c r="E53" i="1" l="1"/>
  <c r="H53" i="1"/>
  <c r="F53" i="1" l="1"/>
  <c r="I53" i="1"/>
  <c r="J53" i="1" l="1"/>
  <c r="D54" i="1" s="1"/>
  <c r="G53" i="1"/>
  <c r="E54" i="1" l="1"/>
  <c r="H54" i="1"/>
  <c r="I54" i="1" l="1"/>
  <c r="F54" i="1"/>
  <c r="G54" i="1" l="1"/>
  <c r="J54" i="1"/>
  <c r="D55" i="1" s="1"/>
  <c r="E55" i="1" l="1"/>
  <c r="H55" i="1"/>
  <c r="F55" i="1" l="1"/>
  <c r="I55" i="1"/>
  <c r="J55" i="1" l="1"/>
  <c r="D56" i="1" s="1"/>
  <c r="G55" i="1"/>
  <c r="E56" i="1" l="1"/>
  <c r="H56" i="1"/>
  <c r="F56" i="1" l="1"/>
  <c r="I56" i="1"/>
  <c r="G56" i="1" l="1"/>
  <c r="J56" i="1"/>
  <c r="D57" i="1" s="1"/>
  <c r="E57" i="1" l="1"/>
  <c r="H57" i="1"/>
  <c r="F57" i="1" l="1"/>
  <c r="I57" i="1"/>
  <c r="J57" i="1" l="1"/>
  <c r="D58" i="1" s="1"/>
  <c r="G57" i="1"/>
  <c r="H58" i="1" l="1"/>
  <c r="E58" i="1"/>
  <c r="F58" i="1" l="1"/>
  <c r="I58" i="1"/>
  <c r="J58" i="1" l="1"/>
  <c r="D59" i="1" s="1"/>
  <c r="G58" i="1"/>
  <c r="H59" i="1" l="1"/>
  <c r="E59" i="1"/>
  <c r="I59" i="1" l="1"/>
  <c r="F59" i="1"/>
  <c r="G59" i="1" l="1"/>
  <c r="J59" i="1"/>
  <c r="D60" i="1" s="1"/>
  <c r="E60" i="1" l="1"/>
  <c r="H60" i="1"/>
  <c r="F60" i="1" l="1"/>
  <c r="I60" i="1"/>
  <c r="G60" i="1" l="1"/>
  <c r="J60" i="1"/>
  <c r="D61" i="1" s="1"/>
  <c r="E61" i="1" l="1"/>
  <c r="H61" i="1"/>
  <c r="I61" i="1" l="1"/>
  <c r="F61" i="1"/>
  <c r="J61" i="1" l="1"/>
  <c r="D62" i="1" s="1"/>
  <c r="G61" i="1"/>
  <c r="H62" i="1" l="1"/>
  <c r="E62" i="1"/>
  <c r="I62" i="1" l="1"/>
  <c r="F62" i="1"/>
  <c r="G62" i="1" l="1"/>
  <c r="J62" i="1"/>
  <c r="D63" i="1" s="1"/>
  <c r="H63" i="1" l="1"/>
  <c r="E63" i="1"/>
  <c r="F63" i="1" l="1"/>
  <c r="I63" i="1"/>
  <c r="G63" i="1" l="1"/>
  <c r="J63" i="1"/>
  <c r="D64" i="1" s="1"/>
  <c r="H64" i="1" l="1"/>
  <c r="E64" i="1"/>
  <c r="I64" i="1" l="1"/>
  <c r="F64" i="1"/>
  <c r="G64" i="1" l="1"/>
  <c r="J64" i="1"/>
  <c r="D65" i="1" s="1"/>
  <c r="H65" i="1" l="1"/>
  <c r="E65" i="1"/>
  <c r="I65" i="1" l="1"/>
  <c r="F65" i="1"/>
  <c r="J65" i="1" l="1"/>
  <c r="D66" i="1" s="1"/>
  <c r="G65" i="1"/>
  <c r="E66" i="1" l="1"/>
  <c r="H66" i="1"/>
  <c r="I66" i="1" l="1"/>
  <c r="F66" i="1"/>
  <c r="J66" i="1" l="1"/>
  <c r="D67" i="1" s="1"/>
  <c r="G66" i="1"/>
  <c r="E67" i="1" l="1"/>
  <c r="H67" i="1"/>
  <c r="F67" i="1" l="1"/>
  <c r="I67" i="1"/>
  <c r="B13" i="1" a="1"/>
  <c r="B13" i="1" l="1"/>
  <c r="B14" i="1"/>
  <c r="J67" i="1"/>
  <c r="G67" i="1"/>
  <c r="C2" i="13" l="1"/>
  <c r="E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<sst xmlns="http://schemas.openxmlformats.org/spreadsheetml/2006/main" count="267" uniqueCount="191">
  <si>
    <t>starting inventory</t>
  </si>
  <si>
    <t>COST DATA</t>
  </si>
  <si>
    <t>weekly Holding cost for one unit</t>
  </si>
  <si>
    <t>Changeover Fixed Cost</t>
  </si>
  <si>
    <t>Uncertain quantity</t>
  </si>
  <si>
    <t>Demand Variablity(Given mean 120,stdev)</t>
  </si>
  <si>
    <t>Average weekly demand (in units)</t>
  </si>
  <si>
    <t>Inventory Threshhold ( in units)</t>
  </si>
  <si>
    <t>Lower Threshold</t>
  </si>
  <si>
    <t>week</t>
  </si>
  <si>
    <t>Starting Inventory</t>
  </si>
  <si>
    <t>Demand</t>
  </si>
  <si>
    <t>last week procustion</t>
  </si>
  <si>
    <t>ending inventory</t>
  </si>
  <si>
    <t>inventory cost</t>
  </si>
  <si>
    <t>Production cost</t>
  </si>
  <si>
    <t>total cost</t>
  </si>
  <si>
    <t>Written By Version</t>
  </si>
  <si>
    <t>8.2.2</t>
  </si>
  <si>
    <t>Serialization Major Version</t>
  </si>
  <si>
    <t>Serialization Minor Version</t>
  </si>
  <si>
    <t>Browse Record</t>
  </si>
  <si>
    <t>Display Mode</t>
  </si>
  <si>
    <t>Sens Graph Type</t>
  </si>
  <si>
    <t>Cond Sens Settings</t>
  </si>
  <si>
    <t>Scenario Settings</t>
  </si>
  <si>
    <t>Selected Scenario</t>
  </si>
  <si>
    <t>Distribution Options</t>
  </si>
  <si>
    <t>Distribution GS</t>
  </si>
  <si>
    <t>Distribution Curves</t>
  </si>
  <si>
    <t>Sens Tornado Options</t>
  </si>
  <si>
    <t>Sens Tornado GS</t>
  </si>
  <si>
    <t>Sens Tornado Curves</t>
  </si>
  <si>
    <t>Scen Tornado Options</t>
  </si>
  <si>
    <t>Scen Tornado GS</t>
  </si>
  <si>
    <t>Scen Tornado Curves</t>
  </si>
  <si>
    <t>Sens Spider Option</t>
  </si>
  <si>
    <t>Sens Spider GS</t>
  </si>
  <si>
    <t>Sens Spider Curves</t>
  </si>
  <si>
    <t>Average Cost</t>
  </si>
  <si>
    <t>Higher Threshold</t>
  </si>
  <si>
    <t>product level (next week)</t>
  </si>
  <si>
    <t xml:space="preserve">Production level </t>
  </si>
  <si>
    <t>total cost of 52 weeks</t>
  </si>
  <si>
    <t>RecommendedVersion</t>
  </si>
  <si>
    <t>RequiredVersion</t>
  </si>
  <si>
    <t>CellToMonitor</t>
  </si>
  <si>
    <t>TrackingStatistic</t>
  </si>
  <si>
    <t>TrackingStatisticPercentile</t>
  </si>
  <si>
    <t>IncludeSimtables</t>
  </si>
  <si>
    <t>IncludedReports</t>
  </si>
  <si>
    <t>ReportDestination</t>
  </si>
  <si>
    <t>NumGroups</t>
  </si>
  <si>
    <t>NumInputs</t>
  </si>
  <si>
    <t>8.2.0</t>
  </si>
  <si>
    <t>InputType</t>
  </si>
  <si>
    <t>BaseValueIsAuto</t>
  </si>
  <si>
    <t>BaseValue</t>
  </si>
  <si>
    <t>FixDistributionWhenNotStepping</t>
  </si>
  <si>
    <t>VariationMethod</t>
  </si>
  <si>
    <t>NumSteps</t>
  </si>
  <si>
    <t>VariationMinimum</t>
  </si>
  <si>
    <t>VariationMaximum</t>
  </si>
  <si>
    <t>VariationTableRange</t>
  </si>
  <si>
    <t>VariationValues</t>
  </si>
  <si>
    <t>RangesCount</t>
  </si>
  <si>
    <t>Ranges</t>
  </si>
  <si>
    <t>AnalysisNamesCount</t>
  </si>
  <si>
    <t>AnalysisNames</t>
  </si>
  <si>
    <t>AnalysisNamesRange</t>
  </si>
  <si>
    <t>IsDate</t>
  </si>
  <si>
    <t>GroupIndex</t>
  </si>
  <si>
    <t>Cell</t>
  </si>
  <si>
    <t>Enabled</t>
  </si>
  <si>
    <t>DistributionPosition</t>
  </si>
  <si>
    <t>AlternateName</t>
  </si>
  <si>
    <t>cellAddress</t>
  </si>
  <si>
    <t>ioIndex</t>
  </si>
  <si>
    <t xml:space="preserve">senseTotal: </t>
  </si>
  <si>
    <t>.</t>
  </si>
  <si>
    <t>selectionIndex</t>
  </si>
  <si>
    <t>formulaIndex</t>
  </si>
  <si>
    <t>rangeAddress</t>
  </si>
  <si>
    <t>bookName</t>
  </si>
  <si>
    <t>sheetName</t>
  </si>
  <si>
    <t>checkSelected</t>
  </si>
  <si>
    <t>baseValue</t>
  </si>
  <si>
    <t>useCellBase</t>
  </si>
  <si>
    <t>minPercent</t>
  </si>
  <si>
    <t>maxPercent</t>
  </si>
  <si>
    <t>minValue</t>
  </si>
  <si>
    <t>maxValue</t>
  </si>
  <si>
    <t>numIntervals</t>
  </si>
  <si>
    <t>intIndex</t>
  </si>
  <si>
    <t>varyWhenStepping</t>
  </si>
  <si>
    <t>intervalMode</t>
  </si>
  <si>
    <t>tableRange</t>
  </si>
  <si>
    <t>isInput</t>
  </si>
  <si>
    <t>analysisString</t>
  </si>
  <si>
    <t>groupIndex</t>
  </si>
  <si>
    <t>groupCount</t>
  </si>
  <si>
    <t>'Sheet1'!B11</t>
  </si>
  <si>
    <t>Sheet1</t>
  </si>
  <si>
    <t>80</t>
  </si>
  <si>
    <t>30</t>
  </si>
  <si>
    <t>Values: 30 to 80</t>
  </si>
  <si>
    <t>35.5555555555556</t>
  </si>
  <si>
    <t>41.1111111111111</t>
  </si>
  <si>
    <t>46.6666666666667</t>
  </si>
  <si>
    <t>52.2222222222222</t>
  </si>
  <si>
    <t>57.7777777777778</t>
  </si>
  <si>
    <t>63.3333333333333</t>
  </si>
  <si>
    <t>68.8888888888889</t>
  </si>
  <si>
    <t>74.4444444444444</t>
  </si>
  <si>
    <t>Input</t>
  </si>
  <si>
    <t>Output: Average Cost / Demand Variablity(Given mean 120,stdev)</t>
  </si>
  <si>
    <t>Name</t>
  </si>
  <si>
    <t>Book</t>
  </si>
  <si>
    <t>Sheet</t>
  </si>
  <si>
    <t>Analysis</t>
  </si>
  <si>
    <t>Value</t>
  </si>
  <si>
    <t>Mean</t>
  </si>
  <si>
    <t>Minimum</t>
  </si>
  <si>
    <t>Maximum</t>
  </si>
  <si>
    <t>Mode</t>
  </si>
  <si>
    <t>Median</t>
  </si>
  <si>
    <t>Std. Deviation</t>
  </si>
  <si>
    <t>Variance</t>
  </si>
  <si>
    <t>Kurtosis</t>
  </si>
  <si>
    <t>Skewness</t>
  </si>
  <si>
    <t>Cell B11</t>
  </si>
  <si>
    <t>problem 4.xlsx</t>
  </si>
  <si>
    <t>B11</t>
  </si>
  <si>
    <t>Value: 30.00</t>
  </si>
  <si>
    <t>Value: 35.56</t>
  </si>
  <si>
    <t>Value: 41.11</t>
  </si>
  <si>
    <t>Value: 46.67</t>
  </si>
  <si>
    <t>Value: 52.22</t>
  </si>
  <si>
    <t>Value: 57.78</t>
  </si>
  <si>
    <t>Value: 63.33</t>
  </si>
  <si>
    <t>Value: 68.89</t>
  </si>
  <si>
    <t>Value: 74.44</t>
  </si>
  <si>
    <t>Value: 80.00</t>
  </si>
  <si>
    <t>Output</t>
  </si>
  <si>
    <t>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</si>
  <si>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</si>
  <si>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</si>
  <si>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</si>
  <si>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</si>
  <si>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</si>
  <si>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</si>
  <si>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</si>
  <si>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</si>
  <si>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</si>
  <si>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</si>
  <si>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x</t>
  </si>
  <si>
    <t>Mean(y)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</si>
  <si>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</si>
  <si>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</si>
  <si>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</si>
  <si>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</si>
  <si>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</si>
  <si>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</si>
  <si>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</si>
  <si>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</si>
  <si>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</si>
  <si>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</si>
  <si>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Min whisker</t>
  </si>
  <si>
    <t>Max whisker</t>
  </si>
  <si>
    <t>Lower whisker length</t>
  </si>
  <si>
    <t>Lower box length</t>
  </si>
  <si>
    <t>Upper box length</t>
  </si>
  <si>
    <t>Upper whisker length</t>
  </si>
  <si>
    <t>Mild outliers</t>
  </si>
  <si>
    <t>Extreme outliers</t>
  </si>
  <si>
    <t>Distribution Record</t>
  </si>
  <si>
    <t>Reserved</t>
  </si>
  <si>
    <t>Record Count</t>
  </si>
  <si>
    <t>Inputs</t>
  </si>
  <si>
    <t>1_x0001_17_x0001_0_x0001_RiskNormal(B8,15)</t>
  </si>
  <si>
    <t>GF1_rK0qDwEAEwC5AAwjACcAOQBJAF0AXgBsAHoAkwC1AK8AKwD//wAAAAAAAAEEAAAAAAQwLjAwAAAAAQoxIC8gRGVtYW5kAQABARAAAgABClN0YXRpc3RpY3MDAQEA/wEBAQEBAAEBAQAEAAAAAQEBAQEAAQEBAAQAAAABfgAAEwAGTm9ybWFsAAAA/wAA/wEAAAIAmwClAAEBAwGamZmZmZmpPwAAZmZmZmZm7j8AAAUAAQEBAAEBAQA=</t>
  </si>
  <si>
    <t>GF1_rK0qDwEAEwA0AQwjACcAPACEAJgAmQCnALUADgEwASoBKwD//wAAAAAAAAEEAAAAAAdHZW5lcmFsAAAAASBBdmVyYWdlIHdlZWtseSBkZW1hbmQgKGluIHVuaXRzKQEiQ29tcGFyaXNvbiB3aXRoIFJpc2tOb3JtYWwoMTIwLDE1KQEBEAACAAEKU3RhdGlzdGljcwMBAQD/AQEBAQEAAQEBAAQAAAABAQEBAQABAQEABAAAAAK8AALtAAAtACBBdmVyYWdlIHdlZWtseSBkZW1hbmQgKGluIHVuaXRzKQAAAP8AAP8BAAACAAIAHwASUmlza05vcm1hbCgxMjAsMTUpAAEA/wAAAAEAAAIAFgEgAQEBAwGamZmZmZmpPwAAZmZmZmZm7j8AAAUAAQEBAAEBAQA=</t>
  </si>
  <si>
    <t>6b5f83b3c0b386a7c5e1aecd3476ad44_x0005__x0007_ÐÏ_x0011_à¡±_x001A_á_x0005__x0005__x0005__x0005__x0005__x0005__x0005__x0005__x0005__x0005__x0005__x0005__x0005__x0005__x0005__x0005_&gt;_x0005__x0003__x0005_þÿ	_x0005__x0006__x0005__x0005__x0005__x0005__x0005__x0005__x0005__x0005__x0005__x0005__x0005__x0004__x0005__x0005__x0005__x0001__x0005__x0005__x0005__x0005__x0005__x0005__x0005__x0005__x0010__x0005__x0005__x0002__x0005__x0005__x0005__x0001__x0005__x0005__x0005_þÿÿÿ_x0005__x0005__x0005__x0005__x0005__x0005__x0005__x0005_y_x0005__x0005__x0005_ÿ_x0005__x0005__x0005_}_x0001__x0005__x0005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ýÿÿÿþÿÿÿþÿÿÿ_x0004__x0001__x0001__x0001__x0005__x0001__x0001__x0001__x0006__x0001__x0001__x0001__x0007__x0001__x0001__x0001__x0008__x0001__x0001__x0001_	_x0001__x0001__x0001__x0002__x0001__x0001__x0001__x001B__x0001__x0001__x0001__x000C__x0001__x0001__x0001__x000D__x0001__x0001__x0001__x000E__x0001__x0001__x0001__x000F__x0001__x0001__x0001__x0010__x0001__x0001__x0001__x0011__x0001__x0001__x0001__x0012__x0001__x0001__x0001__x0013__x0001__x0001__x0001__x0014__x0001__x0001__x0001__x0015__x0001__x0001__x0001__x0016__x0001__x0001__x0001__x0017__x0001__x0001__x0001__x0018__x0001__x0001__x0001__x0019__x0001__x0001__x0001__x001A__x0001__x0001__x0001__x0003__x0001__x0001__x0001__x001C__x0001__x0001__x0001__x001D__x0001__x0001__x0001__x001E__x0001__x0001__x0001__x001F__x0001__x0001__x0001_ _x0001__x0001__x0001_!_x0001__x0001__x0001_"_x0001__x0001__x0001_#_x0001__x0001__x0001_$_x0001__x0001__x0001_%_x0001__x0001__x0001_&amp;_x0001__x0001__x0001_'_x0001__x0001__x0001_(_x0001__x0001__x0001_)_x0001__x0001__x0001_*_x0001__x0001__x0001_+_x0001__x0001__x0001_,_x0001__x0001__x0001_-_x0001__x0001__x0001_._x0001__x0001__x0001_/_x0001__x0001__x0001_0_x0001__x0001__x0001_1_x0001__x0001__x0001_2_x0001__x0001__x0001_3_x0001__x0001__x0001_4_x0001__x0001__x0001_5_x0001__x0001__x0001_6_x0001__x0001__x0001_7_x0001__x0001__x0001_8_x0001__x0001__x0001_9_x0001__x0001__x0001_:_x0001__x0001__x0001_;_x0001__x0001__x0001_&lt;_x0001__x0001__x0001_=_x0001__x0001__x0001__x0001__x0002_&gt;_x0001__x0001__x0001_?_x0001__x0001__x0001_@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Y_x0001__x0001__x0001_Z_x0001__x0001__x0001_[_x0001__x0001__x0001_\_x0001__x0001__x0001_]_x0001__x0001__x0001_^_x0001__x0001__x0001___x0001__x0001__x0001_`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z_x0001__x0001__x0001_ýÿÿÿ{_x0001__x0001__x0001_|_x0001__x0001__x0001__x0003__x0004_}_x0003__x0003__x0003_~_x0003__x0003__x0003__x0003__x0003__x0003__x0003__x0003__x0003_R_x0003_o_x0003_o_x0003_t_x0003_ _x0003_E_x0003_n_x0003_t_x0003_r_x0003_y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0016__x0003__x0005__x0003_ÿÿÿÿÿÿÿÿ_x0001__x0003__x0003__x0003__x0003__x0003__x0003__x0003__x0003__x0003__x0003__x0003__x0003__x0003__x0003__x0003__x0003__x0003__x0003__x0003__x0003__x0003__x0003__x0003__x0003__x0003__x0003__x0003__x0003__x0003__x0003__x0003_ îU,G¼Ú_x0001_þÿÿÿ_x0003__x0003__x0003__x0003__x0003__x0003__x0003__x0003_R_x0003_S_x0003_K_x0003_L_x0003_I_x0003_B_x0003_ _x0003_D_x0003_a_x0003_t_x0003_a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0018__x0003__x0002__x0001_ÿÿÿÿÿÿÿÿÿÿÿÿ_x0003__x0003__x0003__x0003__x0003__x0003__x0003__x0003__x0003__x0003__x0003__x0003__x0003__x0003__x0003__x0003__x0003__x0003__x0003__x0003__x0003__x0003__x0003__x0003__x0003__x0003__x0003__x0003__x0001__x0002__x0001__x0001__x0001__x0001__x0001__x0001__x0001__x0001__x000B__x0001__x0001__x0001_Á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0003__x0006_ÿÿÿÿÿÿÿÿÿÿÿÿÿÿÿÿÿÿÿÿÿÿÿÿÿÿÿÿÿÿÿÿ?S®LÕ^@®iÇ@b_x001B_V@¦_x0012_ø&gt;_x0012_Øc@ù¾RÐ[@yF!ÿo0Z@_x0019_Í²w*f`@Ñþ°õÆY@Âh_x0001_áÚU@S_x000E_jÑ\@_x0010_ÊOQ³[@	qÊ_x0015_WÙU@d¥ÊÚ4a@JÞMwaY@7{.Yå#\@1E2|uâ\@¨Ö¢_x0018_L'a@¾oô8®_x000C_a@_x001F_~c£³[@²Go_x0016_a_x0004_]@ÞÂHèd@dP_x0002_w|'X@	l¨þ-xZ@Aô)Þ¡­`@CÂ´\@è[,\ádb@_x0005_.èô!Èc@_x0015_j­ò|Y@gn_x000E_P_x0004__x0005_»X@Û_x0008_Ó_x001C_Q¹Y@_x0017_'|yC´d@Æ¬§»ç=a@"_x0006_BG_@XòN$z3Y@ÓÔ¸Ê³_@xJWÙ_x0010__x0012_[@%£_x000F_mu\@cúÌ&amp;ë^@óÞÿÓ|Z@qÌA|DÑ^@xK_x0003__x0001_èQY@'®Öê8¥a@(%ãÆ(A\@ºk_x0018_V~U`@ü©õz=_x0005__@ª'X^Z@_x0016_6_x0004_Ó¯Y@×oºõ_x0002_Z@VáÜoÞ[@zãÓ¨Ú0X@Ö	`_x0007_\@UpÕæL[@ûF½~_x0004_d@ÁK_x000B__x0006__x0003_TZ@K_x0006_ûõã\@µ&lt;MË_x0010__x000D__@oé~:a@[uõøÞ`@=zÕ²ªZV@%©_x001B_qg]@_x0001__x0006_Î÷H42F`@îÇ¯è\^@NmmUe[@(³ÔsÃb@J=_x000F__x0015_ëT@^ËÁí¾Z@=¸ç³¬e@8ªOûÂ!T@³9«(e]@·._x0002_'BX@Ô¯DÛµ`@wÏbq\@e»â!^@\Á^ÉúPc@Â&lt;x_x0012_5\@ÎtO*[@Ê_x0011_òpÍZ@² ¼µðÉM@ÏüÉëBÕ^@öcõ_x000C__x001D__x0017_Z@âÃáPÙY]@_x000B_päP]@E¦%é_x0006_\@eÓ³_x0005_c@ü¢_x0002_ñ\@:d_x0004_;ø^@Hô_x001C_VòX^@v±=_x001C_Ìda@Qï}R¼1Y@eP®$_x000E_D_@Å/ÐË_ób@_x0003_¿·y_x0003__x0004_bâZ@F}³`V@_x0001_Ñ4*ù]@Gûêÿz_x0002_a@ï²¡5Ëb@9J¾,_x0014_Ab@fÑ4ol_x001A_\@l_x0008__x0012_r0&amp;b@e_x000B_ð¥a@³_x001A__x000F_`î\@Û_x0018_~qIve@_x0015_×Vna@w_x001C_6I_x0007__x001A_Y@²ìCK¥c@qÈå&amp;7v`@¥£n£×¥Z@ô_x0014_i£NY@Ù_x0019_¨1`@úÎ:C_x0006_b@Ã/yE¸R@g,%o_x001A__@Á_x001E_£1kÞa@q_x001B_®C]@È[o$7W@d:_x0008_e[@bÊ§:?¡[@Ó_x0005__x0005_wHú_@ã$hJ²õ[@2-¥(%^@°¢yü|qa@ã_x001C_l_x0011_Jb@_x0015_ñ¼$_x000B_ØY@_x0001__x0006_ñôÿDÑ¿Z@´6_x0005_IjS@_x0003_ïÂ_x0005_7`@|ÒC§c_@9zw0ZwW@JUð]@¯_x0002_5Oëa@g_x0004_-a@Öµ¡|;W@Üº_x0004_75a@#ÑÛ\bb@³©Õ,Å_x0002_[@ò&amp;ÎKèÑZ@û?_x0018_½*_x0011_S@wÚÕqY6[@ùÔ0&lt;U@ULL_x001D_éÓd@ÄÖ_x0003_tU_x0015_W@Ü	pk¹^@¨PØêW@%9g'c@aú-_x0006_fW@XüóÊX`@sÆ`ÉÐp]@®ë_x0007_#ÕV@Ð'+ÚEW@oA#|¤öa@JÖÐÜx]@_x0006_ìÚó]r_@Õ.`V_@_x0014_è_x001B__x001F_a@_x0005_0_x0002__x0005_­`@°]jc)b@\8&gt;¹úäW@1+4M&gt;O\@@È`\@æÕ@_x0010_tK[@O²_x001A_]]@	C_x001B__x000C_]@f`ÛW%tX@iËHC S@_x0005_¾1_x0003_¾¬`@ßEö_x001B_=b@³&gt;+A	ºZ@ÐV÷¸áX@9_x0010_tù©@d@Ôïh_x0001_w_@ú_x0015_ù$×9`@Áóz;Â^@m0çE'ò]@áôºÐ5_x0017_Y@Æ_x000D_´ta@ßª©]_x0005_[@U_x0005_-äáb@Âyç1^@È_"áÍc@"ñ9	©\P@_x000F__x0011_v _x001B_6c@^§_x0001_¢X@¡s_x0004_»oZ@kK1*«8^@ªiS½a@ìPKÌÉ	Y@_x0001__x0002_ÖÁW9²_@_x0018_¶æna@¯r¨4_o^@Ò_x0001_KU@_x0001_.õ{á[@Þáñv&amp;c_@Ò%òÔ,Ä_@ØÐ_x0004_¼bç`@ÈéÊ\	a@aC¸Gtkc@_x0008_/_x000F_Ý_x000D_mX@À_x001B_À1_x000B_þU@Ý[#m^Y@åLØ_x000F_a@ÏÓºü[@ÎN+kV@',alWM_@_x0018_«h]FZ@{!&amp;FO¶X@¯©9YY@7/ªÚ{\@Î&amp;¾cÖY@ ?¯]e@¦_x001D__x0006__x001D_a@__x001D_0ÞO`@Ð)u¯ÒY@=Íd+ì}]@ìK×Ýö`@94¼qÅ`@_x0012__x001C_ô^_x000C__x000F_^@_x000D_Y_x0010_äHb@6_x0005_oW_x0003__x0006_¸ña@¦Ý[Uá+Y@4£â	KbS@Ñ_x0010_Èea@;_x0007__x001C__x0001_jT@@b_x0010__x001A__x0016_[@Ø°ã_x0005__x000B_(`@õóàç_x0017_[@µÜo`@/Y`Â7Hd@¬Ò!M¹']@)wæñÏ`@Y;RD¿=R@_x0006_seN_x0006_ÿ`@Ð_x0001__x000C_ìâ+X@¹S_x0004_^^@_x001C__x000E_Ãd Y@_x0002_Èæ	¯ea@Þ¥x[0X@¼Jþ«»tb@ËâY|_x0008_\@Òì¤q$¾[@_x0019_ªþ^mÄ^@0whÉqÔ\@&lt;.©vzoV@_x000B_+ám¦'_@$|NÀ¹X@ulë%&amp;\@ü$_x0018_SÆ5R@_x0010__x001D_6¢]@_x000D_Ë(Ä³`@Ôñ_x001F_¦^@_x0001__x0003__x0011_m_x000F_F¼_x0002_]@¤üYºMQ@þV	GàW@#B_x0005_xÃ,\@D¯ÛÔà¾[@¯ýõÑðZ@ê©_x0010_vjÞ]@óÝýZþ_@_x000F_P_x0017_-Ø`@v9xbIW`@¬BÝ«¬W@*_x001F_æ_x000D_^@ó¦SMÌ7d@_x001C_9ÓB~a@æÉÿÝi_@YU U7T@éM:_Oá`@j¿rèD`@_x0019_3=K°4e@Ä²%#_x0002_Á`@ØêÐRb[@y&lt;_x000F_3[@y_x0001_Äv8a@_x0010_G5/¹1\@_x001A_q,iIQ]@q_x001A_A_x001E_`@_x0008_ø%§Ýc@ÆV½gba@_x0002_'çQ{_@É_x0008_J¯¥\@_x0014_û_x000F__x0010_Ë_x001F__@÷_x0003_Ã_x0007__x0004__x0006_;_x0011__@&gt;åI}iZ`@-è8ýMì\@_x001A_ãð_x0011_µ_@}_x0014_(öç\@	rö_x0013_a@}\¯ö¬[@ä_x001C_k^7Y@_x0010_È&amp;WgX@²Xp?=Qb@I_x0014_+8á_@NÃ_x0005_V|}\@êf`_x0012_VaZ@l+Ö)WV\@¹+å\@G2^(!¹[@æo¶qxìQ@ÝJ=:`@ìò6Lc\@H_x0008_V_x001F_%X@ô¤ÞgGÿZ@Z_x000C_&gt;«_x0010_a@hÌ)l8Z@à³09/«^@Å?nw_x0003__x0019__@Óg_x0002_iX@÷Tú¿Cý\@Ã¢B nØU@_x0013_õ+_x0004_`@1¥_x0017_æV@ÊîÞq°×b@ß_x0001_$òûÑ\@_x0006__x000B_Gó_x000D_)[@»_x0003__x0015__x0012_¨\@ÏP%é*Ô`@ÕBøx®T@Bkª_x0004_E_x0014_Q@$0ùªºb@_x0007_[§ý2a@ÎùËò_x0004_Nd@ËöõïçX@2×Âð\a@_x0011_	o_x000E_&amp;a@_x0008_èr«]@y2PH(e@GBçÐíb@c­È_x0016_²½_@_x001E_6&amp;ô"`@H¾_x0008_©ßW@Tþ®¸¦ça@E!_x0018_i¸ì]@ô¾¬_x0004_[@_x001E_G§jëR^@Ég7Ãö!\@Ýú_x001F__x0014_Z@à_x0010__x000E__x000D__x000C__x0005_c@¼;¾ô|]@q_x0001_@r\@YÕÉ	Y@d:hµkR@je%ãâ[@lKð_x0002_n\@ÍõjX,^@ncÕ_x0001__x0003_ÍY@8_x000F_¾%í_@Îì×UÏ=]@s_x000E_bV4`@ªI\X\@rdêÒÈZ@¼nCµþd@qåMú6&gt;c@õä*(r;[@É»ÝetÏ\@ÆºÑë÷´U@ðÎÖ£Ñ\@jî_x0019_Õ[£X@º$ì$K]@_Ñ_x0013_Hþ`@)åøµQ@Åë)@_x0013__x0004_X@÷`²é+]@r5½L	^@ãx¡4_x0008_ÎW@oªöAÈ»d@_x0005_	qº¼_x000C_d@Ùè±ãBY@X¼~¿RÀ\@¢_x0014_;[@`JjÊ'yb@µ_x000E_Ñ³Â³W@_x0004_à®¶\@_x0002_»\®._x0004_^@_x0019__x0008__x0017_H_x0017_=_@üdl­9§W@¹(C·`@_x0002__x0008_¡biÿlW^@H*jü_x0015__x000B_h@÷ìTêÈ¨Z@2_x000E_}_x0013_§´S@"÷ÞÒL·X@ãZQN_x0001__x000B_c@_x0006_½y3ëW@_x0008_¥©_x0017_ÌU@á2_x000C__x0011_F[@\$ïúw_x0019_d@0_x0014_n&lt;Òçc@ÐÞÿ%X@uúÀ ý_x0018_]@Oð_x0010_ê_x0007_\a@TÿÀè Ë]@£÷)Ê&gt;{_@U"·ÅQ\@:ßúÀ_x001B_Íb@ó=ü2ÓK]@_x0003__x0004_ã,¸Z@³0ÊÃ£^@·_x0003_ñ¢1\@J	_x000B_1ÿ_x0004_]@¿³._x0005_Åa@_x0016__x0007_g_x0002__x0019_­V@®·_x0001__x000B_Ö[@´þÄXM^@ÒG_x000B_rj»Y@_x0019_C_x000B_%ã&lt;\@_x000B_uß;¯}Q@&gt;'öG½_x0008_g@^{þ_x0001__x0005_D]@g¿å&lt;McY@`ddÌ¶^@QTÀ2a@jT.d@_x0011_0@º\@br_x0019_Æºa@òk¦&gt;Y@sÂ_x000F_=^S`@Òè_x0012_ö_x0005_a@xÉ3ÛÞX@úëÝf%`@_x000F_Å_x001B__x000C_â`@_x0010_.SÇya@_x0016_ì'_x0018__@Lè't=b@æo¡Jz-b@_x001D_Ìà¶õ_@_x000F__x0015_kT3e^@Bk_x001C__x0003__x0018_c@Í^T_x000F_MÎd@#¿¤|=ôa@Þpþ'Ù_x000B_V@ð¾_x0015_ãC]@Ø ;_x0001_ÍK]@ää]w³Åa@»r_x0002_£_x0015_a@zÓ._x0003_Õ7^@µ$®_Û_x0010_a@_x0004_ëA1P_@}Xµ_x001C_,_x0010_b@'£zé_x0018_a@_x0006__x0007_Â_x001F_¡÷Ð`@18_x000F_{_x0007_oW@ã_x0002_»ÛË£\@2{îÕjóQ@µ_x0014_ß:'`@_x0011_cG¯_x001A__@äº»2²W@Ô©_x0010__x0015_x[@órØ^_@4_x0011_®&gt;ß_x0003_\@2Ë_x001D__x0008__@è¡Ìêd]@Á¿UE_x0004_a@qØ6A]@|hÔØq_x0007_a@_x000B__x0001_ûì^@éW´æX@~Ïo5øR@¸}o;IÙX@_x001E__x000B_VÎþb@ÌC$ëe¯`@[_x0005_¬_x0019_`@ìðe!=b]@P_x000C_¢I¼`@¤_x000D_6çX@}±RN ]@¥®Ô2áÇ`@Õ)_x0008_ÒÄ¤`@C*©ja@G9^Ùlðd@]íâ_x000D_@(V@#¸À&amp;_x0001__x0002_yc@_x0002__x001E_²«Ej_@ÎÖM6ëgc@Å7vÙ"c@K#@52SW@_x001F__x001F_ó_@«_x0016_Þîé]@ÑÜ*_x0012_]_x001D_`@æ9T÷ÑY@µºÞ[@_x0006_FùÓ_x001A_`@dWr¡+áa@Ê_x001E__x0018_û¿9c@}Í÷~_x0011__Z@_x0008_ddx_x0011_gU@{WÏ_x0011_A`@ÂWÚ¢½ûX@Jß_x000B_æú]^@_x0011_Vîj`@Ò_x0005_­­Âa@Ø&gt;{Ý¸Y@~Ç_x0007_Ë¦a@Èj_x0013_¥_x0008__@à$óÝ^`@[;W¦_x0014_b@Õ§_x000B_Ù_x0005__x0011_]@_x0019_Ù©+~ÓX@úX­`©_x0016_`@¶ÕÑÉ5¸c@þ§Ù"ø³[@Ù-Z×_x0004_\@Ç3_x0003__x0019__x001D_\@_x0004__x0005_#T@Ç¯`@_x0012_)z)Ö\@é2CÇ&amp;ÿ]@p_x0012_2êP[@YQ6RÎ\@ü8Ò w:X@íu*.b\@&gt;9óÑE]W@®DòÌÇ*Y@×ü+©´¢_@G_x0001_¹Þ­éV@3rò_x0001_`@_x0001__x0004__x0004__x0007__x0004__x0004_A_x0004__x0004__x0004__x0001__x0004__x0004__x0004__x0001__x0004__x0004__x0004_ô_x0001__x0004__x0004_ô_x0001__x0004__x0004_ô_x0001__x0004__x0004__x0003__x0004__x0004__x0004__x0002__x0004__x0004__x0004_5_x0004__x0004__x0004__x0004__x0004__x0004__x0004_5_x0004__x0004__x0004__x0001__x0004__x0004__x0004_¢4ô_x0005__x0001__x0004__x0004__x0004__x0004__x0004__x0004__x0004__x0004__x0004__x0004__x0004__x0001_Q_x001E_#ÎW`@É_x0018_T¨;\@~©;z-\@T¤uá\V@_x0008_)Ñ&lt;²]@Ë¼®_æ[@ _x0017_a_x0017_ÊK^@Y¶_x0004_¹¶_@ò5£5_x0001_¨^@Ý¡6fiX@_x000D_3²ã_x0001__x0002__x0011_§`@T¼tÇº"`@&lt;w_x0006_ÎìZ@_x0005_GPn_@©Gqû_x000F_^@ßX_x000C_n_x000F__@_x000C_EIÝûZ@õ3 òí^@WM£_x0004_S_@BZybY]@î2ö= Y@ÍÂ-¯·ÔZ@³qÌ{#FY@_x0016_[ñ(]@)G°_x0003__x001E_@\@Çy,#F­V@îl±Tú`@´0[_x0002_ÃV@çO_x001C_öW~]@¬¼Å5]@t_x0016_DÍé[@_x0013_Éè"_@Î?þ|»X@¹_x000D_Ä0Ø_x0012_a@PC_x0014_/ù`@Y_x001B_/ß_x0001_X@ªaZÞe#^@àÝ{d`@ó_x0012_¤Ù_x0003__@R`Ùê_x001C_\@£Ô_x000F_ó_x0002_]^@_x0015__x0002_Í÷\@_x0001__x0002_Ä_x0017_E_x000D_Þ¦X@:ûâOÆS@ù_x001B_Ò_x001C_%+b@!!`_x0013_S_x0005__@_x0006__x0007_ù_x0019_^I\@Btz	;]@üúr=_x0013_¥[@_x0008_¾U¿·1[@0z$_x000F_ÿ_x0007_[@ãZ Ùú¢]@ÝRö_x000F__x0014__@_x0007_ßhæ_@iÌ¦|¹_x0003_`@çNZÌeÌ`@l÷â§\@w"¼m_x001B__@Ã÷[³_x000F_U`@©3_x0019_ÏàZ@MË_x0008_Dè-[@_x0014_Ãu/_x0008_\@-ô3øt_x0010_\@Ö9è¿_x000C_ô[@%¾_x001D__x0002_K\@/§7_x0015_Ý[@Vn?øa@âÁûÈ6Z@Úà!¥m\@§}w_x0018__@OHè~a[@²e_x001E_æÙ^@¤¹To}LZ@ë%F/_x0001__x0005_ÇèZ@ìã%gÿ1a@:_x0003_B6§ú[@Ñ_x0017_FZXZ@ó_x000B_,l×Á`@`_x0014_&gt;Ò Z@Î_x000D_»®c_@ãÀ¥Yb@^µiNY@¨ÜQùbY@,og%_x0005_\@m{uem]@#å¥$]_@ÌµÛ5wº\@4(Z*?a@ØÞ_x0017_äh]@áÇ(Éà"Y@µ_x001F_÷Ò·[@Òbîw_x0002_[X@i_x001C_,ÙÈ?^@y6_x0015__x001A_(¾^@_x0005_w#FÈ×^@¿¨Åw`@ÐçI²/\@ä]±*7la@ó_x0002_ Ðw_x001E_]@ìtÏ-áÇ`@ÑAÙÞY@läÓ?Îa@_x0012_2/bùë]@iÇÜ&lt;_x0004_P`@ñùê¶_x0013_`@_x0001__x0004_á_x0017_c&lt;j^@CÄ8ªæY@.A_x0006_Ñ_x0003_T]@¤_x001A_Èô:^@úkõ_x0019_Ra@_x000B_ñ_x001F_Bâ`@_x0007_ö!HÌT\@4'¥o`@Ï_x000E_÷Îø_x000F_b@üå ØM_@&gt;¨ë_x0010_Õa@]¥L»_x001E_\@ìæL³Ø[@ìÚÙ4Jb@Ö;mý_x0004_H^@l^ÒÏ7^@&gt;&gt;_x000B_øX[@0³©J]@%Ë_x0001_©±ª`@'¿"ìëV@Ô_x000F_r+c@é_x0018_å)·ä^@_x0011_\¯[t]@¹`BAZ@"M3×`@Ç®ðè`@øeÂõþ^@i¦Ó,Ã\@_x0007_"_x001B_ _x0011_ï[@Ñ´{¾^@ª_x0002_ÏñW_x0018_b@©Mì_x0001__x0003_&amp;®\@v¥&gt;e;7\@ølÃèÆ¨T@_x001F__x0001_ÐÃãÂ_@°Kv_x0015__x0004_^@à«Ñ;ò\@1"¢Ul`@Ä!Ï`s_@J¼_x0019__x0002_¨_x001B_a@_x001B__x001E_sÈRW@ÑÔYp5[a@¼_x001D_Î_x001D_K[@èà_x001A_i_x001E_Z@_x0006_áØaa@õ¿+çwY@$½µ$Ø\@ü»MVpU@átåjGkb@©üÃOV~^@ï}&amp;|54^@gÃ1¢¹~Z@ò_x0018_ÿ;Þ^@xk4²¶^@8s:mîc]@ËÜGæEu^@å¾x|h&amp;[@"mN0_]@âBö4®£^@ií~­Ð]@°À×Ø]ñ^@,D_x0010__x0014_¾³`@³(vI_x0006__x001C_^@_x0001__x0002_ ·uÃÍM^@_x000F__x000B_&amp;õ_x0010__x001D_a@_x001D_]~¡j÷Y@þµ_x001A_î3]@JõôÖyýV@E²_x001B_Ô[@³!ÀÈX^@_x0001_CQÛÞì]@hF»ï¦zX@r	ÿ]ÑX@ÄIôY«Ja@_x0006_%Jãg_@~Êg_x000F_µÍ[@FTx5UyY@_x0005_¤[a@ÈÕÐØ&gt;`@èÿ?»a^@-Ò¼´ßr`@waEÙ(Ú_@dÙé$_x0004_ÉY@6õSú¿a@a`yp²Z@W.·_x001C_c@ÎJ«ö{]@XU*§÷+]@ûþçmñY@0|ÚSØ{^@MÞ¼òhY@Lk©ÿ=_x0001_X@«ù5M`@³Ý_x0004_µ&amp;ä^@/B_x0005__x001D__x0001__x0002_Òf\@y¸9ê`@R¾·Ü¸-a@´³	ÑZ]@ÀN1k0KY@:~¡ª4[@õ`2?¨Z@_x0005_`3þ³\@q[¤ß_x0006_]@&gt;_x0012_ÉwN_x0007__@r_x0007_%×üa@:DÓÀÒY@øç'½[@ð]	ó_x000E_Ý\@_x0012_Ä.m_x000C_`@p§g_x0010_ó_@5,"Û|_x0015__@0·£P}.\@´Àë_x001B_CZ@)_x0013_U_x001F_"X@4â_x0008_½_x0018_Y@_x0018__x0017_b±_x001F_ÿ_@P/¥t_x0003__x001B_Z@ªZ'£b@]»jSc_x0004_a@_x001F__x000D_x_x0011_Ï_@mº²À_x0010_]@9öºe_x0015_X@;I*&amp;ß]@_x001B_£Ä_x0005_	b@sÌeguhW@ &amp;ù4à÷^@_x0001__x0002_2ï_x000E_»$`@¬VÇùX@)	Ó1(ÐW@"î³4_x000D_a@ó-ár®W@O_x0004_É÷^@»:¼bª¨a@©,fª­Ò\@ödû_x0014_*`@_=¾¬üb@]	_x0007_ÇÃ^@h3Ô÷Ç^@¤qB#HX@Uc_x0003_ÒC^@_x0008_¢Û*_x0003_'W@¤¹__x001B__x0007_`@èþìjú@X@Èï/ùno^@)s+Ã@³Y@ø):Ma@_x0017__x0019_Î_x0008_ÐÇ]@_x0004_ÞWá|[@9Ç,H°_x0004_^@#ïÚíÞ]@µ!_x001B_òÓà\@³&gt;__x0002_6_@ÛWzÜ_x0012_ßX@i_x0014_±áP\@×á]RX@_x001F__x0010_ö_x0007_/E`@ö0½ÇZ@_x0003_Í´_x0002__x0004_G7`@ý_x0008_¯÷]@Ð!GìhÁ[@^_x0019_ZX¾Y@ô­KÁ¹Z@è ý\@b_x0003_äÛ&amp;`@~_x0012_o_x0010_iÜ]@´ÀtÆ1±`@©Ô_x0016__x0015_k¥_@ç_x0011_´]Øü^@TcOu\@%ü&amp;¹s\@äwÍ.Ë!a@¶·b@íG#öN_@asoá@:W@{¬è4áy_@n_x0018_Þä/ð`@Ýà_x0011__x000B_wâb@ìa^_x000E_ña@XÙ»Kç«]@`ZÏú&gt;`@_x000D_[æ(r]@×ûÑÌÌ^@.Ú×3:Y@)WDÕÓy\@_x001F_Gt_x0001_`_@_x001C__x000B_@Ý_x0017_^@_x000C_eùæyN]@aP­NS`@`_x001B_p*C£`@_x0001__x0002_ìÍëå+Üa@:#[_x000D_æC[@c_x000B_üZÃ'_@¢_x000F_=ô_@^A\k_x000C_`@=l"¯_@¦ÚÅ{_F]@y°_x000D__x000F_)¥\@ÙÐÞW@"_x0015_©a@ìõ_x001D_5&lt;_x0016_`@c ÞIõÁ]@ß_x0019_©_x000E__x0015_\@\ùÖ_x0015_ê9`@,g_x001D_ãI±[@ø_x001E_Å¿]@È_x0001_ÏÚ}W@¢02Ë¬`@&lt;4ÿ`@23!l7ÁZ@ó%ßzäX@P_x0019_/`@TpË·_x001A_[@µ"C8L`@L?_x0018_R~Ï]@ÊÌOñ]@_x001E_Ö`½_x0013_;_@ËÍ_x0013_&gt;[@Ï×7¬ a@s_x000E__x000D_-ÝZ@=^$ÓV`@Ô&lt;ù_x0003__x0005__x0001_É\@)Ö%v1Z@_x0002_äåðZ@so¿;K/^@Mï½w_\@_x0008_Å_x0002_å_x0006_¾]@·(ö5;à`@6_x0007_Ö_x0010_&amp;a@J°eÒ_x0001_}`@êVþmÝ²^@+î_x0006__x0019_vá_@_x0010_R7ìþã]@Ê&gt;sÚZ@Ä_x0018__x0001_ b@2Äxÿ¯Na@UÔ_x0012_¸Ó`@5pØ¥&lt;a@'_x0012__x0001_ûa[Y@Àv·_x0011_a@£|Ná¥]@_x0007_Ü²IN[@®_x0004__x001B_Ä4\@ªÒF§Õ`@ô´ Dd_x0006_Z@úô§;Òê_@Ãì+[»`@Cn?ú7,_@&lt;|1lÂU@Ó=_x0010_-qV@©JîÖ_x0002_Z@I§-ªs[@ª?_x0008_³Ñ^@_x0001__x0002_?p×Ix¯X@æ_x001E_p®=`@DÉ°ä4ñ_@_x0012_?)õñc@_x0001_YS­_@ÚfÍÁ ;V@_x0014__x001C_úd@»«_x0017__x0015_«^@ý­"hû\@v7_x001F_ü]@1ù_x0004_ø½\@y\-)z)^@C¢É)b`@_x0011_·kØáÅ`@âuÓ%v]@ÄlÉPódZ@ù¦Q¢t_x0011_Z@_x000C_â19\@8#tÄ\@F_x0004_N_x0008_þ\@ØîÃçññ`@Ó¥¾èìÏb@ÑfX=æ[@_x000E_] ÒR%\@èÃt,_x0017__x0013_[@)dsê]a@+	¹ãW@nÅéÑçº^@¬_x000E_Ú0f`@£NRÑó§]@¯_x001F_}k¬[@(ü_x0002__x0005__x001E__@S1¶MÕ_x0019_`@iÓ_x0004_ö²­b@î%ÿÿ0_@ìG»ñ~[@ékß_x001F_¶_x000C_Y@·e6·µ_@à&lt;_x0001_æ\@_x0019_ùh_x0008__x0015__x0016_]@_x0006_²?éa*Y@¨¹3_x001E_¹a@cç ]Nc@û_x001B_Z@[@lE&gt;Ò&amp;_x0002_\@_x0018_-æ&amp;Â@`@ê¤´|®Ê[@ÎÝ?&lt;Å_x0006_a@ñÙ@á&gt;_x001E_`@_x0003_`_x0014_özua@«á8-`@ÿ_x001C_nha¼]@&lt;}'Ñi[@µ¶!_x0013_¦G_@Ú_x0006_ý¿øW@:#0ÅÍy`@r_x0006_¦;,Z@ýb_x0012_GOZ@^¸_x001C__x001D_`@fÁê¦Z@ÎH30VsZ@í&amp;1uQ:X@Tz4bPd@_x0001__x0002__x001A_åÛ0ê\@Cú¤îjbZ@ð¡_x0004_³ö\@í_x0013__x0005_ßÅa@æó~_x000C_Bb@D@8[@]:ðg`@¹öoµ]@_x0013_RUÏ`@û:Á(^3b@Qæ.Í\@_x001D_G£¾_x0016_[@¤+_x0014_Û`@º×o}M_x0008_c@·X6MB^@h¡WI6a@¾³Üåtna@qµKI¼[@4bmZÆ\@á_x0015_¼Ba@]-T$	µa@­_x000B_o¹_x0015__x0001_b@1K_ôZ@u&lt;îð¡[@_x001D_ÔÒYh_@&lt;µ@n`@L_x0019_Wx¤^\@½áÏ_x0015_éa@kw@¿{§_@dÙDí-_x0006_^@éÝ¨_x0013_ß_x0017_a@rÚ_x0015__x0003__x0006_¾`@¹¼_x0018_îJU^@»øÏ_x0015_´W@0íSÝ]o[@8i_x0015__x001B_!V@¦¿ä_x000B__x000B_^@	ÃØ&gt;_x0019_%]@Z²ÀäU@QNò'ñü_@&lt;Õb}µwZ@]!WÕ]@G5ußþâa@îÈ3Ò_x000C_H`@Gc¨Ùk`@_x0011_åÝ_x0005_¯_x001E_^@ûðjÁ`@â6.Ï_x0013_`@·\Fb1_x0002_[@\_û´®,U@¤-_x0004__x000F__[@æ2yºãxa@qUÙ¸ b@¢#p."]@{_x001D_Çc§§Y@?+Ì¨Ñ_@j_x001E__x0017_]@,æ¤0&gt;]@Bh¤S½_@ÉyÜv_]`@_¼ëØ&gt;_@4ËÉ_x001E_Lwb@äÚ_x0014_ü_x0001_÷X@_x0004__x0005_ÿ?*ç1`@Ñ~Ä_|_x000C_]@.Pïb_x000F_`@ç°CÓâqc@_x0014_§©]È_x001C_T@h_x000D__x000D_)ù[`@f_x000B_¸_x0006_`@$_x001A_Eù·`@ãu[[SÊ_@+5=·ôºY@6m·5_@C þ8§ `@éBýÏ&gt;Æb@ÃQù©üe^@L_x0001__AíR@_x0016_ÀT/ÏZ@óý~Y@E_x001D_NpÈT`@_x0012_Xð\a@*Þ@_x001E_§E^@Ó_x0018_¹B_x001E_\@H_x0002__x0002_\&lt;b@ýÝü,|H_@¼_x0002_îh|?]@=_x0001_õáë®\@_x0017__x0006_Ï`¾a@¢j:­ºO@êÙ2­A`@_x0014_Ì"ò£b@_x0003__x0019_c2n]@vX:Î_x001E_9Y@Y¾_x0002__x0004_S^@¦Ô·Æa@~	â]_x001C_`@Tç÷DCb@4ãsT_x0001_ua@Î_x0004_U_x0003_Â&lt;\@Xç_x0007_å¬W@_x0012_u½§S¸Z@ y´_x000B__x0015_SS@ëHÀ._x000E_ìW@Íj_x0002_&lt;ïÃ\@%©º_x0006_ÇW@éü_x001A_ «+`@\.çÌ¦»Y@Øn![_@_x0001_×_x0004__x0001_\@Aþ_x0003_Qq\@cm_x0001_?_x0019__@í_x0016_R7ûA[@_x000B_çiÔT^@ppðU`@ÊÖèÜX@¬dãä\@D£âì[^@_x001E_|ûÅá/]@dy'ló/\@4ðp\c@2åùIK\@¤ê®½Z@£ÏÂ.P&amp;L@¾JzþN_x0007_c@ßÃ_x0003_þ_x0012__@_x0002__x0004_£_x001D_JÎo[@ùF³?¥X@¼¯W)[@ÁXÉE@§Y@IEÒf$ W@®ú_x000E_yRRb@x&lt;u]@ÔbmFÐ^@#Öå³\@]¯_x001C_:¾_x0001_c@á³?c;a\@¬·{­X@¢_x0010_äfIb@®¯âZäðV@9,ýØA[@`"dÐë5\@êSýKUÊ[@´g_x0016_J¦Z@puJ¾¶ï]@äÚC_x0015_6]@¥_x001C_Ûî_x000E_d@3^åëW@ævUà_x0007_Y@tK(8`@ÊÏýB[@_x0003_Ý_x0006_}õ¸[@;_x0016_KPPS@ôó_x0013_A_x001C_·V@_x0002_wo_x0003_í^b@_x000E_­Mðã_x0018_b@Ù÷ËZÃ_x0012_Z@ê_x0016_jæ_x0001__x0002_µ0a@M½ÓG	a@Í/_x000B_ïV³_@ÜÓ'/)¾^@ü&lt;ÎW@sÞ_x0010_@_x0006_a`@n_x0015_1_x001F_Ò`@0Â3a`@ð{Ð/R]@òà¸Dc@IçZüíc@Ánd6_x0002_@]@¿]a}_x0002_\@üh`_x0006_!Y@|¾V7aX@¿­Æ_x000C_\@ñ)Q¤?S@¡ûA!­`@å_x0003_Æa&gt;]@`_x000C_©õô\@|P¥©Ø.a@&gt;4_x0018_Ä¬q_@eÆ b@}%êr_x0004_X@4YëM¨_x0010_b@ú÷ëÍY@_x001E_;ÁK_x0005_á^@vÍ=f2`@¤¨×NÒ\@	Sf¸°Z@û¤YðÈ]@¨Úã§¹[@_x0004__x0006__x001F_=._x0019__x0008_a@*NW{_x0014_þ`@:ú$Ïa4W@_x0002_TiLCuc@y_x0003_Æ}_x000B_ä[@¾á£þû§`@_g=ÈFb@;·|9[*[@^¯_x001F_ßs9V@ÑhÍ_x0016_÷b@__x0016_×É_x0003_þU@k_x001F_Qç n[@¢_x0012__x0017_àZ@|_x0004_¯Ú¶[[@ClÛ úa@æa_x001C_tÞ@N@!k&lt;K_x0019__x0001_g@1ÿAÝÇ`@iI;WD_x0006_[@§á_x0016_}§]@¶_x0012_¶Ä_x0018_.a@zUOéÂëa@ÅQ^¹hbW@v_x0018_"ZhzU@é¾N_x000C_X`@úë_x0015__x000F_®*^@}]	&gt;ìe@o4@z=ÑY@__x0012_z+W@;Ò._x0005_BêU@RUdn	Ã]@_x0019_&amp;¨_x000C__x0003__x0005_Ê¡]@£±ß%_x0017_Y@f]Fm¼[@_x0005_ÐnPÓ`@==_x0018_¶ùÚb@pJµ$²_x0012_Y@=ç)Rub@m_x000B_ÞnW@Q &lt;:¡[@_x0010_bA`né`@:_x0002_´BÁR@½£DXu¬^@0·ÀoLÃV@xüFÚßYa@_x0004_Þ_x0015_â&lt;Y@DRT}H]@_x0007_)®*\@×_G«[@¿ÕuÌå\@(T	Òß`@OúóÞTÒ^@ÅøF_x0005_Ã[X@áWDÒÊ^@Ýqj·B¯_@æøû5ÝX@`·Qÿn`@&lt;3ÐÊò`@©_x0001_CÛ2`@þÑ}ëú:_@ImÃÙè£^@ßn×y0X@_x000C_(_x0011_àñÙ^@_x0003__x0004_Ø2_x001D_&lt;ð:Y@J,_x001F_9R^@±Ñpö¸]@Ú0ÛµSþZ@ñ¶Óy¹T@_x0015_MU"ö_x0010_Y@¶ÓM9*1`@_x0015_¤¹mª`@¶LMá\@$)=·UV@_x0019_FÙ^@¼_x0006_þ'_x0002_Íc@¾gâ¬]@,ú_x0001_ô´[@¤_x0005_k­7_x000C_`@_x0014_ÚáM\W@_x0015_VÌèb@Ø2nL¹V@Üû_x000D_½(e@½&amp;ûÄz8]@£v0 Û`@õ`ôªè]@'äHCõ`@ïý#ÌnVZ@²n|"UT@¦×_x001B__x001C_A]@_x0010_dÁµ´_x0008_\@g³vthl`@_x001F_'_x001F_Õn]@ä·p_x0016_»]@ø©_x0016_² _x001E_^@_x0014_ka_x0006__x0007_®p]@#Y#Aé[@©L7­S@_x0001_z@_x001B_,]@¡z_x001C_Þz`@`ÿw%fö_@H}Ã³èÖc@NòïyUZ@'Ás®:D]@&gt;_x001C_¹D»q]@×z&gt;UÔb@_x001D__x0005_yðø]@_x000D_8Úï^ç`@Þ_x0012__x0003_&gt;q^@roÅqC[@¯µ_x0003_Kô,Y@_x001D_â4_x0004_zY@&lt;ÒßTJØa@â%6ÌSj^@ÅàXµO2c@Ì~ó_x001F_&lt;p`@_x0003_4r_x0017_¦D^@~¬©cX@S½Ô-S@ÖÛµ(Ì`@}x_x000F_Ò¯U`@û¸(°_x000B_YQ@ôH6q«_x000E_^@ô¥7vg]@T_x0002_êVÇ]@M_x000E__x001A__x0017_KS@¬Ã#Ê_x000E_b@_x0001__x0002_®@íµÃÉW@-_x0007__x0013_/)f_@õQ°_x000E_#_x000B_d@éÀß6º^@ôÑ_x0002_ñ?[`@:Èç'e@X÷È_x0011_´]@§0ü8+·[@¤úc7UT@Æ-pÅa@Ñ`LvV@Ó;xÇ	`@nlcF_x0003_Y@®_x0006__x0001_Bd`@ä/êýNS@©Ul,_x000F_b@Ý_x0004_(ô=_@Pì4|á_x0011_Z@+àä Â&gt;[@æ¥F±½_x000F_[@ :éXÕà\@c_x001D_nîÀï]@Ú.rúÎ\@P_x000D_o£lX@i¡4iiPM@ûU"sÖ_x001E_b@«ÊqüY@°03Åà^@·|¬C^[@¡_x0019_©G=x\@çèj_x0002_	[@Êø_x0001_ô_x0002__x0004_ë³\@¨,âë°ä[@ÐZ*7F_x0005_]@}µ_x0010_Ù_x0001_a@ã¶_x001A__x001B_K`@`ÑÄ ¶_@Fà_x0010_Ù?_x001D_a@_x0018_ó;_x0001_ýT[@©Ã_x000C_ô¾`@ìcô`@Éª-P_x0003_Óc@ô'M}ðb@µÇH©_x0006_ÕU@ÎnÛ{ê]@¯¤_x001A_$m]@,ð_x000F_ì«_x0001_c@ùêbôö»`@_x0004__x001D_ _x000E__x000B_c@?~dbÅ&amp;a@7¿íK¸E]@wã;íLè[@_x0012__x0004_CkÀ_x001A_X@I_x0008__x0003_þ_x0005_ÕW@73t¥­È^@ø\aHhì\@y7âðÓY@\k¹gµ`@&gt;fDÌº]@ÈÎÅ\åc@»ýWÆdW@CeÍÿK_x0012_b@A_x001D__x000E_lZ`@_x0001__x0007_J»ºÛb´U@Ô_x0010_à1|`@t¼ªt_x0002_.[@ï(Hqüð`@Úå_x001C_(ö/V@ñ-c®ì`@?_x000B_úv`@¢&lt;ý_x0017_Pa@®£|~ã[@jY_x0011_þ*ªa@àÿí_x0003_?X@\­_x0005_+!^@»zIqVU@ñ«¶ORz_@ðvgáb@s¿ÆsÄX@&gt;¶´*ÝT@Â²üó5.`@q_x0011_}1FLX@d3ëµ_x0006_`@Òò5¥H_x0018__@x%ïÊÒì]@k± Ë½]@ù"m¶K]@øQ_x001E_¿r]@øÒé÷_x001E_]@÷µ_x0011_H½å^@z_x0010_d_x001A_c_x0004_a@m¬ÒG_x000D__x0013_`@®ý_x000B_ý]U@¯]ÄJù	\@©_x0014_@_x0001__x0004_\@UVî_x0010_zA`@Y¤ç¦y_@«R³X\b@°äD_x0004_ä·^@s÷o¼^@î]Çú_x000D_a@å{CÛND\@r·Ø¾ÈZ@É_x001E_]OÚ`@¸~¤÷_x0005_&amp;c@Ò4§ß_x0003_e@z¢²ûH3Y@²¬Í0_x0017_ba@^ó_x001E_Õ_x000D_c@¨ØþÆôh[@ÎîóM_x0008_ÏU@õØÍ`qa@½í÷Oþ7c@(ª?ºOU@@ _x0013_Ø!a@·¸dSý$]@v0æý_x0001_&amp;^@¥?à_x0015_W@~ÊHþ×_x0015_Y@p-§_x001A__@_x001A_[¿KÝ_x000D_Z@Qæ÷÷8^@/v0z0_x001B_[@ÑyUõ_x0002_`@_x0003_Òá_x001E__x0007_?a@ïÝ5_x0003_¼`@_x0001__x0008_E9c÷²9[@qc5Ð_x0004_M@_x0014_Ø_x0018_Te@$Qïsa@ÑÜÛí\@Í¨S©ÏÉa@tRr_x000B_N^@ÏÐ©r_x0010_[@¼Ï.nÂ_x0015_`@åóæ_x0005_Áàc@_x000B_n¥TÓb_@öÃô_x0008__x0011_ÙS@#~þ$­Ë[@_x001F_bÄè[@_x000E_ÔÃÖ,_@wi¥Ð§\@ã6Ç_x0003_Û^@·ó_x0017_ÿ_x001F_f@Ö¤ÕhTjU@düïx×å]@:_x000B_nÕô¶W@¾ãW_x001E_Tb@é£Ô5ý^@Ì?â¿ßX@¨Y÷JQ_x0007_a@ð_x0008_»þ_x000D_¸Y@£Ú_x0006_[ÒV@ (ûrëàe@iË6zMßa@pÉ_x0018_Ía@S&amp;_x000C_Q_x0002_G^@?æÕµ_x0002__x0006_üaX@7_x0010_¨p_x001E_U@§R_x0002_ÎZa@:iJmkW@Nt_x001E_&lt; _x001A_`@èiÏâ\@¬²!îþû`@kVx_x0003_Ëd@_x001C_Û\ÛÃ\@_x000E_óÛîS^@(L_x001A_#×a@}	n©N [@7âyAF}`@áââÙwc@7_x0012_ÙøÝ`@î®h,_x000C__x001F_b@Ò×Ì_x0001_¬]\@ºgR#^_@]jeì§c@QÝ	Àg]@_x0004_çÖ"]W`@°DL§Á`Q@}ê_x0002_ïº}[@ÒÃjëBÐ`@òJvàZ@ÍÝX´ð_x0007_Z@/¬X_x0005_^@zqëXÚ§b@]f_x000F_Ð_x000D_~a@!ý¥OU@_x0004_w_x0014__x001F_|û`@&amp;ë@cf_@_x0003__x000B_ã%ñ_x0012_³_@Q}_x0008_8_x0001_W@/½µÆ.-b@_x000E_ÕB[[@|½lLËa@_x0005_Ò&gt;À`Ea@×O	ÈÅb@AÝÕ¬Ú¼]@F*NÄ^`@×`ï_x0005_#Mf@_x000F_ÐóOW@':Ë!_x0006__@B·×Ô_x001E__x0007_^@ÇH¦³p_@J9òèÔÃ_@iczMè³b@âÌâ_x000D_Q_x0018_c@úÏ¡¶*a^@_x001F_A¨¤jX@·ÈN(_x000E_&amp;]@øwÞÈ3Ì]@O¬Uú§õ_@Ê.	_x0010_uZ]@(_x000F__x0004_H_@_x0002_TZÌ©`@f:7_]@_x0006_¡+],Â_@6Ëu$å_x0019_a@ú_x0015_3îÊÓ[@oÅB_x000F__x000B__x0002_W@QN:|Æ`@q_x001A_^:_x0001__x0002_ÂÔP@Ã¦¨d_x001A__x0017_b@÷_x0006_Ì­Y@fëÛWS@-Í$Ua@FÕ®U¾S@b_x0001_!«`@ïÁo_x0010_c@Ir_x0007_üî\@Å_x0015_Æ_(]@_x0014_Þ&amp; ëV@¾g¶Ð[@&gt;#] 	a@Ý¦?ùFX@r_x0015_pÇK@ó4s_x001B_HÿX@`ò_x001C_4Åðb@ñ1ï_x0018_»a@Q_x0012__x0004_mÑ_@ö_x0015_LÚ÷^@_x0001_è¸5¬Va@_x0008_6;ZO	]@_x0001_¿ëÑky[@Î®ÓËEOa@JLúõ-b@q=v1W±^@B²IjÅc@Ý_x0016_×©­\@k+§À¤Ð]@#v¨FvÂa@,/Åq¡`@ñqÎ98b@_x0003__x0006_êó@_x0019__x001E__x001E_S@!ØM_x000F_°b@Å_x0004__x0007_`@ÁW¯üu`@¿_x0001_ô_x0006_»õa@êÎ8Â$Z@Z¨Î_x0007__x0019_þ^@T3Eäd_x0002_[@{n{bPód@åµ_x0008__x0010_ß`@îå _x0008_AI@øâk_x0019_âY@&lt;«*ùAV@Üªïv|(b@R£õÂ£U@(ëÚgö,T@¢5L{_x000C_Z@OèQ+Í­\@_x000B_)s_x0018_^@¿ÄD4ö»_@÷¼Q_x001E_4{a@GwD:;_x0005_`@µÙU@_x001A_b=@a@å%Ü^ñÙa@±_x0010_4_x0006_o`@1_x0005_«ä¡KY@àH©_x001D_Ó[@;Da_x0014_)4^@¡Ù»T@þW@_x000B_Âr:_@&gt;À_x0001__x0002_-´S@âIPm¶-a@_x000E__x000E__x000C_N¨V@Y\¨ra@8;_x000C_J_@'w_x0002__x0008_.Á[@_x0015_ÜÊ%_x0019__U@s_x0004_þoþ|`@!ÃÉ7kE]@ÁêØ_x0016_cY@_x001B_(rq_x0007_³`@÷:S_x000C_¬Hc@ª#_x000D_¢\U@Õ¦@_x001D_é°V@5!öñ_x0012_d@?pÔ¨_x000F_^@©õ¡Ù^@aÕUï.ÄZ@j_x0010_ë¿Ãa@B_x0007_¥-Ç]@ÔëôAÇ1[@o0D]E^@ñ[1Uö^@.V&lt;å=Üa@&amp;ôÍDØa@æ ÌºÌ`@?N²AqîX@ßêá7¹\@.è²ß3ya@²_x0005_+èDLY@B93_x001E_6\@r½0_x001D_\@_x0001__x0004_¨5¤Ìõ[@rÆ¶¾Ò§X@_x000D_Ù#_-:a@%%E]@þ_x000F_Å«ú`@Î¨ÎÆÅÞ^@ð_x0012_;_x000E_'_x001D_[@c@THä_x0003_`@N[&amp;Ì@^@oA½ ¤¼c@\y=9£_@lãuEÑ_x0016_X@BG_x0011_Sð$c@fèP-]W@^ÌI­_x0017_y^@Ïú;ª^À`@Ô«_x0010_Õ_x000C__@¤F_x0005_. H^@0ÀFªÅ%d@Q,*_x0001_$_x0001_c@])ýz¨S@z¢Ö¿û_x0010_Z@_x001D_2_x001D_\_x0002_Z@ë\ö%_@3oÈß^@i_x001F_!3mýa@ú:³Y@UßÂóQ²V@?ü²Ûá-\@&gt;é}K5ç]@«BÒx_x0016__x000D_\@_x0002_Lsg_x0001__x0005__x001E_ìS@Ýø¸ØÐo]@_x0017_âÎã©^@Y(_x001F_&lt;®^@°_x001C_G_x0003_Ô÷[@ÇÐYÈæx\@dêÏ_x0014_tc@øó4hÜz_@S)Ð_x0008_ÑF]@â÷çZêZ@­£Dç&lt;c@BYËL_x0008_\@',kFa@sØEÀU@¿áÒÑJb@ýÓ?I_x0003_gY@\,-i_x001D__x001C_\@~á®QË÷`@î7ú_x000B_Y@a$tXúma@î_x0018_¡úpOb@[Ñ_x0001__@ÜZ}ôÊñc@[5_x000B__x0004_Y@­_x0018_	_x0016__x0019_[@óDYÒoWd@­ùÝvÏY@\_x0002_µY_x001E_`@èL÷4JÍT@¬¤OÍ`@âÿ6b@_x001F_gêïH%_@_x0001__x0002_cãKÕd@f_x0002_¶Wò\@@rÉ_x000D_âQb@ëàÝÿ«\@_x0008_ _x0001_äð`@kU_x0001_'í]@Mö.tt\@We&lt;OÓ_@=Û7_x0016_èV@_x001C__x0012__x001A_îÂâ`@Å-_x0001_]_x0017_b@w_x001D_oß[@ä_x001B_Iþ§_@6Y_x0013_e_x001F_uQ@Nå°A_x0018_m[@¼»UÐ_x0006_c@_x000D_O!ÍöX@&lt;ÁÐìÓg`@0I_x0010_aÞ_x0017_b@Î:¡x¿ö`@/µRÿ2_x001A_W@Ò×f°Òd@×_x0005_G¼ý[@_x000B_L{§_x000E_^@d|æÈ4ð`@|½1Üà(`@Ê&gt;ÄGÐwX@p_x0016__x0005__x0004_1X@Îê¶«wøb@¦Äu!Ê&gt;X@¼7Ü¤éa@®×ì_x0002__x0003_Z_x001F_V@~=_x0013_ÿp^@	½²_x0005_¡¦`@_x0004_¼½8[@Õ»rº_x0007_Ì^@_x001A__x0003_6p_x001B_VY@ÝôÀÁ`@mZLG÷d`@_x0019_³ô¥Z@`_x0014__x000D_ãP\@_x0004_g QY@§@@3¼^@B(Õ_x000B_3ª[@fý¬ý_x0004_,\@äz¡&lt;)ðW@&lt;mHX\@_x0016__x001A_wÖw?W@~§_x0005__x000F_Y@û¸GÖ_x0011_Ê_@iz¬¶?[@Õ%@_¼T@¼»ñg¦[@&lt;wÊÖ_x0007_Ub@âØï._x0001_Ø\@BÔÒ_x0002_[@º©v£¡R@JíÏdÇ»a@_x001D_ã&amp;EOhY@_x0004_û~`÷a@y »&amp;_@Uúô_x000C_ö^@1v.!iV@_x0003__x0005__x0019_=Nl´_x0015_c@B:s=égY@ÃÖGÆ_x001B_d@vÈ¢jG_@Rc;pµ[@Q_x0012_üÂAW@¶'/¢_x001E_X@_x0008_&lt;¡_x0001_9Y@e8p-oY@gÉ6AÙc@&gt;ÿt¯*Ñ`@l5Ì÷$O^@NTÐ(¤Ë`@_x0002__x0001_Ée_x0003_æa@¨_x0018_G¼_+]@_x0010_L'EÅqX@êÐy)&lt;Z@PØ°Ï¡[@eTt6g²[@2øI_x001E_®_x000B_[@ ºûs_x0014__@ ÆÙA¯^c@kIäV{[@ã_x000C__x0013_X"&gt;a@^:_x0001_}K¸\@,Í9:£á^@èµ-"uÿ\@ô6´o_x000C_`@¶_x000D_×LPÎV@³±µ_x0003_¶[@¶f_x0004_úèL\@ªí_x0011_î_x0001__x0004_)ÊY@!c_x0017_(w\@£¹(_x0010_`@úq¶"_x0006_a@ä_x0002_èÓ.a@ßo}Èb@?±k_x0001_a@qÃaë°X@_x000E_ÔZÐ+b@_x0008_°¬_x0004_ÿa@ê_x0007_¿·7.Y@iZK5Ø]@Xè´w×ï`@õËÑ_x0010__@ëT êW@\u×æá`@GFu&lt;ðÜR@u_x0014_ôÐ	a@uçñê¬ªb@æz_x001D_0}gW@_x0007_¾ù]@Ë{9GÀb@_x001E_¦&lt;´Vê]@Dï_x0007__x0003_1]@ÛVdÄ¢Q[@â@ê9¥S\@m~®ËY@Ö¦°#"b@_x0011_x7_x0005_Z»Z@ÓÖ*Ì"^@Õfì´}[@Äö¦__x000D_]@_x0002__x0003_vxL&amp;_@Hýî&gt;iæ]@w_x0013_7rìÕ^@ì_x0010_ÇûÖY@Æa75[@G½ÏÀ5`@ÌP(Õiæ]@_x000C_ÂÇÁT@i&gt;dÔé[@Ù]Ë_x0003_:_x000B_b@qÉtÓS[@£EpCY@ÀB_x0006_S=\@°_x0006__x001A_ìà{V@éÉ/_x000D_Ó\@Ãì¢íËÑ_@Æêdnïá[@ÌSîÂþ_@"Ay_x001C_§à[@Íy¤^_x0006_c@h_x0017_à ç÷\@1U:Ì¾~]@Ä_x000C_iQÙ?b@ÎÅh´ì_x0019__@aidI¤`@h)_x0001_¬Ù5b@à_°Å`CX@k\4R_x001F_T@éî§yúÁb@»çè²4a@*%Yàd@¢m$_x0004__x0008_ÿþ]@(Ë/_x0001_Ø\@_x000C_ªõ¬Ka@zj¯Ô{±a@»+Éù?í]@ª{+nc_x001F_P@R&lt;ÀbÈ{b@_x001A_,¾_x001C__x0002__x0005_]@"O_x0001_GkRZ@?4¸â_x001E_[@AvÊÀz`@opÃ_x0003_â_@2k	å5_x0001_Z@Kv_x0007_P@£_x0014_¯á9Í[@ºó@íb@J_x000D__x001A__x000E_4_`@_x001C_aÍÜb@_x0014_¡ñ,È\@;N1ç_x0017_4V@"´d}_x0006_V@^Ëì_x0014_c@!Êa§«\@C¢÷3y`@Òf,P_X@ÍXÕÒ`@LHâ°&amp;,X@¶(ÃÂ`_x0012_V@Dm÷q®_x0017_Y@ã!l^@@Ú÷Ha@ñ]uû[@_x0003__x0004_ÂöîÁX@&gt;Åßù¢K[@Vc&gt;3ß¦W@	_x0003__x000F_éé°`@ÀSº»._x0003_`@~_x0004_À.×«^@_x0003_N_x0011_~ük]@Ù¶\_x001C_$Y@~s_x001A_°)a@ZLÉÆ[@"×ðÏ&gt;c@.¢%Åä¹W@¼ä5Å_x0002_GY@(Fdõe\@Ýð?Ò_@-Cvå¤\@ã_x000D_¯º×Ua@%j­_x000E_`@¡_x000E_vd`@_x001E_mÑ®_x0002_º`@¸ñýæ_x0007_Z@Û³§F_x0012_a@IàîÈÜc\@_x0015_í9¤_x0014_V@$£Í¦è;d@Ýÿ,_x001A_Äåa@)_x0018_û*Ã^@]õåû+Êb@y_x0003_\+_x0018_Á\@´6yÐÒ_x0001_b@_x0002_2ç5\@îâP2_x0004__x0005_ÙE[@Cg-Rè¡Y@$II_x001C_çb@¼ôøÍ,ºV@¶à·ÅDd@ùíÓÉ_a@Ì9ßUâû`@BzdÿøT@,¤a¦öQ@{_x0003_SØ^@0Tw©G[@j_x0006_]@ÝÀÃ£À[@^_x0005_¾hØD`@_x0002_7_x0002__x001A_\@#´¯È­d@³Cf%7b@Ëååå¾¨T@¢VÚ_x001B_Âg@EùR9V@·®ªý]@u_x0004_«|Ó]@ÙØ_x0017_Y-X\@p3[åVY@{A_x0016_&amp;É`@­ÞN`@1RPUÇY@_x0001_Wê _x000C_V@¿m_x001F_BEV@&amp;=¥._x000B_c@u\ÎÊ_`@¦×cV\@_x0006__x0008_P_x0002_^Ï_x000E_^@¥+ø_x000F_J_x001E_e@_x0004_\wH_x0005__x0011_Z@Z_x0011__x0008__@¹h×K_x0010_]@¿Ãf´©b@v¡_x000D_Z_x0011_ÏZ@_x0013__x0015_sÊY_@õ_x000C_ñ_x001A_º_x0017_b@J­¬_x000C_Vò[@=_x001D_5ºL_x000C_[@kÐ+_x0014_T[b@_x0005_!]-]@§G4_x001E_,'c@_x0016_bÉ¼atZ@HÁÛ+O`@ñÈÞ^Y@fÏù_x0015_+^@`¸¬èö[[@±ïé«b@E)_x0007_¸_x0003_[@ì±#+öb@Þ8ß_x0013_¹­e@ñÝ½N_x0015_]@l_x0014_h¯e]@wX¼öÚZ@BÕgZ@ðõ,ô~É`@ð_x0014__x0016_k7Y@)Á?_x0010_|j]@¸_x0001_¤Ó_x001A_`@Ù®_x0002__x0006_e:^@[xå|VY@ÚÙV	a@W_x0001_RýÊ£\@³ër_x001E_Ô`@ElÍ;~Z@ÓO_x001E_¸'[@)Þ¥|o]@~_x0002_´h­W@nµ¶ã_x000F_uY@ERÙs_x0015_W@_x0010_*(MLe@_x0008__x0016__x0016_n±ÝY@,_x0004__x001F_ªuW@%»_x0014_µW@_x0008_x_x0017_²gb@NJ_x0010_ôâa@®_x0008_ÚPX@G~³\".`@P'É_x0005__x0019_a@S_x0003_è·àC_@6Ø_x0019_§.ë_@c_x0008_È"ºZ@²Õï½ø#Z@¬_x000D_ïø£Y@j_x000B_j~ëôc@Y6XÅeX@ÉÌt¿Za@ðòL£Vd@×Zñ_x0018_»ÃV@Ê2ÉüeÔ]@¬;Xn»b@_x0001__x0002_HÊ_x0004__x001E__x001A_`@ÎÛ&gt;ì|´a@.._x001F_\_@_x000D__x000C__x000D__x0017_ä\@Ø?D`g`@'Ää|tb@WÖrÐ`@Îî@_x001E_%Øb@QË&lt;/O2_@ê]_x0004_IzÈX@É7ëþ6_x001F_b@÷_x0001_%9_x0007_þ`@Ü±¶`'Z@+=6{X@-6û¿U@¡1óÖçU@:7_t°X@"?_x0004_+=_@íä\_x001F_=U@[_x000D_Å|-3b@_x001E_¤Ûß3S@b-n_x0004_&gt;`@À=vJ"a@Î_x001F_uEÇX@3x?Å_x0002_ß\@Z;v{[@%M_x000D_|`\@ùÂ8_x0019_W_@\õ|®lR]@þÝØ[_x001C_Q@¸US__x000D__x0016_V@âEûI_x0001__x0004_Kvb@&gt;]V_x000D_?c@yEºÎ¹_@í2t&lt;´T@_x0006__x0007_ðY@å'"nÀUW@×Á~Jðo`@ËØ´á&amp;_x0014_[@55î_x0017_Ý\]@¢)_x000B_¥¯»]@Yk°³¹b@ê·q?¸Q[@_x0018_öoÉóma@-·ÀÔÒX@Xáè¾y`@bÙ|=Ìke@Ó¾w]T@Zó9O_x0002__@#a¥4ßQ`@­_x0012_é]&lt;a@mpµ§^@³òcU))[@_x001F_d ~º`@(a¹_x0012_åé\@¸_x0012_ÇÉWOa@_x0003_ÐiVQ3\@Hóö`R@ÜpÁ×£]@¼_x000F_¾%F]@Zp8j|d@ØêÅ_x000B_Æc@/Þ «×JS@_x0003__x0008_¹Ì[W_U@æûUG_x001E_\@°_x000B_å7_@YéP_x000C_v.`@:äNÚi`@ßQ&amp;¤mY@7ÍÏb_x0005_^@Ê=_x000C_DR_x0007_b@_x000F__x001E_`Ó`Þ_@`-Y:¿QZ@-á_x0006_j¦]@&amp;ÖÛ_@/Í¼:.*`@¾°¬_x0010_Ýì`@Í[ðR_x0017_Æ]@ _I®_@{Pùu8_x001D_`@Ýþñ×R@¼_x0001_ÒÿçêV@Z9a¡:_x0002_\@úùL«z&lt;Z@_x000E_;À^uX@+L4rU@5J=_x000E_Ó^@9MjZ@k$RI/_x0011_]@¾P µZ@ÒXvSüK^@'_x000D_¡!_x0004__@=²8nÎV@&lt;6j0Gb@IÜ#^_x0002__x0003_àï`@ÚyàFW@ß/Ë£7à]@©Ë^ºB{[@¼_x001E_'®DX@-Y³i(¬[@Nc®Ü5'W@_x000B_cï¬9`@îUøYW@O¶SWÇýQ@èYjuYe@Ä Urá_x0001_a@âF=_x0018_W@è´«ÛmS@_x0006_Þ_x0003_¥]@:_x0001_YdX@ÿÚ,Í_x0003_X@rÒ_x0010_Ø3äa@_x0018_e©b®´^@wÃq£q»d@è_x001C_Îç\@9§%Òab@úÿk=_@Öã÷²b@¾e§f¶_x0011_^@ã,_x0017_}7î]@üÄí'"`@ä_x0012_öHú[@_x0015_û_x001F_û\@;4ñ×ê\@ Dk÷Z@[Féq¢]Y@_x0001__x0003_Fÿ#RXc@_x0002__x0006_Ï_x0019_`@ _x001D_£8W@Uõ²_x001D_F_x0007_c@\Ùywo[@;Ç_x001F_[@Ð_x000F_p_x0013_NR@_x0018_ps±DàV@ªÏ_x0002__x000D_Aº_@ò±Ô·zèZ@G_x0018_±NS@âr_x0004_Íwa@_x0005_tÊv'&lt;U@_x001F_Ð¼Õ½]@³_x000F_èzb@5VX1ºª]@eÖ¢¤dÑ\@ ÿ®b_x000E_W@AÓN_x0007_a@æ_x000F_½o_@'{V£_x001A__@3ºët±`@~_x0004_«µ_x001A_n`@_x0007_«¬¢:[@20´P{¬V@o7_x000C_%_x0013_ïW@þ§ôêÛY@83B]_x001D_^@!Ìíe¦_x001A_b@_x0003__x0012_¾Ë_x0002_;b@©_x0011__x0004_'z2Z@Äh5_x0001__x0003_¥$a@ä#lsõ[a@D_x001B_¥_x0018__x0004_a@2Ã_x0003_.íÐ\@t_x001B_6Æì`@8_x000B__x0012_icïa@õ_x001D_Ýé]@½.ÝÆa@¦_x0002_HóéÛa@tùÙwùJT@Àìý=éÐ`@?iÏ­_x000F_\@Î`¥éJÚ\@V#^&gt;J'`@Î·ão9\@Òhæ[[@à4ö³!c@CÓé_x000C_è_x0003_b@H²M?d¹`@=ÚzQ_x000D_[@Qx¿TZ@oÀAÿ¬_x0019_`@¾±FTÏå[@L¾®4Ù_@Íµ¼&lt;£Y@aüÖ¥Õ²W@_x0002_ý_x0001_ËF`@DMÈ«8NS@?_x0005_£*_x0010__x000B_b@¸%_x0018_F¨b@3÷¨]a@ó,cßùW@_x0002__x0004_í%T}|í`@He«_x000D_¼t`@_x000F_¯aô.V@_x0002_É_x000B_EaV@ÐÐ§Ãæ3Y@à_x001B_ÀâÒ`@(¥n®:_@9#sñW@¡d/=hWY@ð«8"_x001E__x0015_P@4ò¾íd¾[@_x0015_._x000B_íZ@èRx=^@²2Þ$B»b@6_x0008_Û8bb@Wtø}Ë^_@H!_x0003_~_x001E_IU@²_x0005_ÙÚÜ/c@Å_x000E_~_x001C_BÔ]@ì²û¹Q@ûo%_x000E_8b@y&lt;ÓEÇa@_x0014_¹ßN¡a@cHÃñÊQ@¤{7_x0010_d@mm_x001C_|öÏ\@.~òú:g`@­«%V_x0004_T@6E³T`@t_x0001_ê|DíV@I/_x0018_]@Ä¶³W_x0008__x000B_3_x0011_Y@.¯_x0019_­_@_Q_x000B_'¢W@t©*¦Tc@	Éùë]@Í¥2_x0012_a@ÆÓ_x0013_Nw]@Â½IÃô`@ëÁË¸]ia@¡_x000B_ÿjÝ«_@-wífMW@3¶\s	G^@Öf_x0005_däU@HE_x0008_êÃªZ@u?ä_x001E_`@l(o¢ã]@ÒË_x0003__x0011_ÕÞS@}KIX_x0007_AX@&amp;¼_x001E_#Kc@® èM³ß`@'_x0004_a9¶A^@e_x0006_Ñ_x001D_`_x0005_[@_x000B_äØF¤Ub@Í_x0010_`@9üä]@H_x000F_Þ×qc@oê¼_x0008_ÏÏ_@ëÌ_x0001_ß'X@¨ïÂí_@"Ã_x0002_6P_x000C_[@_x0013_Áuý?êd@_x0006_À¢]@_x0003__x0004__x001A_&gt;Ä]@_x001C_8F]h_x001F_X@Î¡_x0001__x0018_À_x0012_`@sqW_x0013_G]@´_x0003_çX@ 9NT_x0008_^@?¢xV¡ï_@Ö°KgØ\@UøÓ&amp;qa@?Äl_x0006_×`@@qÀ±²^@Ëç$ÌiÿU@@üÙèÚX@'xÌgZ@$Büæ9U@ª_x0008_k¼[@¤c¡#K[@TÎ°ýra@ÃE·¦fýV@ÇÞ9_x0010_:X@]¾_x001F_]s]@î,ß_x0017_c0a@i©6%Áa@gÕ÷½Ó_@_x000C_I(o8J^@G_x001F_§åÊ_x001E_W@_x001F_ÄH`$V@àkAïLÂ]@ÑóZ_x0014_+`@ý¸}:_x000F_`@öÑL_x0002_ée@Tj(ñ_x0006__x0007_0¿[@¼2cíòa@Ð§¨_x000F__x0016_\@=ÇT¥¢P@L'2Ë4æ_@ÝÇ2Ô_x0003_L_@"³+ª§VW@PäGLÕ^@ ¤-"D-b@Ðª¬Kûc[@_x0005_£è~à£Y@Qo¿è_x0018_d@ª_x0002_øÌ~U@!_x0018_kñãZ@Z_x0019_dêP!a@H_x000B_(ÐTä[@_x0014__x0007_ü@_x0014_`@t 4ßePe@&lt;qzæ_x0015_q_@å*_x0001__¥|_@÷÷!WT@'8ï_x000B_´]@8¿:xèW@_¡Ày¨^@_x0018_-Gw9]@5¯_x000F_xÖZ@ÍöÔ'3NW@å´rä_x0003_d@.;_x0004_ó]ÃW@Ã"¿}ÑÅX@_x0012_þsh_x0012_\@=»JY@_x0001__x0004_¤ÂÀYt«Z@`¢Ï\^`@P%â(X@q~÷&gt;]@?_x001D_TßørY@Þ×øôÌc@Ø¥åIBP@ïY]à_x0018_]@ö;ØJ_x0002_^@_x0019_$B 6[@ÎBMÞT@_x000E_múU@¾Ð] ùïS@	P	_x0010_P¿`@È°'0zA\@Ù1me_@M_x001A_!à_x0003_r^@õÇ-YsÆ`@ØEÜ¼\@Çã¹¿W]@Ãcª_x0007_=a@É¥üÝÇ¼a@³óN²^@Ó_x0006_ÑÅ_x0003_X@çãðÊ0W]@:_æ&amp;¦c@_x000B_,3_x0017_y&amp;a@ ]wHi¢c@à{(ÇÅ(^@ðNæ3Ár`@¯Ço_x0018_ÏpU@~²g_x0002__x0003_*W@Q._x001F_BÌY@l_x000F_E`ÀW@@PÑ_x0004_m`@}_x0007_gºõªW@*_x0001_é¸XC_@×@1 ×a@PúV~_x001B__x0013_c@~Ô_x001F_\a@e¨¼××&amp;\@RÌ_x0001_ZÂ\@!±X@°4_x0010__x0019_Ç·[@°_x0012_ë%_x0008_\@XQE6Ei`@	MpþÏ	[@Í%÷®êY@@Røà.b@_x0018_ÄÆõãña@ª_H»\]@?ð¸*:òZ@Ôg_x0006_í.½c@_x0001_0ºþìP@^Ûe¬NZ@»%^e+Y@_x0014__x0019_^ha@¢~x_x0018__x0005_üb@£vJ£Aù\@_x001E_`~±·[@¶_x0011_~ùa@ _x001D__x000D_uY@BÈÔ^;a@_x0004__x0005_;IEÑÏµb@HÏ§Ça@;!APµa@AQS~W@äjÑ/_x0005_Ö`@0þ_x0006__x0001_¹X@ÞÈþU!ñ]@²8b¼¼\@_x0013_M_x0007_5O´Z@_x000F_ÒÝÛ½S@å_x0010_â_x000C_¹_@æ_x0002_Z!/_x0011_W@á_x0015_@/&amp;]_@å2½'Îp\@,_x0006_Bböy`@Dð¶ÿ ^a@:0@_x001B_å®[@s&gt;_x001A_Ôéc@ò_x0014_x2ªa[@_x000B_9Æ¼c[@;Ù8ðb@î*Påqf^@î0è·_@"á_x0004__x0015__x0017_¦`@_x0006__x0016_r`7b[@nèwoÜ*c@¤¥¢Ò\@ÆÃ|!^@[IÊÆI^@Sz)÷ý'a@uÜP/_x0003_`@¢åH_x0002__x0003_à¹`@(G_x001C_$Iqa@âÀ=ê¶qY@|Í·6øÉX@µ×ä)ôþQ@N_x0016_³_x000D_H^@Ñ_x0012_ºY@_x000D__x0001__x0016__x001B_	]@ÌZÊ_x001D_JZ@_x001E__x0003_eÆå­a@èÖ)ø³_x001E_b@®"òd@Ï&lt;PGY@ÙI_x001C_ô_x0010_W@¦TíÛ¨Fe@ÊR]_x000E_1fa@_x0016_t_x001E_Éia@¥é/(9³_@_x0014__x000D_b2]@µ¦çèèw\@æÅ=áH_x000D_c@p_x001B_#b@"5_x001B_U`@k3%Bø]@%¢_x0002_xeÑX@_x001D_þÌ9QûX@ìiçë§_x001F__@«¤\U.[@LíåÂqa@&gt;º)fb@¡ýÆÚk'^@;×.º?PX@_x0005__x0006__x001D_´£ÎB[@=Ïtöú¶_@zð_x0016_;ÿõP@¬¯÷_x0018_X@je Áf_@`ïµ_\@o_x0007__x0015_t[@z@_x0005__x0001_$`@ÞiIz­]@³Jë{á`@·±&amp;ì_x0016_^@æ=0_x0002_`@¦_x0003_Vb_x0012_\@nijdúY_@O_x0017__x000E_°Úº`@Ùû_x0010__x0004_cdY@¹UÞþÜ[S@Ú/ö_x0013__x001D_`@veì_þb@ù_x0004_Z]@¸°ØÃF«\@TMò¤º=\@§#ÆW_x0008_V@_x0013_ò&lt;F¹`@Íñ+¨þÕa@"_x000C_q¥p©_@ÊiNqy´`@ó:ÑàÕ°_@fø'1ô a@òxzþÓ^@â³_x001C_ï+XU@õýie_x0001__x0004_uH`@Ó_x0008_'Õä¨_@eP!c_x0012_\@_x0012_ÊBr^@¼Åç_x000B_5|^@%K/ïYFW@~)á_x001E_°ÌS@vðc%_x0010_e@Î-ÕáX\@&lt;BD|¤a@_x0013_áÜ_x001A_`@_x001C_dÖ_x0013_Ld@	}z¯ d@&amp;vxÎnU@_x0004_,p_x0015_Æíb@¯»%Ò;!^@RJJFÛEa@_x0010_ýÓL¨ù_@KÕÇj*_x0005_\@_x0004_]è¬ÓßX@ø_x0012_ù&gt;`@6*éV}b@Öé_x0002_±/a@µÛ)ôSa@7ÈÛ`@iÏè!^@3ý`cY@¨5ñÒ6`@%/.¨Âêa@i_x000E_{õb@_x0016_WëC_x0003_Z@_x0013__x0013_')¸\@_x0001__x0003_}½_x001B_,¼ `@,zW¬Ó^@Ï_x000E_eª¶þ[@u_x0010_ æÖe@q._x0017_h \@c1ºK:]@T$¦pÝWb@gð»_x000C_b@9.Äs^@­Â¸G_x001B_U@gFD`@Î&lt;_x001A_kCT@pvòe]@Ì´òbb@¥þ«÷Ñ_x001D_R@É5	U_x000B_a@¹!ßR´\@R$_x0005__x0001_ta@¿µ£6Ðma@_x0002__x001B_ü_x0002_Óìc@òù»$gÄb@_x0016_P_x0007_"Ü:`@c_x0008_ÉÔ_x000B_Vb@_x000D_z'·g\@_x0013_\0ºBY@HP_x000D_9.Q@0©~ÊKR]@/_x0019_m.¥í]@À_x000F_+_x001D__x000F_Ld@d3¥&amp;áª\@Úôagî8Z@ÆûM_x0001__x0002_øoa@ U[ö(_x0002_]@Î`ÊPAÀ]@-rÙzÙÆ`@º_x0012_-	,b@@ílmõÔZ@±`_x000D_n'àb@(ÖÁuÈ`@à×RÊ8(`@_x001C_ÛEWö_@­P¹~b`@JÇØì§a@_x000E_Ü«RV@ï&gt;µzv]@&gt;÷Ü_x000D__x0007_sa@Æ|CÉb@äa9,`@½jHÙjU@-½ÙÀ9_@t=P_x0016_ )_@þ¨Ögîb@&amp;_x000B_ÂüÕ_x0015_[@TlÚ­^S@ÊaÖH^_x000F__@øMYEa@2WcÂ8Sb@¢âb@Â_@W_x000E_¨eï_x000F_Z@;EêET@çv½kþmb@_x000B_UvÜÑB[@ÔzPÔ^@_x0002__x0003_Tºwá5^@ü¯aáµX@@ô§êþY@_x0005_ßo3òc@æ_x0002_ÊJ&lt;&lt;W@%A±Æ_x0012_V@/"³/þY`@wøCº`@ï÷MéÞ`@T{ÚbZ@_x0011__x001D_Yð¾_x001D_a@¾EÊ¦Z]@y_x0016__x0013_ïa@$ä4÷^«[@Î~²_x001D_	[@*9W´®X@÷!E¤_x0001_ÿY@&lt;_x0007__x0007_)h_x0011_^@$)s_x000D_öáW@1 Oõ¬c@5O{B^RU@K.:_x0013_V¯`@I]bâ²]Y@n¨Ü*a@÷ò_x0017_ö«&gt;W@Æ/µþCY@öÈtjÁa@r·%_x0007_a@_x0004_t?bÝ[@_x0008_à¬_x000C_Õ^@GâØ&gt;ë$a@si_x0001__x0003_æpb@_x0010_¨_x000E_"Ú\@_x0004_c_x0011_^@ìÆêMbY@µ²?BGV@_x0005_½ùñ_x000F_R@vx×jm°]@_x001E__x0005_|ñ_@k_x0005_gSjÿY@´_x000B_ÒúE)Z@Öé_x001B_¼ÐW@E2ÅìW@å¶_x0002_H`UX@ø!Ã¶Êó`@	ÁãÐ§@`@t½hÄ	\@(O¨öWa@¾4dWb@_x000B_ª_x0010_p#[@úÃ¹}Ê_@8)­sv`a@È_x001D_VR5lW@ö_x000D_}§Ô#\@_x0011__x000D__x0002_Ç*(a@s_x001C_tÇöe\@ëï¿k_x001D_\@¢F_x001C_µY@1_x001A_â_x0012__x0008_V@X6_x000E_4\@µ#ò,Â¦T@Òl½nØ&lt;[@ÆÞQ R2a@_x0002__x0003_eÜª¥._@Ò_x0014_f_x001A_g¨_@Ö/,E_x0012_\@SeúK+_x0001_^@ú+à¶[@4²J|ÆJ]@_x0014_æKÚ$¶[@¾ÅéôE`@Æ×ã6[@_x0013__x000E_OÅo`@ó¡_x0017_ôWa@ÄÖÎeUô[@kJ_x0006_Eá¤W@yGê_x0006_7X@þØ_x0015_Ä`@Fû\£·V^@_x0004_ÔçÞ_x001B_7_@U_x0012_Vlã^@ò5mY&amp;cS@²S¤L&gt;Y@_x001D_âUñ^W@_x001F_Ïs_x0007_X@È¡_x0006_ò_@_x0016_(òÁ¨«]@½°æ+Y[@mã¡ï_x0007_`@ö_x001F_SõW@C¡zqaQ`@I¹kjú[@4_x000E__x001C_Ã_x0013__x0004_b@WÕ¨75oX@×m2?_x0004__x0005_&gt;Õa@&gt;æCRôA[@O¦.ãI_@._x0003_yØµc@´|H{½+c@þà_x001C_¢eU@XqÉ4c_x0016_X@²Iu@35[@_x0004_OÜÿ¢_x000B_b@¶Û_x0007_ê1b@¿¥é¤_x0005_W@æ)iÊ6_x0011_a@Õ¸æ¢a@×ib¥Ü^@&amp;Þÿ_x001D_b@àÛo![@_x001F_ct(Õa@Uªt'`@_x0006_z5W_@c?!¿|¡_@0¡V_x0001__x000F__x0010__@_x0003__x0010_QØ\@þ	Ñ£bõc@ÂÅ[Í"nW@±ò0|b@_x000F_1µ²íI`@ûc ¥w\@ëÙ_x0002_ÄY@×­IÏ=ob@Ã\¶qHÿ^@_x0015_kGçia@TO_x0006_NÝ3[@_x0002__x0004_Ð¸wP_x0002_*X@(äÑÐ`@9AÁXgg@lV5^79Z@Wgb#tX@@}D\í;S@;ùÿ&gt;Rwb@_x000B_­º¹b@/i_x0019_bÿ~]@ÀäÁ½_x0017_^b@_x001E_=:äÓX@Ô[¬4eE_@Ð¬_x0019_qER@fù_x0010_ó?b@+Z£FZ@õÑñ|\@6Ìp«b@âÈ}=ÎjU@"£éJ_x001B_Z@×ï_x0012_W²ÁI@_x001C_«_x0017_AZ_x0006_a@mÙcµÌ`@w»q'_x0001_&gt;\@ý&lt;ô_x0003__x0017_Y@úJÜÛ¤]@_x001E_qÙ_x0012_KaU@Ò¼Õ`@Ø_x0008__x000B_^@7y)JëæV@Z\º[@lóë]îôX@ËÄ_x0006__x0001__x0003_I^@4é*(¦[@ÎÔÓ6a@_x0017_ï_x000E_°_x0014_]@øI&gt;é#=_@¶ºvì+`@z,Þ¯V_@¨_x000E_|-«X^@_x0012_ù_x0013_- X@Ù_x0016_ûç*`@ãJ6ú0a@å¦kìËÑ]@âÀà¾ET@mbqÑ&amp;Ò\@_x0013_?êÐ?,a@_x001B_í^½~']@dÝ$X@_x0004_&gt;Æô½_@å}_x0008_á~`@¼³ôË_x0019_ûb@(Q09í\@/n%Ewa@Á+GadM`@@_x0011_¢kÓq[@í­àS6öc@áQ¤¬_x0002_É\@ºÞÌGÛ e@"^8_x001C_`@_x000F_K6ü¤]@~¢ZÄ'S@_x0011_­éYÑ¿\@ðIäøÙB]@_x0002__x0005_¬·_x0006_ØpV@á&amp;¤»^@ÖýpÿÂï[@Ü_x000B_·M\@Y^|¡­#`@ê_x000D_#Õ/b@ÞTuJ`@»_x000C_xk9ÐX@ýe_x001D_êªïX@4&amp;xÉ_x001B_,^@âMáøx4a@J	¯©ÙZ@ÇøJè	`@°ÄaNÞ\@_x000E_I\ï2Ñ\@áCÃ9áY@¢m)o\@ï_x0016_çüWSa@z×"ÊÎÙ_@þHæ=Ù\@Èêbø_x0001_X@_x0016_â·_x001B__x0003_`@FÇÌà_x001D_T@æ^_x0006_1\@ª«u8Í~a@_x0013_ å%_x000B_úY@_x0004_È&gt;J¡àe@_x000D_£ú Úb@_x0018_Ç{÷üÍ_@¥áÛ5À_@3fÕÖÂX@1ÚPß_x0006__x0007_Ö­V@"þ~ÍOa@_x0011_ä}^¨_x0019_Q@Q_x0016_Í¦Þ`@©É- ãó]@ó×ª_x000D__x000D_ø[@+Ò(	_x0014_V@q%îZTc@¼êULä_x0001_`@Ö}þ_x001C_nâb@_x0006_= |_x0003_d@³ÍÔñÁW@_x0019_×Sý+^@÷Sìe_x001A_b@ _x0012_hâûB^@l_x0008_Îü0^@¨Î_x000C__x0003_þ_x0011_[@ÂÄ]OÉ)V@_x0004_ÜCN¿U@¥_x001E_}_x001D_ÏÂ`@ÝÌF§Y©`@Vg]¤l_x0005_Z@l_x0016_§f6]@´y­¼Ì`@ g_x0015_µ_@g_x0012__x001A_+Ø.]@*VjË¯*`@?_x001B_f_x0002_óa@;tÖ0^_x000F_[@Nj_x0003_5Í`@_x0004__x0015_ÿ³ÑU@Úg®¬_x0007__x0005_W@_x0002__x0003_¼t_x0017_rX@[bÔ?a@	½ð$E&lt;\@z	fï`t^@5ð_x001C_ðü«b@û_x0018_¤_x0002_]\@¤À5:ÿR@_x0001_[&amp;Î\@Ô_x000C_b¤#`@:dOüæbb@&amp;EÀB~r^@°_x001C_ÁPO`@[a_x000F_(7î`@â¿IgZ@&amp;ìø_x0012_)[@_x0011_SÍE_x001E__x000D_W@W3ui.y_@ú	¸W^ð`@_x0012__x0002__x0013_=ïM]@=6ÛúÇþW@÷_x001A_ý[`@_x001E_Õ2é;§\@_x0011_îZ_x0008_fd@z`t¤ìa@ZJÝ\û`^@80}}_x0019_]@9ðÞx*[@v=$d(k`@Âz}}îU@?p¾_x0010_L[@ò8¤¶¨+_@±3ÊÔ_x0002__x0003_ß[@W_x001B__x0013_Úpb@R_x000F_«`@¶_x000F_K -ha@yÒ{÷`@0g.Á&gt;µU@_x000B_ÌÏ'_x0005_`@pÂT°°òa@HL_x0018_^úÑ`@!nW&gt;n²b@pì_x0016_	Èå[@&gt;qHêSX@î³¨_x001C_X@Ó_x0003_&lt;Ýð+`@_x0010_\&gt;ºV@År_x0015_S_x0006_J`@_x0002__x0002_©{ºY@óæñÃY	b@_x000F__x0015_§_x0001_ºy[@ª{k^@R÷SrìT@-ég^_x001D__x0005_b@ç_x000B_k*=`@1ïÉ}=[@~uã_x0015_ÙvX@ØÞÄr]@=_x0019__x000E_	µ[@I&amp;9]a@ÎQ%µ	_x000F_a@nÄØ,ÁÀV@	³_x0018_x_x0007__x001C_`@ÞÔþÉW@_x0001__x0004__x0002_uJ)­a@4Uùk6D]@ryUÊ a@ñ©X_x000D_ª\@@7)!_x000F_]@Ó_x0005_í F\@L_x0013_Ã2V]@5µèt1[@ôðcáî_x000D__@ßÿ@q c@±ñÝ`@ãÚý_x001E_öb@1wãKrê]@órcØNÏa@÷ªQ»À¼]@ë|÷EÒÖV@a¬_x0006_g$c@¼lÒÿhb@%vòR×_x0011__@J_x0006__x0003_Ü&amp;-`@N_x0011_Ub`@!i_x000F_ïc@¹°o¹`@_x0012_ieß9_@,rÿ_x0001__x000C_X[@n·_x0008_Ö}z`@id1%¦^@Ý¸ý _x0002_Ä^@IÌ#{½a@!(I´Æ@S@pÔ8é[@6*Á_x0001__x0002_BÁV@Ýj©_x000F_c¼Z@m¸_x0002_&lt;´IX@oTÁÃÝ_x0008_]@'æ_x0012_ó(»V@_x001B_ÙÈ_x000C_\`@È¡C_8`@ÐC÷Íf@gÜÄb¼[b@/_x0006_bPiúP@|èdf_x001E_Ta@_x000C_Ç_x0017_ý_x0010_Ù`@_x000D_Óð¡nîa@§-æ_x0015_?V@¬¯K,_sU@wÝÙ&lt;Z@äæ_x001E_¬æ=a@6gW¿¿w]@_x0018_`s_x0010__x001F_×\@_x0004_D_x001E_Ùç[@0_x001A_d&gt;_x001E_@^@rÅ÷iÉ_@O_x001A_¤ÂÝGZ@@(ÛozX@ñ%Ë_x0003_Ö_x0019_b@:Yñ_x000B_4d@cä*_x0019__@1Ý÷S@_x001C_[@Ý_x0005_áËÔT@uòÐCZ@&amp;Øb}_x001D_ú[@_x0002_c±ñ7öY@_x0002__x0005_·¨_x0008_8Ìa@f_x0003_Îøþ^@t_x0001_Á3jÈU@oØ!E`@Ä_x0011_SªÐ_x0013_`@Îu3ýÜRb@Ó_x0010_úí^@¢_x0005_ó&amp;_x0012_çY@o±X³C^@»_x0003_¬ê×°Z@$©ÓO_x0012_X@t!Nv	¼b@ß_x0008_ê{Q@a,G¹ÕÎ^@_x000E__x0004_ËX¸`@z_x0006_´ðô`@¦_x0017_*ZÐà]@_x0019_£ÇÊÚ`@rùgËÏ[@ÔQãra@¬_x001A_ZbAb@¦1§u_x001B_Ûc@3YiL"v_@ñ&gt;÷%^^@¸_x0010_6_x0018_TW@)¡uÆf\@_õ¸¤*Y@ß#¨ý`@ÎÁqéÃb@æºtì_x0003_Z@tPDû\@ü_x0015_»l_x0001__x0002__x0015_ð[@|:R_x0002_ÛU@ùþ×~!X@Mæyz_x0013_¶d@p±ÊÉ_x0016_W@Ý SC_x001C_fV@_x0010_Þh*MY@×-æ_x001E_na@²pA¦3e@üH?Ìf`@QaÆd._@ÆTÄã_x0008_]@R%_x000C_­_x0005_De@J_x0016__x0013_c`@(_x0019_­P¾`@q÷ÐL_x0017_^@_x001B_â3:a`@À_x0015_ÅØ`@=óupa`@/G+3ª£]@ÂbB14|c@îL_x0008__x0013_Ò_@nÌo(c@õü _x0006_Ûl`@²Yê_x000F_5Òa@_x0013__x0005_jÎ	e@aÏs3_x0010_4^@R»_x0015__x0014_\@añ¢«bû^@9ü=_x0001_ª_x0010_b@_x0015__x000E_«Òn_x0012_[@ÿ&gt;+Ö	`@_x0001__x0004_ÝwþöÛ`@Åû_x001B_c_x0003_`@_x0006_RmÆ&gt;e@_x001D_âÀU[@-ßi_x0011_Á3`@ªJ¶Z¿,Z@2¾y_x001E__x0012_[@_x000B_ö_x000E__x0002__x0017_åU@T/ï4úP^@MÞ¤Y@qÌ¸®G_x0002_V@½u[fD\@i­©îîæW@ÿk_x0006_þ½Z@/Zæa_x001F_za@6_x0014_NÌÇ`@ÝßÃ%±0`@ÕúÅ_x000C_ø¬W@@ó *i]@Óÿêpev`@¼7ZzâY@p¡]ò$W@²_x001F__x000D_,ø®`@Aünqw·\@+C¶`@*ä­Ä¸öY@_x000C__x0012__x0016_øW@¯\_x0017_iL\@ÄÍP8_x0014_Þ_@»ÑÇ~_x000C_[@_x0002__x000F_Òï3`@|ÚæQ_x0003__x0004_âèZ@Le¢µRqZ@úpF"2a@;HO_x000E_8_x0008_^@àØ²_x001A_`@9	¶QäDX@à_x0017_ÔxÕ~_@»÷ÿñ_x0012_Mf@=Ú_ÒÛU@_x001F_oº/í@b@bÞ$úÛ_x001D_]@¦²H¾_x001C__x0002__@_x0019_Q[_x0019_î_@ó~ÁH±\@GåüY@µV¼£³_x001D_^@_x0014_°X_x001E_2`@º&lt;_x000B_l§a@_x0015_&lt;FTÍzX@ÁÔÇdV[@¤ÄùP[@C¿ïga@_x001A_®eâ¥ï^@Òu¥S©[@õÑ_x0001__x001C_6V@'(=$_x0002_æ^@¾ðväàY@K±*_x001E_`[^@.ø@¾_@F~£ê8Ú`@l¿mûz%X@òÝ.IfÑ\@_x0001__x0003_WÞ±¾X@6Aán¦»`@}øwÌÅÀc@_x0003_ùð_x001A_x]@ÏVÅ_x0004_)\@Ä9~ÁU@t¤_x0011_]@ÛßÝqY¨[@`îZí_x0015_Z@þwer®Z@½_x0003_#&amp;ï0U@²åçéQJS@üQ{ú/X@½ÙÃ_x0018_C_x001B_`@¡d¾×ÌT@j_x000B_²ÊN_@tWL_x000F_Z@þïòÚóR@¼(î_x0007_úZ@;B°íÜR@öC,_x0018_0·Z@~¶_x0002_Ã_x0007_W@FfjÂ2]`@FðtñÐa@uÍÜ°_x0019_Z@¬æµ_x000D__x0006_[@&amp;A:_x0010_5`@/Åd_x0001_­]@Ìî«tG	Y@Úrë[@¯³´ù`@4IIb_x0001__x0002_Q@ÿ©Ý¨ëR@¼E~þÃd@ß_x001C_ÊÑ_x001C_b@âbT©÷b]@Ü¶_x0014_]@·__x0013_ä_x0006_`@ÃG33ÙW@_x0005__x000C__x0015_&gt;ð`@°°³®e_@$`Á"2W@ð_x0006_ÊD_x0012_¦c@T»Ð§]@ùPÎ¶^@Z`ç(r1^@Æêúìæ_@eùcZnø[@ÿ[\DúZ@@	¡KTË_@îÕÄY@D_x0019_M$:R@b_x001E_á&gt;?_x000C_W@bº¼Ñý\@ûðaý&lt;æV@O95_x0007_ªa@RCGfzK\@#EÉÝº[@gÛ}üg¯\@%_x000D_Í"_x001F_ÅZ@¾ÑÃlÉUX@Ú_x0002__x0005_mÚýY@"_x0018_r_x000C_Z@_x0001__x0002_Im_x0019_*_x001C_b@¡G×±E\@ÌÎc}åA[@Óê:_x000D_70`@r:)Jâ`@_x000B_Qô©[X@!ô(ce_x0013_b@è_2mC Z@ÌÓük]@ëL]êÝuX@Îy$Z`@Ô³ ÷¾`@ÿõdí#[@_x0017_zïé="a@ëÖöÝ_x0013_'`@½,3SX@ÜÂ×ÛÑ¾Y@:_x001F_Xp%T@üñÁ$.ºU@ÙY^R3a@_x001D_6­_x0010_µê^@öÐ\!þa[@UEc_x0012_j_@+_x001F_vÛt_x001C_^@	ÿ_x000E_¼_x000C_f`@æarÑÈñS@Ãf8_x000C_[@Ø0_x000D_Ì6c@g~É§9¦_@$fèxÒ¶[@'ô_x0006_x`c@_x0006_&gt;Ú_x0003__x0004_þÒV@9¥¹î7]@¿F-&gt;´Z@²rù=qí`@f_x0018_*jù`@ße2_x0002_Êëb@ÂÛ6Z@	-_x0010__x0011_O`@RX e"ób@ßWÐë_@Cq¶b@äßaeP®[@gºÞ_x0015__x001A_Z@åÿGÎ_x001A_&amp;b@_x0006_e"_x0017_ {X@ ©~Q_x000C_Ô_@¨7_x0003_a£ëZ@ýç¿_x0001_\@Úªj_x001F_{da@ÈC_x001A_&gt;ù_x0017_W@¦DLªe@Àd6ËW^@ÜØÉ â]@_x0016_xC¶x_x0005_W@÷âæÏF`@	I~.ýa@ûê*`ÏWa@_x0001_x%Bk`@õÞzØ~ë]@uÏBÕY@_x0015__x0005__x000D_èbÍb@QY·s;]@_x0001__x0005_îe_x0012_[_x0016__@_x001C_ÉðîY@D6sÍß^@?_x0011_ð)yÿY@×_x0004_.RÑ[@Gn²i.Ë_@âôÙ`@Ó%G@«]@I»cúÝU@_x0002_É¹º _@×àI/Z@Ý¢9P,±Z@g{!ðf]@"_x0007_ÌYw[@Ú©_x0002_i²MY@6_x0010_ìbS@Y±IY_x0012_c@y3x_x0016_2H_@Z°_x0004_ÁÚ`c@ÕcN(]úY@_x001D_î_x0003_ `@îÿ%¸¸G^@ xkT¶W@kÍ1_x0015_X@'RëÇnÇY@÷l#_x0012_×íc@HÁ¼_x0002_J`@}Pùk)_x0015__@¤_x001B_Wrëá\@(,Ée«\@ñjTÿÕ[@W¥_x0013_µ_x0001__x0004__x000C_ê\@¶x_x0013_´c@ÇºdWY@X&amp;àI_x000B_ëa@_x0011_¦rT@&lt;5½´´ò`@NÍóüs_@ê c·Y@_x0001__x0003_·À/X@î=_x0002_½ö_x001F_U@_x0017_ú19];_@Ak_x000C__x000D__x0004_a@Ü[©±_x0001_\@¿_x0006_p_x0008_ôX@{5÷ _x0008_íb@¿T¡]"]@¡iyª_x0003__x0005__@0ûü%~.]@^BQà[@½%Ð[_x001A_`@Ò_x0002__x0019_ô&gt;c@&gt;k+±[@F?îÓÌáe@S%ù÷ó]@Û¶Ü&gt;já_@'_x0012_*á`A\@sòVäho\@7R~*ëY@DøÜ_x0018_0V@_x0016_:èiî\@_x001B_ußÚÄ[@ì¢àÖÌ\@_x0003__x0006_öïAD¨Å^@ÀéxHÀh`@§MQË= \@äçÙ£Ð_x0017_]@Z_x001F_Põ_x0002_ÞT@_x0013_5ÊltU@¾_x0003_Ê%t`@÷@ÏB^@vv_x0019_&gt;Ï¥a@;_x0004_7_x0006_b@=]ôX_x000E_Y@ªG·_x0001_Ñý_@5{.P`@ïá¶	«c]@.ÃîÀÅi`@àÜA¯}\@¥²¤_x[@Ð)ÒêV@ñ_x001F__x0005_Õíå]@¶_x000B_v¢­T@ªú_x0013_ÎØ_@°?0Ý_x0007_V@õéüZþa@è³"Åc@à2VüVR]@)çn¢R_x0001_a@à3n|4xV@}³Cò@Ïa@ÍµÑ¯åÆa@_x001F_ÅÆ©ØñU@ÓAaù£·`@ _x000E__x001F_%_x0001__x0002_)°a@°"R©ÞËR@-æ=r_x0002__x000F_Z@-ÏR&amp;39c@2U2(ÛY@ò%5J´Á`@Q_x0014_Ë¸Ýµa@_x0006_¤w?PßZ@°Õ&amp;¢@àa@ÃÈ¿êÊõb@´_x0006_.ðO\@Zø¡Ý"`@(¤ä_x0018__x001A_W@¯0Õ_x0006_w_@Yâ¢vN@ê$Ã¶yY@óà_x0019_Nq\_@_x0006_o_x0017_ÊÚ¡^@Â¼bôm_x0019_Z@ýJ6Í¢_x000F_`@_x0001_åJ^@hõ%Û(a@_x0017_ýó~_x0005_þ`@®|Ê_x0016_Ê_@¼è-!Q]@÷2åQ­^@_x0003__x0014_|é_x000F_Z@ÇÑP_x000F_SY@ÅPÑ7á®[@9xÊ©6_x000D__@Æ!_x0005_dÚ¸[@zk÷Tf[@_x0001__x0002_9ú_x0014_2A²\@¢b=XÄ\@_x001A_¦i+ß]@f_x000F_#_x001E_B]@·_x001D_+ÅÇV@ÿ£k[b@êë&lt;.\@¨(`N^@ù_x0012_ßÜúZ@-2ñ¿WCa@_x000B_\__ò^@ µäÂµZ@ð_x0003_%aLb@ÚÑ_x0007_¹·_x0012_d@HºÎ©ô_x000C_[@_x001B_¬_x001E_\7(T@Ío?×.\@bòwiq_x0006_^@ù+_x000D_½*c@`.®ïàÍb@m A_x001D_^@º|_x001F_±_@gU_x0016_ÇñZ@$xíÑº`@xy9WW@´ç9&lt;V@ä+)§_x0018_b@ô¯¨÷Y@\e1÷ SY@%Gd]@_x001C_!r«ï`@æü_b_x0002__x0003_¸Ò^@`e@åIÓ]@f©ô`_x0014_Va@ñØ[_x0004_î_x001C__@ùG_x0004_ÕQ&amp;^@:_x000E_-DÅ0`@ì;ÚE¨V@f¢&lt;·]@)_x0006_Ü"_x0001_[@%Ûgvi`d@1l¦Øb@çh_x0004_da@W?_x0012_Ð]@2_x0010_[_x000B_Ä\@lW8Iîv\@¸_x0006_æ!?Y@,UÑ7_@pV³É¸`@ªp&lt;Ø(_x001C_a@æ6ÿ¼BU@¢&gt;hº[@L.j	Mb@Z©s$³_x001C_Y@Èt¿}ç7`@Ø_x000F__x0005_´R`@$½-µí&lt;`@_x0017_)ë¤^@_x0008_CðÃR_x001A_W@³_x0015_&gt;¡M¤a@î_²,è\@}±æ¢¦`@_x000D_d];ÍÆZ@_x0002__x0003_þV_x001E_IBÚV@è"^Näaa@ÈÞAàQkZ@¢Ù¼X@MîôÎ|Z@ Â¨±+`@{Â?&gt;]@6k\Øb@{¦LTH[@jkíXü\@_x0007_¾í%_x000C__@0ùJÛí\\@"°çV b@Û¸ïb@_x0014_ýU%Ù8`@_x0013_P_x0010_à¹^@ë_x001C_ççêZ@ §»nëí\@½ìs0_x0004_`@_x0002_8ô_x0016_0_x0017_S@DªïIu[@9B_x0001_âá`@QNÒãðíX@F¶´_x0017_	`@ òSVrÚc@&gt;ÅE9\@~«@&lt;êW@9i_x001B_@÷U@æ"ôÍ&amp;ºX@¯Aê¸_x0003_W@oi¾ìf]@z°«6_x0002__x0003_±«Y@_x000D_ y/_@ÓºÐo`@_x0007_$Jþªb@	z`@_x001E_çS_x0011_\@R(OY;f@ÒJ¬Á¶gb@~ÁÂ_x0019_ì1`@ZWV¾&lt;^@Î_x0001_8!QZ@_x0006_Üõ»_x001C_Ø^@îb_x001E_Ü_x000F__@ÅØ_x0003_¯,a@_x000C_j5rNZ[@N_x0002_ RZ@	ÜI£¦pY@_x001D_I`lìÖ^@¯_x000C__x001B_Ñ	É[@M{×!p]@¥&lt;MÑ¸`@ø_x0018_µ_x000D_c@·Ikë_@Î½]@ù¥Ó7_x0006_`@?7³g{êc@2_x0015_LÓYèW@b=fáj`@ï0_x0007_²Ù\@_x0014_ÿáÏßa@_x001F__x0007_Éï6]@èÿdã/Ã`@_x0003__x0004_îý0ãá_x0011_[@?³^Rµ+d@wh9þöQ\@¸ÞSí`@i¸¾33V@/ZMøã^@+1Ò_x0011_b@s_x000D_­;ne[@ze_x0017_X®6R@ôcNÁÿb@ÇCG æád@K_x000E_*_x0013_Ò^@éXöÊY@ºz)Û_x0002__x001C_b@RÄ×\Aq]@&lt;øHu&gt;Ûc@ ä_G»¥a@ÇÑx*6Ýa@iÙè_x0001_9`@Hw©ÿ\@Ñðfø½8W@µõÈ?BÐ_@·ÂÊXÿQ@zÀN_x000B__x000D_Ôb@Ðª[2&lt;\@®NùÁ$wV@_x0016_ Oë­`@ÞIr_x0016_VY@áÓ_x0004_ìtY]@gÙrèZ@æÚ_x000D_B_x001F_êc@I_x0007__x0007__x0014__x0001__x0002_Þ6^@_x0006_þT&gt;_x0001_"Z@MýÔõîY@J&amp;_x001D_Ô_x001A_`@Y¯Î_x0014_±Ç\@3Ê_x0001__x000E_oT@´i_x0016_2@eb@ÉOq_x001B_Àû^@~ËhdÀ.Z@¼[|­]@_x0010__x0006_W¥_x000E_\@HBºT÷_@s[ÓÔ§a@._x0017_OÌa@VsµÏ´`@f0k#öa@_x0018__x0013_#Y&amp;d@È¹_x0010_ùLD^@ö¨oµ^_x001C_`@OæFwód@Ât`@dÂUÌú-`@¤]¸A©[@GmæÅv[@Ç_x0001_¥F?]@ð?mÙ$9e@s_x0010__x000C__x0012__x0006__x001F_\@Yì8âS_x000E_a@_x0007_­xDa@B_x0010_bÆnc@¾áØ©b@YI_x000B_ðs=^@_x0002__x0005_îã]ÔC_x000B_d@q½=Uë)\@OHau3`@_x0004_}¡îÞY@¹L¾{â_x0002_`@V®,PV=T@W_x000C_ÃêXP@1~ÉIJ&lt;^@¸OhøÞ=Y@L4.Í-[@?jÞ`@8«×Ù_x0001_2b@îIr=f\@4ýd·_x0013_¿[@_x000E_¨_x0014_Ùô^@k4va@5]þ_x000E_Y@à\Ö[ÍR@rõÍNbÏ^@ÎÑ½É-=b@¥ebÃb@C»m_@±Åz_x0012_°U@c¼¿¥3¨^@ü_x0013_ì_x001F_÷W@_x0007__x0003_ÛÑ`@4éÐþée@E¸­rXa@ô*áÉz÷\@öu¾QYf@M4·ÖU@Ð¤Ø_x0006__x0001__x0005_¹ïb@ÙÙ9\@G,_x0005_h`@ãºxD4ad@¿_x0004_Sm[JY@îG[@BÚ_x0003_¿qÙb@_x0014_09=G`@:ßH+qb@ÞÒ6W+S@È^5á4c@9Kâ||`@;º| Èd@b_x0006__x001C_Èy]@tÒî_x0012_âK@·¡üüT`@ÛT¢£@é[@Ù2Æ§b@6uüÖ+_x0013_W@~_x001E_ û_x0008_Ú\@_x0006_MJwßV@ö_x0002_ï +Y@¸ÕÆ"(ä`@_x001A__è¸?õ\@iÃf£è^@&gt;¾4¤_µZ@àÉ.5¶bX@=I~_x0006_Àáb@&amp;õ²ùNÉZ@tc5&amp;OV@î_x001D_-_x000B_¿[@{¡ê;_x0014_`@_x0001__x0002_§÷¾w±a@8_x0012_¿-/-`@ÀL¤ÑZ@J¸iÆ}`a@_x001F_ùoªy_x000B_b@hôc&gt;|-V@÷A ï*ËZ@´S¦î/Y@_x0002_Ö oæ`@òeÂ$ä_x001A_\@_x0003_0#.W@_x0014_ÃºÍ´ðc@*jÅ@_x0010_­T@6ò_x0016_^[@&lt;gçSwaa@ðßPb§¹\@ÛHàÝ¡\@ózU@#[@_x000D_Ç:ëÍ¢`@ñCÛ!Ò_@®Ö_x0019__x0003__x0018_]U@|øÜ¦ÿV`@Ícû_x001E_è\@:Ìrq^u\@ å	_x0007_¢_x001A_X@¥ïàÔ6`@à}B$8 a@_x0016_=Æ_x0006__x0018_Ñ^@½íìã3M@½½FÖ_x000C_rb@_x0015_¿ %_x0015_.V@zÈ_x0003_&amp;_x0001__x0003_{^@	_x0013_øõñ1Y@¾k,¾ÍY@ä´ßÍ)7`@Þ­:h|\@'z¬a@¨×Ý_x0013_e`@Æò=.I`@]åDHß@`@%Oºja@?d×­PÀ\@´ÀEÕºb@%é	î`@ÖÂk0_x0008__x0019_Y@#_x0007_°_x001A_­\@8|NÿúZ@hº_x000E_2Z@:_x000B_ËW[@ |C¬_x0015_]@_x000B_Q;ò W@½ô_x0014_hb@¦P­©_@FP_x0016_í-_@6_x0002_)h]b@öeCêT'Z@_x0002_Î^yeY@mÄ/«^@V¢3Z¡\@C?+U_x0010_a@ÚËãÖ-ÐU@Kê_x0012__x0004_7\@}iÜT`^@_x0005__x0007_µ_x001C_ïsQ]@_x0014_RKQÀ_@æ¥vfâa@ÚaÛöZ@°.­_x0005_5^@à]×o_x0007__x0005_^@_x000F_DIb-\@«_x0004_,9à[@ú_x0002_´_x0011_¶a@_x0008_]·kS&amp;`@mÊ¯_x0003_)&gt;\@_x0015_s_x000C_EV@:_x0017__x000F_VË`a@®_x001A__x0018_:EyY@uª­_x0017_g[@BÞ3DÏÇ_@|"öt\@_x000E_EÝìb@_x0002__x0003_3ÚZY^@ ²2òeY@(nÝ._x000F_¹[@7Ê_x0001_ÞM\@ð£fÔé^@_x0006_àIÄ÷@d@ÚdVXe`@|;ò_x0013_þÐa@=B'_x0016_;9`@àjª¶ÁX@_x0014_0aqþiY@NßÅÒqY@9²Ô¯Ót`@_x0018_r_x0002__x0003_ ga@U£T/b@_x000B_íÈ®ä\@øÒ~s»^@7®½g#Eb@þ8m_x001F_p_x0015_[@êÅ.ÆS`@¡®ëÜQW@þKc×¼_x0019_[@ª-°¼+a@i';SEc@íNÄ÷_x0003_]@®õÑ_x0017_Y@äµ\áÌd\@¾|VéÁ`@?_x0014_èÅÃV@_x0001_äHÒ¾c@"¦)³_x001D_a@U9_x000D_2p)^@¾_x0001_t_x001A_Í¨[@ìÐG³øÁb@`v_x0001__x000E_¢¿^@_x0004_ó,5!a@nÕµ_x0015_c(U@DõVNþ:W@Ñ$z¥áI_@ü»¹Z@6n¬:1_x0002_Z@à(?	¥^@t.&gt;ïT@5Ò`½!O`@)Ô_x0016_Æ`oW@_x0002__x0006_Léø_x0001_`@GáÉ\@L´y_x001C_K[@pW7`@8H|%W@xå_x000D_à{Íd@ì@&lt;ªD`@U_À1%¥_@ï_x0005__x0010_¼q_@G3_x0003_A.äU@ÿ#©©þÈY@õ+ÑS_x000F_V@ãh~p°_@H"Æ_x000C__x0004_&gt;Z@ÃÓMyØ¬[@Ä_Û²_x0012_öX@úm:6Z^@n·_x0010_ãY@Ñ¨­Fa@ªW§æþñ`@fU+äß_@èÜº£¼\@2T¹`@_x0014_Þå99Z@|¸_x0019_~Û;]@î&amp;_x0017_-vb@GÐóÈ«.\@_x001E__x0001__x0007_)UY@Ieð(G`@_x0008_!×²`[@ñ»(_x000E_òZ@¹qÖ)_x0003__x0007_!2Y@eÆåTßº]@NË´äöY@¡_x0004_e_@!Òù*X@m_x001D_¦ò	V@§H_x0014_a@®ìÓ¶4_@Ï%û/Ü4`@_x0012_^Ç_x001F_$òZ@+ÎÒõ`@Wã\Ë_x0010_³`@Ý»ù@_x0006_]@N_x0019_®GrBY@ïC_x0001_+×^@Ú(_x0002__x0014_¿½Q@Ädh_x000C_,Od@Q[&amp;M(_x0005_a@2}ÇíXìe@_x0001_zÆmÌ]@_x001C_¹q_x0004_Æ[@õØïpî\@Ð¹ñd_x0001_[@jì2qW@+eiäMX@kp:A·^@k-XI[Y@xa[è2_@{øCÑËba@_ã*ÅBîb@ë¯_x000C_SG]@_x0013_ìàq\@_x0003__x0005_C¡YExY@&amp;Á_x000D_MX@ìü~¬2_x0008__@©_x0010_¦&amp;X@¬6_x0017_Ã#a@_x0001_#}L|d@Û¼J»ÑX@H²^Z@s`¢¶Y,`@´Ö_x0005_qU_x000B_b@H_x0002_ßv@_x001B_e@O_x000B_ _x0014_þY@»¾_x001E__x0018_\@ë1Ï_x0019__x0014_ò`@²JcûT\@«WHgÁ_x0017_\@¸Y_x001B_xÒ\@Ì6T_x0018_DèX@*¤ñ_x0004_î¤c@¹_x001F_ø,Éa@µ5ÎTÄÞ\@ÒÚÆËOY@¨!_ö_x0001_\@W¬Îàþù`@k¥W`eÍa@»éo_x0019__x0006_X@rr×Þ`+^@£»ë+ÃZ@èÐr_x000D_Ýo\@´¾w_x0010_]@ëÙAo1a@_x000D_p¡_x0001__x0004_·5X@F8D'7\@_x0012_r_x0005_Üuµ^@-,íÅÓ\@°-ãá`@Me&lt;_x0003_`@Ñ´0Þ]@_x0010_4]ù,»^@õÿP	_@_x0001__x0004_vc_x001A_\@I&gt;UËZ@`~¡ÍT]@VÙèAo,Y@ò_x0003__x001F_Â3`@ôCQ)êY@N_x000E_21T=c@bf?_x0007_ìÃY@_x0010_g×SU@jý¬ê\@Ç~÷_x0016_7JZ@!_x0016_ãVZvZ@¤ëkåþ_@°C_x001D_çQ@ÐV_x000F_`@)ü_x000F_µZ#Z@Th_x0013_'Ý^@©_x0002_yåmVa@Âü@'_x0005_ô`@I.¦Ûr`@/ùß`ì\@K}úáPßW@.ÁfaÖW@</t>
  </si>
  <si>
    <t>3de87caa5cfbdf1951101ff65d077253_x0001__x0004_¸6=I\ùa@_x0019_ÈJú&amp;_x0017__@]· _x001C_\@½&amp;Òy`@@7Ú@_x0018_b@bC7Á¥³_@Be9 ÙC^@m ù\@ÈH_x0011__x0014_2b@|X.Vá`@ìãZí\@Z¾Ü_x0003_Z@ùcÙ_x0004_?d@ã&lt;W_x0014_	Db@iâDb@FP²H`@?ÈÍ.`@@%dÆa\@Ü¤M_x0014_¼ß\@Ö/¡\@ô1p¨ôR@Iª|eX^@ä±D_x0002_d^@?áÙ§×`@ÄêppûZ@eyÄH_x000C_³b@^T_x0011_êÆ^@\`m¢$_@_(Äé\@_x001A_½	d@U_x001D__x000F_`ö^@d¥'_x0001__x0005__x000C_d^@8:¿²í[@ËØd#_x0015_\[@¿$&lt;¦ÓÖ]@µ{õ|_x0019_[@õ_x0010_ôÛË`@_x000B_{IÅ*_x0018_`@_x0013_J_x000B_Âb@6-X×¸ZX@Îu4^Æ_@0ô'T:U@½¤}S_x0017_Y@_x001A__x0004_²B÷ïQ@ndLìæ`@3RÖ¬wa@C_x0010_#ßÜ&amp;\@_x0002_@P|_x0003_[@_x0005_  |òèY@Ø_x0001_3ùÐ9]@uÁ¨^½°e@­]å"#V@m_x0010__x0018_b@®m·ú`@b¡ÑÂ_x0003_&gt;[@Óe§ãó_x001D_b@"ÞÂº_x0007__x000F__@´ë_¢~|]@öþn_x0014__x0007_o^@¸£ndn³^@_x0014_åX^_x000E_MZ@_x000E_,¥²_x001F_&gt;a@_x000E_[OL¿ê`@_x0003__x0005__x001F_!_x001D_CèÃ[@ý_x0004__x0019__x0002_a`@wî&gt;W/Cb@¼DC _x0019_`@;_x0012_ô_x0011_H`@áE­QÛ_x001F__@_x0001_?®=Y@_x0010_tñ]i&gt;Z@@_x0002_	\æ\@7_x0015_&gt;ÔÜ`@ûeÇº¡a@C¿ÈÛ`@_x0011_lì¸»[@¼ÈçM)kc@îæ_x0007_ÄV@R¯Ô¯[@ËY 2_x0017_úY@½_x0014_rÌ7ÿ[@_x0011_-æ\_x000F_W@,_x001D_ßea@ö 1û©é`@_x0018__x000F_Õ_x000D_ª[@óêyZeY@õr)cÕÐX@ÊÍ=gª$]@TB/D»[@!§¥a¸X@k/~KèV@Ðó1SÙ_x0016_]@ñ_x000D_ÓL`@¤nø_x000C_d@_x001E_Î_x0008_H_x0001__x0004__x0011_]@ÉEOch_x000F_Z@©}L	«d@à¶H½ÞZ@__x0013_äê\@0à~ _x0004_Fc@_x0007_­_lßH\@¨¥_x0013_efj`@I_x0008_MÐ&amp;{`@|Òq]ùib@YVfXÖ\@VÑfòl^@7þTT\@uÙ°_x001B_çù`@_x0017_Æ:ôC_x000D_V@Á\]_x001E_"±^@_x0002_ee=a@ÊDÚÈ«c@_x0018_Cv°_x001A_ÏZ@i_x0018__x0002_ÐxK[@UMDX@-ËÈ¦Ta@_x000B_à_x000E__x001D__@6DÆ_x0012_D`@9½_x0017_I_x0006_&lt;b@NÒªÓ@]@ÚU¶gw?^@_x001C_°2{\Ha@|&amp;o§b@9_x0007_kØhb@¸«_x0003_÷r`@i§·u\@_x0001__x0004_æ«`Ì·Z@ItGÙ_x001A_a@_x0016__x0013_èBE_x001C_`@_x0004_Cþ.Z@FÛ_x000C__x0003_£îT@Hò¨]@IÞo ²|b@ÏC_x001E__x001C_;X@h®_x0015_6s`@_x0018_sOf_@7Û_x001D__x0004_\@KX_x0002_¤ïa@K,0ùZ@~Ò¾.e'V@|Þéa@ù2Än`@°v~V^@`Ðlß`@ñýB_x0011_gV@_x0012_Ú34Â;a@úi_x0013_vÜ[@¡bz.ÔâW@_x0006__x0006_?_x001F_º`@ÌßàºNÝQ@(­4À_x001F_EY@^?ïóù\@+Ù÷ý9=d@#¹fÃ9gZ@£ÄwOd_x0013_^@Ädè)ß[@5nì´ºa@c#_x0010_w_x0004__x0005_wíb@][fµøÈZ@_x0012_°q¡Èb@Î_x0001_6¨[@_x0015_¿¦pEb@_x0017_vBqÊe@wa_x0019_qÅëY@æ¿À_x0007_ÁþX@G)érêé\@¢î¤ù	Gb@°+_x0018_U_x001F_a@_x0003_çÎÌ~¼b@BlDÕ	*`@*àÐ¦Ã Y@æ_x0012__x0014_³¨úa@|¶¬²ª^@_x0017__x001A_ÁÌÇø\@ÊÄnî"û`@¶4u_x0002_EZ@Ú3_x0001_-¥Y@ë´$U·\@Ò4bvÀ^@lcv_x0019_áY@ÜH¸:}ë`@Y8iZ\@»tv²]@¶ms_x000C_?_x0004_b@Cã6[-[@UÎÀÒwW@Q_x0017_ßì¥S@_x0019_$QwÓ`@ÍØ l_x0015_N@_x0004__x0005_@S`ýU_@-gÿòï&lt;S@xÛ@±FHR@6/Ùj\@Z-GãM_x001F_W@¤F·kÏfY@^~Ã_x0003_Ja@ç&gt;_x0007__x001C__@5ã_x0015_ÔÑ`@_x0001_w	Lâ°^@¦øÛqãÜa@wçe¢Uîa@*_x001D_bÖ9öY@_x000B__x0015_ª¾*Y@c ¦È_x0019_S@\1Á!î5a@nM_x0011_sè3d@ÌÓW_x001D_sî`@\w*aY@1Ô¾A`@_x0002__x0018__@Äö]¶Ð^@±Ç_x000C_&gt;+_x000B_a@U_x0008_u¥_x0014_c@¡·ôaö_x001E_`@ee¼D)Áa@b_x0014__x001A_-/_x0003_R@^9Sã`@_x0010_g %]@Íè_x0011_ÏÕb@S52k	Òd@¨§_x0007_r_x0005__x0008_Q U@4,é_x0001__x0010_\@vÊá%_x000F_B_@_x0012_5_x0007_bîÝZ@:_x000D_o^PX@Ü@Åo_x000B_`@¾x¢_x0015_.Z@_x0012_8þ¥Ee@"ÉëÍÆ(d@2S	yr[@¾ÒÐ¡cHW@ê]#u_x0015_U@_x0018_;_x0004__x001D__x0002_óW@_x0006_éªc@_ôé`@_x000F__x0004_7^ã[@[NÉß_x0014__x0015_X@Î©Î[@ç"_x001A_äFy_@ÐM I_x001A_ü\@¬Æç¹,`@hú[ÖbÁa@;þ¹µ4S@_x0017_HÝ·¢`@R-M­Ja@_x0005_Ä/_x0003_úV@Ñ_x0011_^	=¶^@fT_x0001_+Äa`@ M¦	yø`@Æ_x0012_dûk^@?R9÷Q^@¨;ÝÊ_x0005_­_@_x0002__x0003_ûHÅ)BV@_x000F_cUÞJW@A_x0010__x000C_Ø_x000D_#^@Ü_x0014_	_x001B__x001B_U@_x0007__x0011_ì±°Y@èðò_x0006__x0010_`@__Ô_x000C_Z@®2ÔièY@tBÃÄU@AMìz_x0007_`@7ß|©]_x001F_a@Lµß0Ðèc@ää%_x0019_¥Fb@_x0008_TG±ßÃ\@	iª@l)_@_x001F__x0007_0Ï²_@¥hr!NW@þmµ_x000C_b@_x0005_m_x0001_¤_x0007_Îa@C_x0003_jR_x0017_]@n+Ä_x000F_4X@c3ýÃfÆ]@ÐaE¤mX@\þ«T_x000E_Q_@³ÄÓz:|Y@âËßu¡c@ðÙu¿i^@Îà°ÿ6`@_x001F_ÐÙÌL_@ÑÄ_x0019_u|+Y@Oà¢Ú£_]@_x0014_gû_x0003__x0006_±Z@üi&gt;_x0004_4W@_x0019_XÇ_x0005_]@_x000F_&amp;kÐüUa@ÉÜíCPþ_@Üàó!^@Ì¶^±^@*|_x0001_ó¹_[@_x0004_øm_x0001__x000D_`@Åá°RÓ[@TãºCÏ^@÷%Ïr[@¨6«Æ_x0007_*^@²a²_x0002_vxW@DÌsDáY`@xâ¡-]@ºñ_x0018_ÿ Wb@ç-ã+_x0003_[@cÑ1b]@è_x001A_qq¨N_@YLdÏÆ_x0019_`@¢_x0007_Þ}Û_@`qÁÑÙ{X@7ÒK¬¼ÒY@/ø/_x0010__x000E_b@Dp_¶¥ÂW@üûk­_x0008_)\@Ï'uº_x001B_a@Xö«Ä9dX@Î_x000E__x0014_ê½[@_x0001_wJ(~b@_x001A__x0019__x0015_#\@_x0001__x0005_ÊiÞ]"Ü\@ÀØí¡_x0012_eY@=·âe_x0001_a@ÎëâÜ_x001F_s`@l_x000D_î_x001F_dh]@l_x0004_Ð?àj`@r_x001F_v&amp;ìY@qëâµ|]@Úv¾ý´ïT@_x001F__pÆ$_x000D_a@X¶JÆñ_x0003_`@S;)²4^@Üë_x0007_±Æ`@ÇW_x001E_¯\@ÍZµ¹Í9_@éL6X.Wa@ìªO6ýñ[@!_x0007_R_x001A__@*:Ù\@z÷üub@{a_x000E_äÉ¥c@ÛC_x0017_Øó_@+hÆF²´^@OB7¶HÙ[@ãmfs4@Y@(«l`6_x0012_]@_x0006_U:¶Dß[@_x001B_å `@yù!vÅï[@Ú¤%á[@gu_x0007__x0002_`]@_x0016_Fç¹_x0004__x0005_¨Td@µæªH_x001E_÷`@_x000D_Ú¹ã@²a@£ö&gt;']÷]@èt_x0003_è¸_@GH_x0014_ðp1`@'b_ªb@Á\K¸,_x0001_^@E.Á-ÒNW@7ya/_x001F_²_@_x0018_ÜÞa@|S_x0002__x0002_¥KY@_x0001_hDÀ_x0019_`c@³i_x001E_UNVa@_x0012_¥r Öæ`@ù,$ÿzY@÷î_x0017__x000F_hb@&lt;óÀ±Öc@«ì_x0018_M0`@]ÃÐøgý[@6ôÄ¢K[@«bC;à`@ôQeÖÕµ`@±åÄùV@_x0002_¿_x0012_±o\@åKÑ~_x0011_P@Ô7"ËÂíc@6;ÐëÇ²b@Ú÷æÓ_x000C_à[@¡µ¿e_x001B_×^@_x0008_üàíâª^@óé1·_x0010_³c@_x0004__x0005_¼¬ù_x0013_u[@shÝDô`@æuuºm	Z@æ§[&amp;¦èR@±ß³_x001D_Oãd@3² XÒ!^@_x0015__x0002_øY_x001C_6a@*Bj§aW@EÑÀÎe@p_x0005_éÐX]@7éS[@_x0001_[Z@mÖ_x001A_ïø"]@Eµ_x001D__x0006_vY@`ÁHøc'Y@¿&gt;_x000B_SÂc@|_x0003_%iÒF^@ùÓÉyIYZ@.k_x0006__x0003_`@#ìi¦\@v¯ì¥_x0011_X@^ÿ®_x0001_a@Á¨]ÝìW@/_x001F_#9V¶a@q+¥ía@BÓÃ%[@ÛøÖ§ÃdY@´!=¥=[@Q4V_x0013_»8V@_x000E_ÔÑiÑða@±ºRw¥[@ÿ¨h_x0001__x0003_yX@rm%#ì±O@p(b	Ü_x0013__@=^(C]\@³$_x001C__x0003__x0002_p]@"^'úW@_x0006_Ì_x0012_(_x001A_d@tqø½¬¢]@º¬êÍ°_@òÊÂ_x0015_ub@c_x001D_[iÏY@&gt;ãqÑX@Ntu_x001E_*A`@Ý«ÆlÀi\@xXÜc@_x0006__x001D_ñyÉ4Z@õñY]­V@è_x001C_PsA_x0008_U@6ÑÏ¥a^@ 8m2_x0012_[@^Æú¾ü]@h_x000C_t_x001A_8_x001B_\@_x0019_ÂN:÷[@¸x¾f&gt;_x0010_X@¾ö:`'Ë_@½A_x0018_`@æ dÎs[^@âX+R`@Üm_x001E_Y@_x000C_µ~ýî|`@U_x0003_HÂ|A_@_x000E_F1Ñ_x0005_V@_x0001__x0007_&amp;_x0012_®%a@lKèVmøa@_x0018_×74Ü_@Ê	eÆ	]@*	Õ_x0010__x0017_,_@¦íöþ^@ë¢DÏiö^@_x000B_Cæ ²]@Qõº!ÇV@í÷^3«Y@ô\_x0005_bª_x000B_U@_x0006_&lt;f¡EW@¸_x0007_¨/d¢c@&amp;,!û[@&gt;9±Ó_x000C__x0007_f@¤ìÞ_x001F_nì`@ÿ¥_x0002__x000F_é3^@±ó_x0003_áY@_x0003_ÌZ[}S@W7'5_x0001_Ãa@­b2îrb@¹r±V_x000E_Y@´_x0004_×·þ_@H¶Ø&lt;&amp;c@-_x001A_»ÅY@.´^·PV@uøÓ_x000E_g%`@~ºóá_x0019_"S@²Ò_x000E_Ñ*&amp;a@½J_x0014_ò_x0005_b@_x0006__x0011_ÃÐÒ_x000E_a@hiÒq_x0001__x0002_ìÜb@/mHË5_x0014_b@:I¬ë´^@q£)-&lt;a@_x001A_Ì¦èZ@*R|¼¥g\@-¡ã¬_x001F_°R@öü$î$`@ãÁî_x000B_±W@0_x0013_Öþb{Y@ìW¬MßX\@ðít_x001E_È+a@Ê®ýQÏb@·æ_x0014_ÜR_@/_x0010_pg?Û]@³©|Á|[@_x001E_N_x0004_q¤`@Tú¹À^`@xmíÖ0\@ü}Ç%$`@×_x0018_Êo/X@_x0004_xo©b@r@GDû]@tÉñu[@m-=A£	_@Ñ®É	l\@ëuõ×rõV@wujÝ_x0012_`@sÈ_x0012_Ý6`@_x000B_ÝÃYI`@_x0014_tKt¥_x000F_a@Y` NU`@_x0006__x0008_þ~wÅ\`@ÔpÄæbr\@T}E_x0005_tÐ[@bÞ_x000C_\_x0003_Z@vlÄb@_x0002__x001B___x0007_Z@_x0006_§Òî¼Ö]@È}_x000E_ÉY@hxy^¹(]@¨¦`0¤\@x}Ew`@ç\Âë#_x001D_`@K 5P\@Ýæ !a@?ïéá X^@Y_x001D_òZÊ(_@ó%o_x0018_÷[@Zÿ	Ù\@"F¢"x[@_x0014_ÕN.^@}¾.üÃY@;r^bÃZ@õÌ§²Ða@L?ûYø­a@_x0004_Ù\^@_x0014_Ed³_x0007_î[@´âd®|Ç`@~_x0016_:cÿY@Æ_x0001__x0017_Ú_x000C_W@¢û&gt;ú^@þP;¯ò ^@6fO_x0006__x000B_VßU@_x0012__x0001_Åjó9c@å*ñ:í^@ó[ éÍ`@_x0007_1_x0008__x0003_\@V'_x0012_:_@ìò¾äÑGX@·£e¶gX@d4vµìzT@®tF¨¨àc@u_x0002_n_x000E_H_x0002_`@f_x001F_2!h_x0016_S@¡^Yà¾!\@r«Ó·*`@à§ _x0005_»FX@_x0004_Ë¸wV\@¹üuW@Ñ`É­ÕÁ]@PÙ/¦9Û`@_x0015_îLb,Z@lD?§Ù\@ríö¼YïX@L_x0006_ ýx_@¹|4L4^@b&amp;_x001D_&amp;«Á]@&lt;Þg­ÆV@"Ãº´_@¸_x0001_MàÕÀX@ÈüÌÎ_x0003_Z@$¥î~_x001B_¤a@	GNÝR]@CfßÔÈá^@_x0004__x0005__x0005_û8©&gt;a@bD°Îåra@©pôÞTºY@_x0008_$ü°ñ[U@G_x0004_FÐº½g@_x0005__x0003__x0012_åSa@¯_x000C_s·d@æÉ_x0018_'»b@²ÒfJ0S@6÷ì_x000D_ÕÜb@óoôLñVZ@°¹{IW@ÕX=YØ\@_x0011_Û]ÿ¡ý^@_x0005_w´­ÚZ@©jÆl3\_@(«_x0017_!a@_x0002_Z=ßñ*b@IÃ¦ímËR@oDµs&gt;_x001D_Z@²{¢X@Üõ çgÂ`@©¬á_x001D_EZ@ü.¹ðI\@²_x001A__x0019_É	_@l_x0013_¬Ý_x001D_a@ì_x0001_; âMb@&gt;ä4ºL5X@pæ}¨&gt;ÔV@GO ä]Øg@ÁÐ³f^@g_x000C_Zó_x0001__x0002_2´`@¢^1±/ï[@²ü©i_x0013_÷W@AFèð?_x0008_[@þÔA_x0016_jZ@âÏ_x001A__x000E_b@_x001D_Ë³W[@ç®_x000B_I_x0006_`@ìc¬Èdî[@c~5ßK[`@8pNÏE_x001C_W@òï1¬_x0004_%X@_x000D_º_x001B_R¨^`@v«'_x0010_©*d@ZßðÚäY@¢F¢&lt;&lt;®V@±z_x0004__x0004_É]@ïZdÐ^@wÆÓIU@S(b_x0011_Æx`@¸_x000E_´µ_x0010_â_@/¬¬¶_@&lt;;»´R@ý&lt;ú_@Ç¸a_x0017_xiZ@{¬ñ)_x000C_b@&lt;t_x0018_gf_@¸ û[âU@9mo¥A[@R$_x0006__x001B_)Ïb@Ì_x000F_x^@4_x0005_&lt;xY@_x0002__x0004__x0001_m[_x0003_Úf[@ÓÕo©½ìb@ö	­8_x001D_b@YÕ\@ÜêÂ±`@s59_x000B__x0012_^@ªÅöY@ÂBÍEÂa@_x0010_/1Ë6¾b@C_x000E_ÀY_x0017_Äa@éî¼_À`@F%ò±b@cÝE"ÖX@ñ+±f_x0019_^@ÌBº_x0002__x0010_Y@ÓîÝû¸^@ZW¡ªZ@&lt;Å}DÂ¢[@_x0008_&amp;E_x001B_k^@ªO± &amp;¶\@âoibþû`@_x0014_"K_x001A__x0013_l[@P¢òF¥´c@B_x000C__x001B_4_x0019_í]@ì_x0015_½ÙU@^¢_x0015_UÚòY@_x0008_g7UY@ð&gt;¥^¤b@P¹¬^3¾V@fÌ_x0019_¸]@»_x000C__x0007__x0003_µ^@ú½§à_x0001__x0005_^Ü_@_x0004_äR_x001D__x000B_Lb@c_x000F__x0007_S^@_x0002_åNX@Î_x000C_O0[@&gt;_x001E_ZÌÙb@_x0001_w	Â{_x0006_]@nÞÙ©^@ÛýìàFû_@ñ_x0019_y¶¶3]@áy&amp;ì_x0013_[@N__x001A_ae@¼UÄ~±a@_x0001_(°Ó_x0012_b@ Ûú7_x001C_Y@k0_x0003_ÀI[@/Mzñ2b@þ&gt;QUk`@#É"W¥l]@¥,)c@ÈÞúrç_x001F_a@ðÍû_x0010__x000D_a@Þ¤kÀr`@T_x001F_P0^a@cÈENDV@XÞT?É\@®_x0019_J_ÊW@í{_x001B_Á_x000F_ÛE@l¸·éÔ`@ð³zÃuîU@Nßt[°ôS@¾H&lt;íº"`@_x0001__x0002_»*®-êY@ô§!cà`@QT¦.pa@_x0015_!­ÅZT^@_x000D_8_x0014__x000B_b@&gt;¿aÕZjZ@x¼xøra@ê_x001C_©íà&gt;`@â¦ÔÔ]@l®_x0012_£uÁS@8j(w[@hðÆÄ÷_x001C_b@È^n2sGc@.æ_x0004_®Þº\@_x0012__x0014_{È_x001D_W@_x0001_=_x0015__x0005_ä`@æ_x001D_£§rb]@¼âzÈ]_@m-_x0005_û-z\@9®z[@^NÍ_x0005_®]@ÓMc_x0017_a@'o{_x0005_À`@c¿_x000B_6`@Eá7_x001C_µ ]@¶¡_x0010_$¬_@´§zª*d@_x0011_'t-»T@&amp;_x0010_Ç©_x0005__x0006_Y@¶o_x001F__x001A_ô_x000F_b@_x0001_ån´íX@Ï(j_x0001__x0004__x0007_1`@ç¦_x001A_j/Z@_x0014_Ip_x0002_·ø\@©avVã²^@ÉbõJcMc@ÂÐO_x0007_ÌÖX@½¾§hQ@ÂÉ¾¤Z@Ç_x0016_h¾_x0008_µZ@TÃY¼_x0016_ `@WÖzÃ.[@÷f/*_x0007_W@è_x0003__x0007_óÏY@Þ) ü_x000E_´`@d%ú¿_x0006_î]@þ¡ý_x0012_}´W@±}¼{w_x0016_a@°ß¶ý_x0014_r`@z_x0016_XWÄY@ê\ªÐBÌZ@8¯Z¾Ê4Z@®®T_x001E__x000F_\@÷2@Åãoa@&gt;Ç6S Y@ÑXXÉÂ\@_x0004__x000F_É´_x0017_W@z*Eb^`@&amp;¯Àa`_@0N$±¹W`@7bäVx|Y@_x0011__x0003_×føÎX@*(xY\@_x0001__x0003_èw^;_x001F_\@ñXx&gt; ÝZ@À~ùPW@X_x0005_àk^@ÿ_¦ª_x001A_¿Y@x(¹F\@¥}Þ_x0002_~]@Ï#¯-_x001E_æ\@0Ù­Ç+¹`@RÌhñ.HX@Ù""ó&amp;õ_@ô+=_x0008__x001E_b@O	_x0013_°_x0008_Y@þ»mOo[@_x0010_±T]²Æa@WÞgÇ/b@&lt;6-²[@_x0007_ÿ|zmÂ\@G_x0006_4·½[@0æÉ³M_x0007_\@	_x0012_Ø_x001F__x0005_iV@=µ_x0008_uq:a@ðî*]@U7=t5W@ô%OHdÛ[@Õ¦BY@nHì@Z@eµ_x000F_BÖZ@Ã¥Þð&lt;J`@9Ýxà[@×cI _x0002_Kd@¢@ÏÊ_x0007__x000B_ç×a@ÐC7ú[@7_x0013__x000B_ªc_@J´_x0003_ÇxZ@_x0013_²øMC¸_@¸_x0010__x001A_÷a¬_@ø_x001F_c9Z@r#ÚyoX@z`½ò]ë^@q­ø@~sY@0P õ_x0004_\@|È_x001E_ÔÊZ@(VÁö#	c@Á_x0001_NvËÇ[@Ç_x0015_°æ×'a@_x001C__x0019__x001D__x0008_`@ÿK?ÞÝY@b_x0018_}Ê^bV@fÆy7Ë_x0019_X@=ôokÉFZ@¦ÿy¼hBb@ü µþ3M_@Àß_x0007_¥_x000D_V@Wo0_x0002_¦X@km_x001A__x0006_ÑE]@âf³Ðk[@Áöô_x0018__x0012_^c@ü£&amp;_x0005_Z@5Mºm_x0010__@52L,âX@WG¥!"[@åùfÿò#a@_x0002__x0004_ÏWÐL`@_x0002__x0016_}Ýa@_x0003__x001B_íd\@W&gt;MMÃ_x0018_\@é_x0012_Â&amp;_x001C_{[@Ã6åÌ+V@2z.dB_@hOÜe×V@â9üÐ¤_x0013_[@K_x0001_.Õî]b@Òn_x0003_Í!]@_x001B_áDL.6b@ÞöÙ_x000D_º_@R_x0004__x001D_@8`@ô_x000E_aôx]@S_x000F_p=_x000D__x000D_d@_x0014_»_x0001_­G\@Aê¸_x0010_a@Î_x0011_-x­_@¨Öô`k}a@ûMIÁºD`@GI/YÇ\@ÎJ@^@à+yBEa@væ:T ÄT@^7,5r5X@âÕ_x0011_¦¥¤^@?È·ÓÙûd@_x0006_ä³vôb@ü_x0007_¤S_x001F__x0017_b@¡]E5Èe]@w¯ñ_x0004__x0008_6î^@®MMLVÌb@[ç_x0018__x001B_å\@;Ñ8w_@eÚ4¡X@a'8øW@L*ï_x0015_aa@°_x000B_¹5_x0004_£W@_x0019__x0010_	Hc@T_x001B_ïbk¸a@_x0016_øQ°è\@ìÆ_x0003_a_x0018_3X@ïâÐDOa@]ÄÃ{¶da@.¹@L_x001A_^@_x0019_Á._x0007_Á³X@6ÐÌ£N¿[@w_x0015_é,¹X@$à!_x0003__x0005__x0007_b@ZLí_x0016_ô`@Cod_x0018_ã`Z@_x0002_LsU@fy+H.Û`@]µ¦ùa@ÚPj_x000C_Ô[@ _x0017__x0012__x0018_a@þ¦k×8d@_x0013_Á`'_x0006_b@t´)_x001A_CX[@_x0002_$í_x001F_Sb@æaÛùéyb@?ÿ_x0001_DCX@_x0001__x0006__x000B_]Ë¼ôF`@2Å=!¤nU@z_x000B_ ü@c\@ÌQæ¥óäW@qmÊë_x000F_a@Ëgø\@8)_Ã¨_x0006_T@c¥­À%U@êBWÎ_x0006_^@ë¶_x0001_`'`@q×þs09`@2ëãÌ_@ÒX_x0015_Ró_x0012_Y@)ßZCøW@p _x000E_d`@*^ Rw_x0003_b@_x001F__x000D_D_x0002_æa@Úpu_x0018_`@þpÔ7µ]@âf$î«¯\@Ç_x0016_ÁRd@8\Ì·Í(Z@¸_x0004_ÉÁæÌ\@¼_x0003_î_x0005_â]R@·&amp;'W@_x001D_+Ê#1ÿ\@Pv\ß)ì^@_x001A_NWtS@ÚÆìÿÜV@_x000C_%_x0012_TH'c@gìpÕ_x0010__x0014__@,)¡_x0002__x0004_Í¼Y@AÄ_x001B_ö4ÜY@êLÿ_x001A_[a@_x0004_hj¯[[@Ê'ª½_x0004_h[@¨²]õPa@¨ÛF+_x000B_`@l_x0011__x000D_ñÿ«R@oß%ßàb@[_²þ&lt;Y@(Ôeá=c@_x0019_ý¨ø_x001C_,b@{Éq_x000C_ó_x0012_^@_x0012_@	_x0001_ÉW@ÆkíÂÈY@'uæ[Q_x0011_`@À_x001B_&gt;TSY@ÁÝÔ,6]@×ÍÚ_x000F_û^@$O3Mh_@îK&gt;åe/_@Ë	!ÿ_@s÷¸f`_@Ó_x0003_U]²&gt;V@_x001C_1_x0017_{`@]óõÒÑW@øè¶;5_x0003_b@ò'_x0007_µa@Äý]ú^@èfÅQ_x0019_xd@Zã²E]@u,Ú#`@_x0005__x0007_éÞÝa`@_x001A__x0012_¹/äqa@_x0019_;ó)ÏZ@R$q!²]@Ñ_x0005_A	ºX@=¨S§^@ÁÃ_x0001_h0·X@i')¥¼[@é_x0002_Å®±©]@Î_x000F_Uu«Y@õ£Ò_x0019__x0003_c@úB_x000D_Oõa@qà&lt;ü0ì[@»ù5_x0006_nv_@Vr_x000B_1qP@µ_x0016_ÚFZ@CØ°_x000C_Sîe@rHØ­îV@Ó&lt;$7!^@_x0002_ûégo©Z@°%gÃäeW@¼,â^ZûT@U4³lüòb@å¯×¾Y@Ûº×Ñ)Ú]@·_x001D_m~`@ÎimÚè]@Á_x001D_75Á_@¸É(|µa@xc_x001F__x0017_ºÙ\@ø:rØÆW@_x0004__x001C_¡³_x0005__x0008__x001C_¹Z@#KÚñ:/`@Ë&gt;$p_x0016_Q@»Ã«_x0005_Æ_x001E_]@_x001D_ø(_x000B_|R@_x001B_ÎËIb@bÓhÆ]@_x001F_¤£µ`c@A_x0008_KóZ@bµöÑZ@ïï_x0007_oÀ_x0018_^@ª_x0016_Æz^@*°þsÊ_x0003_b@þ/·!èF]@¸_x001C_P×üXU@N.Ïjx1Y@JÔé_x000C_Õ_x0019_W@_x001C_øI¹Ï_x0006_d@³í¯)ÒT@ßOÑÃ_x0014_a@Ù_x0018_}ú:Ñ]@´&amp;J_x0002_ÞW@l)ì38$^@¿_x0014__x0004_uV@}ÛÐØ~W@ÁÜ_x0001_M_@õE|ôfZ@ÛbL=ø`@g1X_x0008__x0002_ñ]@ ´ÿD¹;]@?ãhºé\@ÎÀHeºÉ^@_x0001__x0006_*&lt;Øñ'a@µ*«|)f@è_x0005_=FSZ@î³Ð1&lt;V@ÇTË@ò|`@OÊ~\)c@5'À]]°\@RïcÅÀd@ÞJýnÊ\@@ñÄèùµa@}_x0013_Ö_x0005_Àü^@ê½Nb^@lô&gt;)a_@Rõ_x0014_Üu=`@s~0ÆÂ__@_x0019__x0015_¶êF!X@_x0007_6-tW	Z@_x000B_ÌuAb@¼µ*ÉÚd@è/OY_x000F_6`@á?Ë_x0010_ gY@ v:_x0003__x000E__x0004_a@_x0005_}}Kü+b@:gõü'_x0014_b@K¯Á=~b@2Í!_x000E__x0008_ú[@Ö·ÖÛ*M[@ÏA_x0015_cU@¼IP_x000C_a@_x0002_,(hs^a@úè°XZ@dÛý_x0001__x0004_]@_x0007_ÖÞ_x001C_¾ªc@ë_x0005_7_x001D_¬^@_x001C_=uÉ0Y@a¡m5_x0005_YY@èCíèE6a@å8&amp;ea@_x000D_Uê3S[@G¿cV@êU_x001C_¹ÿJa@Ô_x0004_³Mu´V@ ôÒ½`b@$Þò±£þS@*_x0003_®æ/@_@2É_x001A_rdª`@ém_x000C_o=\@{ôze"b@äòä­oø[@´WTëLa@¿õU²]@K¦c4X@	Q¹Ñ_@U'k}a@ÍHÖ&gt;^@ØÚy³_x000E_gb@u_x0011__x0006_$Ü[@â9®ø-e@¾_x0002_CèÊa@ë§úÞ_x001A_c@*ìÎ0`@_x0003_3dT¬`@ò_x000B_h¶_x0019_[@_x0002__x0003_éP¼¥|]@¹2)Ýc@''9ÿjq[@ºCó8`@FÝ²½e]@z_x000E_ê®"Ø_@i&amp;_x0012_B_@_x0008_7Îè6[@2aÅð¢-`@Ú¸_x001E_2®a@YÊô_x001D_?7Y@_x000B_5»Ôã]`@Z×øî©a@_x0012_°ï¥_x000C_ì_@Ð_x001D_ß³æP@_x0010_;²ðX@_x0001_Qí©+YT@T²&amp;	s_@v1Ö_x0015_É\@G|'ðÈðY@ù½p«`@r_x0005__`@_x0010_êkYëe@Ú¬CÝ~¯`@öï_x0004_è·_x0001_S@H#_x0015_¤h@_x0007_y¦?_x0005_d@uh:æï[@@0Ø«gR`@IWg}_x0008_¦[@'®b3âDa@Ç¢«Ð_x0002__x0003_]ÏY@`_x000C__x001D_óØb@F£9ü_x0007_`@"_x0017_²PðËV@!H:c_x0001_W@Ã]åª]@y¶ÎÔ/_@£¶yïþ[@_x0016_Mú,±b@H_x0019_¾9×b@ò®Ï1]@Å0÷õx\@®3rñ4T@²5fõÛÛa@»¤&amp;-Ù½\@ó¡È¡mZ@ 7CØ½Í[@Çé¼_x001B_Þû]@òM&amp;ôh[@Öî_x0018_)._x000D_\@_x0012_²_x001C_ô_x000D__@;Ì·á["b@_x000E_·A([@*ê¯M`@Yõ0Á0Y@j_x0016_´Á¯Ub@6LgÀÄÊ`@-8]_x0010_6'Z@vh{/jï^@®S¹-Eâb@«Ç_x000B_­Ù_x0008_b@26_x0002_¨"W@_x0004__x0005_ðóU´ø_x0008_V@¿¿?_x001B_P0c@_x000B__x001A_#k_x0013_Y@ÙÁ`¶3'`@5Ýï!¾\@z_x000F_«_x000F_a@«ô¢_x0013_e_x0001_[@Ñ´Z_x000B_6úZ@u_x0002_O_x000C_9&amp;\@×a4&lt;_x000F_Y\@´RKm~U@VÊ¦4á]@üä;zW@n_x0006_#SÔT@µ(P_x0004_¨b@ÝoB!¢[@Õn÷Z@¨å_x0004_ðV@U¯e_x0002_¬ed@¥0._x000C_b\@Æ@¹»l\`@ö_x0003_^_x001D_9`@_x000D_ÜÇø8d^@_x0011_üÈHûhc@×i9`^_x0014__@_x001A_ÁÕl\@l_x001E_ìe=/W@·_x000B_ï5Qb@%®5ÊKa@Ü_x001C_Ý_x001B_å6[@$:ÿ`·t\@ôïÇí_x0002__x0003_v`@ÉÆ¡=g c@æou3ÎW@AÑ_x0005_ãÒÔ`@ÊØÆËÔX`@_x000F_Òö¦{Ô^@q°_x0013_4r#`@_x0010_'¨iÅq`@(mv_x000C_Ya@_x001B_Íêyd@îÉ±OÕÕW@R¤_x0002__x0003_S@uV¥zN=`@_x001F_çÆPÓ\@y|CÃªZ@N6b@$jÿ}¹\@6*ð[@N¸´¸c@t0_x001E_«[ÔY@Êì3çÍïU@­ºµ_x0007_x©W@å_x0014_° U@_x0010_­yQ@Iá_x0014_?8[@@Þ÷ÏIZ@'ZøqA7R@l½+_x0003_ÐªX@I¬_x000C__x0001_^@,_x0018__x0007_\^@_x001B_iMjb@xÉxYËR`@_x0001__x0002_ûRFÞ_x0019_`@ÆÜ.óX^@XÛSÁ©`@©Ç&gt;O¥_@{Pt_x000D_MX@:p¾}QÈY@¯³W_x0018_Í¿V@&lt;Öæx._x000F__@¤K¦õxb@M[þÐÁu`@äÖ½Xw\@'OFâþé\@&gt;ÈÎ6AY@r¢}Ä%]@Ùü.$%¯a@æÔ_x001C_Ê{^@¾_x0012_qMè]@_x001C_üLî!yb@ÚÐ&lt;_T@÷_x0007_U0ÕZe@B`Å_x000F_]@Â´åÈóV\@%(÷{_x0015_¾c@%&gt;_x001B_7_x001C_ªN@¶;Mf_x000B_c@"²Î]Ð[@_x0003_Éi_x0003_'Ob@_x001F_ÓGpùn\@_x0008_Wg_x0003__x001E_Y@rH-¤lþa@_x000E_¬ï¾ñÜ\@O«]_x0001__x0006_l{d@ÞY1Cú`@ùH_x0005_W@Õ¥WhY_x0002_c@_x001A_N_x0006_}òQ@px_x0015_²Zc@Îþs_x000D_ð/[@ÛÇ¶|_x000C_U@^e¯²aR@_x001C_ÊF"*`@ý	È©Y@ #ç1B³c@û¢:O¼b@_x0008_jMy¸ö\@#ß½êÊÀX@_x001E_ü ¶Ü`@¤½_x0004_ý&lt;Ab@0ÖÍ_x0012_a__@_x0015_&gt;,ß#`@¿_x0006_Çº~\@emç:%X\@¸ÏVký]@Mt_x0003_¹ßúa@yì.H^`@|I@EÈmX@PPÉñ&amp;v\@¾¥Jë LZ@,ÛvBT_@ñ_x0015__x0013_SÓa@oÛ¶y;MZ@4æD/l{Q@TÛ§tb@_x0001__x0004_°â'_x0008_¶]@FLL_x001B_Ê[@~ÚtV§ûa@°á¨â _x001E_X@ðÊ_x001F_ðT_x0008_b@È¥^_x0016__x0005_þ[@ÚuS1c@~ø½1§C`@_x0007_ýÞý_x001C_]@_x0018_@_x0002_¦{a@ ­~ô_x0014_õ`@Ý¡Îå/Ï[@CïXZÂ]@Í~_x001F_*~¦`@TÕú_!V@:ÐôØålN@ù7£VÅT@ÄÚú|óvc@È_x0005__" Ý_@m_x0012_Àï;[^@è_x0005_I}X@f*p¨_x0002_ìW@ÝÇ&amp;v1]@Ø_x000F_ßç*X@_x0010_¤5_x000B_Aa@ÿ'KöK5]@ _x0007_J¢»^@_x0003_3£·z`@Ãk©É`@."[ec*]@zËè¬[[@0YëT_x0002__x0003_rCa@þÔ¾¹Û§W@îÇT®÷Y@È6ÂµSY@Kòp_x0008_O\@_x000F_n)_x0004_ý	^@lùí_x0016_®®_@¥+þêv_x001F_[@A"¥ºÌ_x0012_a@ÆÇ}¬Øb]@ÐÚ_x0013_¬)^V@¼&gt; _x0017_N_x0002__@þ«_x0002_ë\[@Â4ÝçÝ^@bL¢ë5\@*oe^%_x0015_U@"ã _^@l_x001B_"*¼T@(%W¶~[@N¸ÁðÙÌ^@GYÑx;Z@_x0001_úI»,«`@li ¿_x0007_`@_x000E_&gt;³ù_x001E__x000F_^@¡®@á_x0010_]T@íy_x0001_B©`@iZ÷_x000C_?É\@_x0014_!CËÿ]@ÀMâ?-g^@±KÚÂmf@J~ÉöÂZ@õ)ÏVOhY@_x0001__x0004_:ä¥Ã_@`gr#]¥Q@(â¾Üä_x0010_a@Fx_x0006_XÂ_x001F_Y@:¸µ_x0003_"^@[U_x0002_Éqa@B_x0007_[ü/^@U9_x0015_îà`@PÒ_x0005_èÔ`@ýú(ê`@0=wo/$R@_x0019_R_x0002__x001B_Ña@º_x001F__x0015_øñö`@(`Lãd\@éÜ§HØa@ptm·Ò_x0004__@Þ£CvKW@Qq#²_x0003_b@ðõ\ÕÆhb@k¡¦¨Da@X´ÉÅ;à\@èÍÀÿE[@YY¦Å­ç`@A§| &lt;Íb@çÙ.¨ÞÎa@äfÿEk¸`@_x0018_¢=Øì4X@&amp;_x000D__x0010_ì%W@§!YÎÈb@0ôJqÅ\@q@_x001E_¥`@Õú$_x0001__x0005_à\@L-þ\-¼a@çEú-ÎDb@ÇëÐîòzZ@_x0017_ÍAÓ¢Qa@H¡Hâ9Ý\@Ã¯L_x0005_ò[@bÉùl@î[@LÌ_x0017_Gè[@¬v8`` d@_x000C_¨o	Uza@­_x0003_.½i-X@ñ_x0008_¿_x000B_éf[@ç´_4?\@m_x000E__x0004_ÆÄa@uì9ê_x0008_a@+@_x0012_LÚ&amp;]@¯lç°aR@_x0012_5÷\äb@}\ _@_x0010_ÆÌÙØ[@£+-ªï]@;_x001F__x0014_ûa@dÐSµ_x0013__x0016_a@	¡¯T@ÀgË¨`@p¶ãZ_x0002_X@t_x000F_¢BvU@ëgô{f_x001B_a@MVHÄY@ÝNHoea@*ÓôL_x000C_T@_x0001__x0002_Ü7;ÛÙ]@-È¢fóK`@&amp;:_[î^@EO¸/×´Z@É_x0016__x000E_{_@äf@_x0008_×^@óÂ&lt;zy·_@MXß_x001E_.y_@L*k±ïÁ\@3_x001A_[&gt;_x0004_~\@ºµ#¢0^@Ë)|N+``@8ò£]ß9]@fsÀ ¦_x000C_a@°Öx6^@PöK¯@O\@_x0001__x0015_Jwã«`@_x000E__x0004_Ön´_@ß¹_x001E_Ó]@è©XÂZ@À	ö_@º»M¿ëc@G})ù[@_x0008_Ã­ª¸:\@n½Be+}Y@_x0003_R%Ä[@ý÷=pã]@$L?PW@Ê&gt;3©6\@î[}1\@d@4+r4a@¯ _x000C__x0003__x0004_çHX@zËjH_x0003__@ SDºÍ_x0002_c@_x0010_'Ôn3)X@M_x0006__x0001__x0018_]@á(ðSû_x0007_U@ÚxÑ×¡_x000E_g@_x0013_dIZÙW@hô5hQ_@_x0015__x000E_yÇÍ±]@bº»$ºy^@Núw_x000C_ÚY@	±×"7iZ@ìÙ§:V^@3+À_x001A_`@Å_x0002_à_x0008_`@`_x001E_`9Q_x000E_b@m_x0012_6a@_x0006_âO_x0014_\@3jÌ=;÷T@Õ(&gt;¥`@_x000C_ËGf_[@2)kä`@l_x0017_¹ÕËW@_x000B_ ¯É9ó^@'ÐÏçì^@8Ã_x0013__x001A_e[@õÒqâeâ]@RÃÙ=t\@f_x001D_ë_x0006__x000B_]@ö±T~_x0004_`@üæØX×Í\@_x0001__x0002__x000B_þ_x0001_Í+T@¥^Ô2ë4\@Ìô¯× RY@ptÝpBZ@ïÈ_x0017_Ò°Ëa@\|¸¬ÃW@,PTüZ0d@vÈìæìa@?_x001D__x0016_¸F)\@ÖpÔ4	÷X@G_x0015_oo¥wT@ö_x000B_áh_x0014_¯]@y_x0014_Mu«ýb@ÝÚ_x001A_ê~W@ºvMÓ_x001D__x000B_b@¦FìôÙ_x0005_`@´k¼~ì_x000D_U@d¿F4ñZ@âR_x000C_-q_x0005_a@_x0008_îïØ¢V@_x001E_ëì+Óåb@^EGcÙNc@hvì¬9uW@­Ün¤f×_@ $R´a@Tò}_x0014_Ì`@¢7¬é_x000F_)_@Ëz¦}_x0012_dX@vÃS_x0004_|c@(ÑÃ¤ä_x001E_Y@,¿\aa@Kþ*1_x0001__x0005_p·Y@_x0018_þX~[@l3}]§õ`@_x0008_§æ¦o)^@Øòòã`@Ú_x001C_E*[@/ËRæ¯_x0002_a@®í\v~²`@¨e_x0019_ML·]@è%-i¿a@_x0019_èCQ¥]@[ÍÉt;b`@®m­&gt;&gt;T@U_x0013_d×é[@WgÅã¢[@t+V$e@f_x001F_£VÌ8[@;u°{¡X@òË_x001E_)_x000D_&gt;Y@sU{ç_x001A_ï[@_x000C_)ÖD`@_x001A_ÄÕ´õ\@ún_x0007__x0003_ÿa@^r_x0003_tH]@Iò¬Ñ6a_@³_x0008_Yî_x001A__@¦lxj_x0019_¦^@!o£_x0004_õÃ]@KU!³'÷W@k ÙNØa@LÅs_x0018_´_@L_x0019_ÿiN[@_x0004__x0005_a_x001A_@b@kÙa½Þs_@&gt;¶ï(/a@àlî¼_x0004_c@uRôNÅc\@¯f­_x0012_`@4ZåàÄiY@_x0012__x001C_dL¡^@,_x0002_:Þp \@ÇTîî_x001C_ë^@Ð±gQ!X[@`kÍ(_x0010_b@àT%dÏÊ\@Hùp_x0001__x000C_Âa@_x000D__x000E_Ö×a@}Pêï¶a@_x0014_aÊ[bY@ê`&lt;nAEZ@tÏ&amp;èÖ`@_x0007__x000E_úÌ&gt;×`@IUßÄÑ$a@*Ðvñ9Z@P.8r¬Z@ßR¬çv¶U@L¡~_x000B_¼Q^@üety_x0007_b@Vß$Là¤d@àÚ³³/U@*Rîga@°_x001C_PS_x0003_Ù_@eÒoÉñ]@´_x000C_Õ_x0002__x0005_X@Ý%SwËY@ÛO&lt;S"a@Y_x0014_eì[@&amp;ã²§´_x0016_\@K÷{ËÌ`@M/Ãma@3¦-» Ä^@_x000C__x0003_²L`@¨Á'²_x0010_½]@UÅOÏ`@_x001D_®$Ó=Z@`|ØJJb@|ó_OÕ_x0002_Z@ÑÏmW_@Uæí&lt;Z@&amp;ª_x0004_ñ_x0015_ºX@ÊÉ¨.»[@f_x0001_0¨Xq`@._x001A_Û_x0010__x001E_[@;ß[qV[@ò	~7Rr`@m_x0015_UÝ_x0014__@K%©ò#d@_x0004___x0018_PC_@)E§_x000E_*l`@_x0018_ð_x0012__x001D_U@·?ÐFç)^@_x001B_e2#_x001B_ãc@¤&amp;Jó&amp;çb@cgè¥a@£Cê§÷×a@_x0001__x0002__x000D_#Ã¿ÜS@ &lt;[È÷2`@_x001F_n£_x000D__x001B_`@Üà_x000B_¡³_x001B_T@°gê_x0019_2Y@0ý`@ùHâïZ@öÓg6É`@_x001C_j_x0018_2ib@_x0004_µQ_x000F_'\@UÂy®vUU@_x0008_æþ%\@2ñi¡_x001E_[@_x0018_â¦õa@Ì&gt;1_x0008__x0003_[@¸_x0018_EaßU`@²,ê5Ñ&gt;\@j._x001A_¬Â^@MwS´ªa@c¥)Ã_x0013_¦a@¾V]¤çS@¹w_x001C_·"5d@£?ç÷`@Rj»DPAa@HÏ¡S4ñ[@Gx_x0010_Ñ_x001D_ø`@~ÊM&amp;õáb@Ë_x0001_Ot_x0007_}`@úó³yî_x0006_]@d=_x001D__x0010__@W@¯eÚÓÅ©]@výÚs_x0005__x0008_u\@Z	_x0011_¬[@u_x001F_QÖ Y@Öj_x0011_Z@"öj¶ _x0018_`@!k:hÃa@Z-³_x001A_æÚV@ß¿\@½ùî_P[@7õO?b@_x000E_{"_x000E_oZ@¦èc/¦U@_x0002_5Ê?_x0006_`@h,E±_x0017_\@¨_x0008_Cx[@S_x0017_|_C_x0007_a@|Öw_x000D_¸Z@ÊB=`F¹c@ðÍ_x0004__x0006_MV\@_x0006_ª_x001C_¸ÇY@íù`Ë_x0017_&gt;V@âI«wÈ_x001E_a@uÏåuÍ^@µ·"x3_x0015_\@uÐ¶VY@övª#a@èâ_x0019_·z¼a@ÊT_x000D_«¡üX@#â61·¢Z@¾#c÷_x0001_b@Ï&lt;³·S@LðR_x0014__x0003__@_x0002__x0004_k^ÇÕ_@_x001C_ê¥¶!_x0012_`@¯»é~"a@q7åxâ_x0008__@i5Ff¼^@Zã	ÆR¡b@_x0001_©gãÕ¦T@WÒ_x0003_	u_x001C_`@i_x000E_ÉãÌT@¾_x0001__x0018_v_x000E_ÄV@¯_x0008_]^@_x0014_¯_x001B_Ò_x000D_Ì\@#ØÊ¹V@ÐaYÄU@íe²²d@Êã=vëã]@KT_x000D_)¾\@f»´^@¦bbI%÷`@_x0011_4¹_x001A_b@^~mÚZ@Sse_x0011_@ïZ@ò_x001D_ÿéË©b@iÆæÏZ@_x001C_sèA;5\@Þ´4_x0007_\@©ÊZ¨â6U@E7ørf¨c@~ÿÎÐnÜc@Â_x0018__x0003_ÍyM[@_x000F_^Ú¬7\c@_x0003_ÔòX_x0002__x0005_¾äa@¬:xD_x0002_S@tÂ_x001F__x001C_ÌG_@~u´¢GV@ì±_x0018_ârb@_x0016_EðqéVb@(_x0003__x0011_ç·X@c`Ùiî©Z@'ñó&gt;_x0013_a@¥]×.C_x0005_a@¾V·×ÕX@~_x001E_Þ)_x0010_Yb@Ö¤_x0019_Äc_x0002_Y@r Ù_x0007_,\@9_x0003_ÏOê_x0001_c@µy[W©b@B^kË-_@â¦_x000D_&gt;3ÕS@¨Ç_x0004_°à\@"¥×yÁR@Cî_x0008_/ö-]@×Û;í·X@àúÑ_x001E_¢kW@ÇàãÝ_@G.hZ­TX@Å_x000F_`®lM_@§\¾âÞ¡a@ri_x000B_ú±ÈY@_x0001_13_x0003_.]@?_x0014__x001D_ØÛÚZ@¼_x0010_Û$_x0010__x0019_`@ÓÁ?½[ü[@_x0003__x0005_+ïT¹ËåX@_x0004_o-zXS@	ÊÎ+8_x000E__@i³h¢Ëc@a°0TËa@'ój¶Z@F_x001D_n@JV@ì#ÏÌì_x0015_b@¤ß_x000F_§_x001A_ka@ný¥Hó[@_x0001_DOp(`@_x0010_Íù`@uQÍåâY@^÷¡×_x000C_üa@ÿ'sè _x0005_X@cKµ+åïZ@o!È¼[@Hr_x0002_$¦ô`@_x0017_«wÌmäa@~hå&gt;WÜX@.¡*Ð_x0016_¤[@aÉ5èí\@Æâ_x0004_[@º%a[@.ùÑ(ì8X@fÊ_x000E__x001B_8c@_x0005_nÐê×ê_@dÍURe@¬ßâ^@@_x000D__x0012_bpëQ@"µ_x000C_@(V@½st_x0002__x0003__x0002_X@÷	æW_x0019_^@¹¦Ð0[@²X~×ØþX@EtâjÌT@»2 véZ@ú_x001D_çâwW_@¯P_x000B_«_x0015_[@ººl8&gt;Z@×[~­&gt;8a@þÌ_x0005_&amp;_x001D_í[@Z.~pS_x0017__@_x001C__x000C_,à[[]@¥î.Ùâ+^@O®ú§Õ;a@¾É&gt;ßôôX@ùÂev)`@&amp;uêuó_x0013_V@îÝ¾1ð`@°_x001E_f*\@À_x0006_ÖjYU@­Ñ¿~/_x0017_Y@×_x001F_(Í¬_@U÷·T0[@_x0008__x000B_L_x0001_V@_Ø_x0002__x0016_p_@4Ò=_x0004_Y@ÛÅìÈ[¦_@ÇÒk9Æ_x001B_R@@!_x0002_ßv½[@_x0011_é_x0010_Í÷ê[@_x0004_,_x001D_él(Z@_x0001__x0002_$¢à_x0019_J}_@_x0015_\ØRY@8_x001F_%ò°`@"ý_x001B_Õ{ºb@wÄÉkºS@s_x0001_×V@D½Õp`@5¡³´Ã_x001D_a@_x0008_èèÌÝI^@¨²0ÆY@Eäc-m]@}¨(Õ_x0004_Y@"ìåa_x0001_O@m_x0013_,ðn`@"bÎÛ_x000C_DY@O¥_x0014_s]@Õ?ÂSÌ	a@]%;wG\@4¨d$¤=X@vër_x0003_ø_x0015_Y@_x000E_¤&amp;º\fa@Zì,Ôò«a@v]ý¶b@}_x0007_© f_@þRKà8ña@z0Ö([@°§¡Þ}/\@iSXé \@V^UªÄA\@¯Ç«Ýo&amp;b@AË¹h2[@N¢²;_x0001__x0002_Øe`@´«WõV@_x0015_÷öÂ¦lV@_x001E_ªÿÐ¶X@}=Öa@Õ¡Jå_x0016_[@¯B«gá^^@ã÷&lt;¾!Q`@L1_x001D_ p\@l_x0015_i~A_x0019_Z@*D_x0004_0~_x0005_V@ÜÚ&amp;¦ü?S@_x000B_ðÀÓ¸_@à¨Ë}_x000F_^@êÝxq5QY@ÿ_x0011_Ý:&gt;Ú[@¸¹_x0008__x0006__x0010_V@_x0016_ENd`@½q¨³Íâc@Í¶·_x0004_`@Ñ=4ÀY@-ï¿s¥[@øÂÝ]@\Î_x001A_Ú_x0007_cY@hêç$LèW@G"ÿ3¤a@9.ºÉ¯Ð\@4êizW@î/!Þ_x001B__x0006_[@SÄJß+X@&gt;®$×`@Cbè[\@_x0003__x0007__x001B_çN_x0004_Ô0Z@k-é$b@¼ùbÚ²_x0018_\@_x0005_«ÀÈ©c@ uÂóS@7_x0015_½6b@_x000C_)Õ_x0002_Ó]@ð_x000F_"§çc@=É¢äVX@W_x0006_*´ø6`@_x0008__x0001_FcÚÚb@¾a¯Ñ)Q`@£z$¿¹]@OÑÕ9]`@qÑ·¨»`@¦ë_x0017_,/`@n¨Å_@nËú[mZ@þ_x000B_È^@_x0016_ÍÄ»`@/Yí_x0016_)a@ô;ZÉ3åb@yöå¿]Y@²¬ôG®ý^@_§_x0002_ád@_x001E_OT_x001F_`@º/øÈY@2S»RX@ÖÇ_x0002__x0002_`@u$À9Rc@Ä_x0018_H_x000F_NÏV@fø4_x0015__x0001__x0002__x001E_qa@ÙÈInF_x0002_^@]!´×ûP@=huÀo_x000E_`@ÍÇßyc@_x0001_Ghµ__x0011_^@Àxò!øÁa@_x001B_djwÆY@¢¨FBú¥Z@O ½ée~Z@_x0010_´öõob@yPð¯jiX@9_x001F_dÑGî^@/l(ICP@èü	/Z@ÒÏ«Ç_x0003_\@B_x0015_qÀ¬Ì[@ù ?@_x0016_a@¦_x0004_|*~@`@_x001C_RÔËÆb@/oå*ÇW@È_x0017_qC_x001D_~b@¨ÂLÅuY@ÜÕ_x0014_&amp;Y]@òJ÷]`@ayî³\Y@ïKÞæ!t^@¿ãqe^@³=_x0004_Åa@_x0012__x0002_Á×a@2Ò.ôC^@_x001B_©_x000B_c_x0018_·Y@_x0001__x0004_rS_x0006_¢_x0019_`@ª(3_x001A_Qc@ô´pã_x0016_DW@vêp_x0018_#_x000E_\@Äzsî\í_@S_x0002_v'^\@h¹F¿ÐYY@¢_x000E_cóÄ`@}þ¬¿	`@_x001D_æqå_x0002_D^@¥èû_x0013_ëY@u FÛ_@_x0004_¼ûï\@Z]^ºlX@Æß=°_x001D__x001E_`@¬P_x0017_éz¢Y@vâN-[@m_x0018_Y_x0010__x000C_ÚW@)câÍ:_x0005_^@_x0002_ªæ+ûW@ÔÒ¾µÔ/S@_x0003_z;øï`@_x000E_rkÉO`[@_x0011_7®0([@?-æ9	W@L8CâA&lt;Y@_x0014_ï7ãWY@¦_x0014_yY¶,`@ Oì³²`@ËÂE¼ä_@µ½Ú§ÂtV@t%_x0008_Ì_x0002__x0004_Rb@úfðz£_x0018_Z@¶Cè0Ä7b@ìü?%ì¿[@ÿóî(¾`@ÝYÐa\@_x0019_X_x0012__x0007_!ka@RÂÈZ W@C¬ú%=tW@q¦6-Ø|`@÷q+%Ù_x000F_b@³W÷&amp;^@Ý) b@:¸j_x000C_T;d@É_x0001_BÕo]@¾_x0017_@ÒW@âÄ5*çïX@ïæ_x000C_©ÑZ@Ú_x001A_ß¢,+a@_x000C_­!@V@æMÜêL÷^@_x0008__x001B_³(L\`@ôò_x0008_µt°O@Ð_x000F_!BQM[@7_x000F_DÈÊ]@0}öQa@¿ø_x001E__x0008_Ð8`@_x001B_û×ûa@_x0016_É_x0003_è^@ÐpÓ_x0002_`@æ_x0011_îLQf\@Ë_x0010__x000C_^Î`@_x0001__x0002__x0005_ipï_x0019_\@Òh&gt;uZ@ª°VÒ7_@w3µêé`@;+¿ËKz`@aúÓ{U@|â·ÄùR@%ÖË ¶Ö`@Ö¦+_x0014_ôba@à¾õrg[@_x0002_¿ûo^@Kv_x0017_Ðj\@k|_x0013_7Y@Ã¨_x001B_ËX@þø¨|[yc@Å_x001F_¨_x0006_oW@D9_x0011_¸Z@¼æ_x0014_¿_x001B_oe@(Ô _x001E_ê`@ûT§,§ä`@nVkqJ}b@_x001F_ñ_x0008_Ù_@èY_x0008__x000C__x0008_^@ôÃôv_x000D_7X@L_x001F_)±C[`@"ÇÝÙ°ÓY@ïjé©c@£q rª;X@¯s¨sf`@å[ÿ2J]@ïÅ%^¤a@ªÀÒ_x0001__x0002_×«_@Pm36\@¿R_x001A_!¿U@â@·Â&amp;ja@²_x000B_¶_x000D_÷`V@1ÿÛy_x0011__x001D_\@pní¿ªË\@ËÅtë_x0002_~`@*_x0010_[(\@×_x0002_:Ô_x0006_ëX@Êh¬|Çg`@¾¸Ãè­a@Ô4L~ÃãY@U&gt;öõjx\@_x0013_ê_x001A_óÖY@C¯&gt;*Ð\@q´ú·_@æ	¬=_x0012_ß`@V_x0008_4_x000C_ÑNa@X|_x000E__x0018_c@?_x0016_øür·]@9_x000F_lFT§_@_x001E_ÛÐT%\_@4Òf}1Y@&gt;_x0006_¾	l_b@¯|ç_x0006_c@_x0012_N8Éf_x0010_Z@ù®µ5_x0016_öY@`L_x0013__x001D_N[@[Z)@¶pa@¯ÞËÆr`@Øó_x001E_2c@_x0002__x0003_Éð7«_x0005_¬[@Ê_x001A_JRjb@&lt;¼æu_x0011_a@:ß)¥a@_x0014_ç¤MPt[@&amp;gÀw_x0003_X`@³¿_x0018_Pâ[@_x0004_p[¼`@Xà¬ª}a@:9ð%d@oâG(_x0008_Q`@OõX@b@&amp;úàDü\@/~_x000E__x0014_ª4^@Ù V¤ãhZ@Õâ	ÛÇ,`@l)÷E+Ô_@ò9&lt;Nq`@&amp;eß¯ä_@¼oîV@JÉ:~ã¡b@d_x0001_LN¡Na@Òcñ´_@¶ÆØ¼|Y@û}ç[%b@§Ùþ4FX@Ïëî9´[@Ä/_x0013__x001B_¯úX@¹B×aMb^@hg¦-tb@áéIàÖZ@nÞ _x0001__x0002_"LU@_x001E__x0015_zE3`@_x0002__x0008_Fiµ2R@¯41ò!_@¤¯º_@×;8vB%_@&amp;±_x0018_w8R]@xdS±uÙY@F¬ÑþÏ_@WÖÍõìÓY@KRÚa@3Ü¤_x0013_[@4_x0008_ÜýW@¼ÊWÊ©á[@*a»ÛQ£U@pºÊp_x0002_ T@_x0004_ªÓ`@åÏ_x000E_ÒùÂ`@½ÊNÖ_x0008_Ê`@_x0014_9qª$Z@Õ&gt;Ó·/]@_x001C_A)¦_x000F_Â\@ð¡ìJ\@@@_x0016_ºýX@næóR÷d@Û¡U_x0015_@`@ÊæÜÃ`@Ù³nw"\@»¢_x0019_µsZ@f_x001C_!Õpb@þI²êõa@ºåÅc®V@_x0002__x0004_4´v_x0008_2_x0011_\@Ù_x0016_ær	Ha@Õ¡_x0002_À%	X@ç_x0007__x000F_Áí=\@ú_x0005_²àÚ`@{p}(¥_x001C_Y@ÇÚWæX@¶ì$&amp;_x0003_^@h¤«gO`@¾Úô³ã[@sûíiÑz^@´3_x0001__x000B_ì_x0014_[@¤¨©QÍMa@âÜ-Î_x0015_a@ÈS_x0013_a@Úºó_x0005_¦]@ËcóûúR@Ýgæumag@PÄÒ1l_@_x0011_KTvn``@_x000F_Cd_x0013_«*\@a­ÞãM_@E'T[¤'c@GEü»_e@T=.Æ:a@e&amp;YÔ_x0001_ ^@[Ô[@Ë53³*ÛX@Ë2¡		í\@°áGa5X@¾ÔH!\Z[@4u}_x0001__x0002_¬Á`@~ÝÕu_x0011_a@"hÄ~T¤]@_x0002_Û¤S^@&amp;$&gt;ÅW@_x001E_[4= ld@°ö[@_x0008_4L_x001B_a@_x0008_áAþpÃ`@._x0013_xÊg \@®óq'ü\@/c?"=`@_x0019_ó¤9·Y@2Ô$ÿ÷w`@^7¾N&amp;_@èÜæÿÀÆX@-_x000D_J_x000B_·2Y@HLdåÑb@*æ£ù|`@þ&lt;Î]@HïE$ø"V@eèÇÚ°a@_x001F__x0002_uàb@!òÑäLa@"µO5_x001B__x001C_Z@?Å_x0004_µQ6c@Å1h_x000F_«ë\@0èòÒÒ`@7,ï/9\@ÞgB*èh`@EC_x0018_Hc@ú_x000F_k\VY@_x0001__x0003_}bá'_x0001_þZ@5åd1R`@,£_x000E_æcV@pü%h^@ÿ(Þ(W@çÁ7{WÕ[@0D½tF_@Öbó§ö[@¡ê_x0013__x0018_ä°^@aRU@-Ù²î_x0008_a@ä-|Û¹[@|rì_x001E_ÑZ@õ_x0003_Þ=O¾[@õ$s}J·`@c_x0002_À`äF`@¦×'_x0016_kÀX@øx!ù(¦[@Ü1Ç§kI`@·_x0008_È_x001B_6[@§±É%#c@_x0014_EþÛ÷^^@_x001A_{ë¿)WW@$MSæë»d@ð°¨_x0008__x0013_/c@æ§]¨q1a@ºýLætÓ`@áE¼Eqd@#ÐØS[@_x001F_$¬xÁ3Y@àa½ö¸m_@ÆöÖs_x0001__x0002_ªc@pâj!_x0014_b@Zà%&amp;_x001E_a@fÝéÍ4a@_x001D_	Üâ_x0010__x0016_]@C[!ª]@r¼_x0019_©X[@ªq(bb@äp»Í´_@_x0013_5@é~ÙV@¨n_x0007_)Äa@½Í_x0016__x0004_¦*a@«4h¹è`@nÌÆÝÎoX@£y*³åX@¦_x0001_Þü9_x0010_W@ËT)_x0018_ö&lt;a@ ÏUsÏnY@~¦¿Ì_x0018_ÚT@@_x001E_)u²^@W0ªt¢mZ@µ÷D_x0018_^@.zp8gc@âý¤´_x0003_U_@4îE]@ÄAL_x001F_Ñ^@´Ûe_x0004_­_@x½È±!_x0001_f@Þg_x0007_ù`@¼ëjËÆR@EeS0LV@vÇj_x0013_^"b@_x0001__x0003_âêÐ9^@y«k_x0019_,_x0018_\@·6_x001C_?_x000B_EX@ _x0001_Íþ_x0014_ø\@_x001B__x0018__x0006_0&amp;^@¡MOÜ¬_@Äx©_x0010_ÓÞ]@üõ¤î6_@¸]~W;×\@g^©_x001C_Ö`@ì&gt;oT_x001D_¶^@êa¥Í®¡\@_x0002_&lt;_x000B_ÅÁ_@PY½Gý¯^@?^r¬!ºg@­:Ö_x0003_ L@³¡h;EGa@%ë*_x0002_c@1ý­×Ce@_x000C_sP ^'`@·))L)3V@²_x0017_Ñî£`@¦/·ø	a@cËÝ_x0015__x001B_4b@®Ç@Y@n|C_x0008_ûïS@_x0005_ _x0004_È_x001D_«Y@_x0019_Xð&gt;ÚðX@?+d¬³_@õ_x0006_]TríY@_x0017_Ë$ÇX5[@Ù1n_x0006__x0008_}yO@\&amp;._x000F_[@ûý,É®Z@_x0002_ØÊ_x0003_ÙZ@_x0005_ÖUp	è\@`jØ(_x0016_U@rR7Ð_x0003_`@dfhN&lt;d@²Õ¦®Æ)^@zC_x0019_ÔKU@_x001D_/_x0010_3_x0016_a@ÒÊ_x001F_5~«U@äÔ*_x0003_L_x0001_^@2k_x0007_¸Ò`@ï8Å¾xÑ`@^u'rÉb@xü¶_x001C_XY@úÈçÅ`V@ö	ì[Z@ _x001D_ÔÒHäS@ÔGÉ`nt]@Ñà	_x000D_®£`@_x000B_g!=ØS@_x001E_}ÓÇY@¬Çu_x000F_IZ@§Ðî ê^@vM´6Ð[@-¿¬ýA\@³ükyñ´a@Lw_x0004_BÀY@e¢_x0002_ºBd@_x0016_N_x001B_&amp;¡b@_x0001__x0003_~n$)ýV@x_x000E_3_x000C_ua@)Ó$ú(a@ðÏÒqÞ²^@b?kí]@ÎÇìR_x001A_\@Öß_x001D_Ö¬^@7yúRè_x000D_X@@ly´HT@!Õ_x0005_4¶c@_x0018_ÇY]@_x000C_»~l_x001F_L]@O±_x0004__x0002_2Q_@A¸ä¥@ÐZ@DÁ¾_x0015_a@ßA®¨Z@_x000E_,PCÊ,\@È%¾wB`@á8Ì;Ð^@¤ý§GsÇ_@Ô#õ@rb@©%YÀø0`@Ð¿ZÓº¢_@´\}_x0013__@m&gt;¢&lt;ØW@(ØüðâH`@`_x0003_ Íà\@_x0003_éÅÌ¢»]@W[èò	d\@Ó§à±O_x0012_`@ÊÚ.º`ÃZ@¦ö¾Ü_x0004__x0007_ÿ+b@Î6\_x0003_6W@vÓz1'%V@M:¹Dóo`@Ü´I?ó=`@_x000C_»N_x0016_¬]@`áRM§Z@VÝ_x0010__x001E_¶éZ@_x0013_ Û}c@O#Û`_x0018_P_@nU 6_x0012__@×GöÌ_x0008_b@sÏ_x001F_ocX@kª±|Æ]@`_x0006_S_x0003__x0006_öZ@[_x000D_æÎÐS`@_x0001__x0013_W: U@²«YYî³^@$ì_x0005_Ü_x0002_Í`@ä á¤}c`@6%É_CZ@HqÁ'H&amp;a@4ÚöÊK`@[NµX§ÅX@_x000B__x0012_Ï®x\@¦_x0019_Òë_x0019_T@_x0012_Á_x0014_^ÌØ`@_x0007_¤_x000B_WjLX@0r_x0007_]B_x001E_a@ñ9ÉËSË`@LT¥p_x001A_]@äµè¼µÓ`@_x0004__x0005_ìf¸¿÷]@-ÿÉçíáa@JÁ«êÎÁ[@_x0012_õM]J)a@ïP_x0012_¶[@4¡Iù/_x001E_a@&gt;¢Ã_x0019_&gt;_x0004_\@JuT]Ýé[@åöBÿY@ël!N/Ù\@Ïâ_x001A__x0015_Ð_x0017_]@_x001C_túy^@\_x0002_k/+õc@!_x0011_ä({^@7_x0007_Kä1b@é"ÐÓ_x0003__x000C_b@¥æzt×`@øfØF_@ªSý_x001C_Z@¸¤®måW@:¨/~1_@^(§_x001A_êzb@,_x0017_¶_x0019__x0001_[@$!ëQ×V@îïþÏ²PY@Î*Ë{Le^@_x0015_E&gt;©sX@{rIûÆ_x000C_c@6A ùgb^@$('q_x001F_l`@¿È'_x0001_y\W@_x0010_l°_x0003__x0006_vU_@¬_x0010_&amp;'«Ña@_x0002__x0010__x0016__x000F_ca@_x0010_ÿ_x000C_ÄX@¥Ó ^¸]@P*_x0001_Jj[@k½Þ*e`@t_x0010_øºmY@£_x000D__x0017_z?.[@­±·	U@û_x001A_³Âº_@_x001F_nñûÍV@Ê@"!ta@²Üa~]@øbÛüÈb@&amp;÷_x0005_WÙÀ`@-L×ÍU)X@V'(Ûc@®_x0002_D_x0018_{0\@WÛïÎxV@g£_x000F_Þx_x0005__@!o¸ºb]@v§ãa@!7ø_x0004_øW@j#	z_x0016_b@_x000D_bÊõOW@:ÏÌCZ@_x001E_Êõ_x0015_`@_x0003_ý:×²^@@Ë lÞd@r½_x0001_s_x000E_Ý_@Xâ¦³\ _@_x0001__x0003__x0008_àË¦_@zþPa@tÏïtF`@ºö?¥nY@§o_x001E_x»a@ß±5ÖÐMb@[ôyrU)`@R×ÊÐÉ½a@ó@_x0010_F;£b@_x0003__x0019_vÈIQ@­"!µ_x001E_c@aRD®S@Ô«{_wü`@çQQ£ÜIX@ä|)?X@Rj_x001C_ÈÓS@ºfa¦|§]@:3_x0004_ð¬ìa@3/2CS]@­úv;ôZ@bÚ*_x0016_þV@ÔY_x0003_G·a@ÃY_x0002_Ü ¿c@&gt;m_x0006_¶jçc@£Â¼,5á`@_x0013_åÎÇ_x0002_&amp;b@º_x0001_x~#X@ôüÌ_x0016__x0002__x0018_a@¶qµ¤Ñd\@«_x000D_;Ga@S@¥7_x0008_]@[w_x0006__x0007_(+_@_x001C_!0_x0003_ré\@_x0016_4_x0003_þ_@&amp;h_x000C_\@Á_x000E_·ÀÀ²U@ÊxÌPè[@Ñ]Õ,_x0014_`@²_x0003__x001A_/|X@j_x0010_!_x0015_c@mÍaV_x0001_Ï\@Ð+õ©²W@_x000D__x0011_9ÄS^X@_x0018_SÄ_x0012_/y_@í*_x0018__x0005_U@ÙU=ùv0]@^}öjV@n_x0002_éôÊb`@¤â]Ð_x0019_]@_x0004_Xo_x001B_È]@ú}{ZQ_x0018_a@.G?+È_@%_x0015_igZ\\@&gt;_x001C_f_x000B_]^@Òø÷ ;Db@ðw_x0013_Z9_x0014_V@J+_x000B__x001D_S@þGùy\@]CàfS@ùNð1´_@0é­y_x0003_X@LÕÏ_x001E_=_x0012_c@7_x0017__ØD^`@_x0001__x0002__x000E_÷._x0010_ú¶X@ZæVºÈX@ig£Ù©SX@j¸0_x001C_»\@¨Ke´-Q`@ù1:ÇìX@°ú¤f\^@|Þ Ò^a@F_x000E__x000C_¢Õ[@_x001C_q'ÊûR@E°qÅI_x000C_a@_x0015_SóXµ#Z@þ[ácâþ]@m7&lt;J¨`@ 1ÜøKZ@®Lgt[_@§¸\Ôwáb@¤À.û_x001C_÷U@`¥&lt;¤_@_x0003_ù_x000F_wi_x0014_Y@¿4v{ü©b@ä(_x0007_sÀfW@e_x001D_àkT`@àâj_x001B_+|T@_x001E_Ñ_x0012_ªM/[@ºÀe£u^@¤0ÚØßÞa@¬×%_x0018__x0003_¤Z@_x001E_jWãã]@+_x0014_8è`@_x0014_ Ab·ÙZ@r×ý_x0003__x0004_ÉZ@_x0005_YÇ|­_@$¯4&gt;Ù]@¶§£[vY@À_¡Û{b\@_x000B_ß8ÊFXa@&lt;Aîw°º^@C]·T$d@ª_x0005_6,^_@´ä66_x0017_ÃX@_ìQY@ôái_x0007_=Ý[@þSB{¨W@ÑQSNÝNY@¶çRìÊZS@mt_x0008_­$`@Þ_x001B_Ýí_x000D_4_@þj04WNc@_x000E_b_x0001_*Pz_@¤¯%°ÿ¶^@tW%_x001A_`Ê`@¨5L²^@P?í£A_x000D_`@ttH¶¯V@ç¤_x0004_µÊ_x000E__@üà-+|Z@Á½±PÛa@¼~©`@E.Ì3	a@´x±ÎØ_x0002_`@u¥{YLY@ÊôÙ_x0002_«h]@_x0004__x0006_à4HPÃ	\@`¿ÄéçZ@D,µe_x0003_^@M­Ï_x0004_\@_x0004_~yåªY@C®Vð1:a@_x0010_ùú_x000B_«Z@þ_x0013__x0002_ªÛb@H_x0010_ò£X@ø Kýð¹_@¶\ÖL\@§_x0001_ÎSa@_x0002_5Oëô_@¶_x000E_°øJ]@ÛéÖQö_x000C_X@_x0002_¿?¨pX@ü«g¼Lýb@D´É¤ù`@% 2sÑi^@"PßÐ`@6V£®a@ø_x0015_°ËÞ]@Ï|Ëå`@_x000B_¡¨mä«U@ìÜ_x0004__x0005__x0010__x001B_`@nfÁo_x0008__x000B_b@"¹&amp;*£]@&amp;Î¶#¬ùT@ ¦!a@6_x0018_w¦\@{D~_x0003_d_@hÇU¡_x0002__x0005_^&amp;\@´º30TY\@ë,ï^`@_x0005_­ÁÄpW@ÎÁ_x0019_fÇû_@gÇ¤6Y@¤T')`£]@_x000C_ù_x001E_Ë¥_x0015_a@ºJ$~=_x0003_X@_x000C_ ×_x0001_[@©Ð1=M%\@CÇ_x000E__x0005_Ó]@_x0012_´U,l]@í_x0013_ó_x0004__@ Ì·TÒÄa@´_x000E_à¾Ó_x0014_`@G_x000E_.èä^@wt±v8^@=6ô$±[@ÜüÿwùrU@W:ß d@f¾ë=Æ¥c@Ô?åa@íÀ´g_x001F_a@_x0006_oÓ~°[@_x001B__x0003_1\-3\@)å_x0013_ç\@_x0008_~é÷RY@ §APÒâ]@£_x0001_Ð¡5_x001C_b@¾RÍfô\@/ôô+)b@_x0001__x0003__x0014__x000C_¤v\@©T_x000E_2­c@¸tt¿9ÐX@ÍØçÁ´P@S¬À/rV@²UØq«¡Y@Â_x0010_!ì_x0007_\@?Ès_x000B_ÌW@.bg_x0018_`@ËQ_x0002_âBÛY@^Òw]d@_x001F_²_x000C_f2^@@=UlßW@$Íç_x0008_¬c@uU©_x001D_p?b@_x0016__x0017_-]2_x001A_^@^LÔâªa@sù·rÛ^@~.zw_@¶åöRV[@RtÝÅ«b@x-·O.a@-aeãé_x000C_^@øAÈ$ù_x0011_[@½ ~å¾Z@¢zÕãÇ_@\ß_x001E_2)X@/eó_x0019_`@Ë¼P_x001A_![e@Î£FÐ_x0004__x001B_]@ëÊOd_x0012_|]@SN2_x0001__x0002_¤V@ÒDâl_x000B_a@Adu_x001A_ÚU@ï_x000E_ _x0006_w,\@_x000C_@lV\a@AÐB[è%]@Ì}bÐá`@g_x001C_®Åa@l÷rùa@Þ_x0010_ÞF·Ôf@ªÒ_x0012_ ºzW@ô¦;¦óR`@(_x0012_©_x001C_@æX@×ÈÅ"'`@¤¸K]@_x0014_ÀB_x000F_g[@Pm?Wú_x000C_\@ _x0008_s_x0001_¡_x0003_c@§+-e@Ô¨xÃY@Þ_x001E_ö_x000B_Ïb@ý_x0013_ m}è`@'aJõëVa@q-1¥Íb@¼µ¢$`@#&lt;»×6C`@:Ìò¹']@_x000B_Ê_x000E_3[@²Ôå£$¨]@sgªQib@_x0013_Ù(Éº[@#kTÑ&lt;a@_x0003__x0006_ñ_x0008_È_x000B_ÖMX@ç_x0005__x001C_$=^@Q_x000D_bÔTLb@k5_x0016_æmW@?^?d=¹U@j|~­¯t[@Jï_x0017_Ùböd@X_x0014_2y_x001F__x0011_`@²ýËßÈ[@?p_x001C_ì_x0006_]@_x000C__x001C_EÉx%b@1y:çr^@Ä_x001E_P`¼½]@`Ó_x0003_¬w`@_Îø_x0002_²[@r_x0015_K Çb@j_x001A_¯_x0001_Õcb@)&gt;3`2ØP@ê_x000D_SW@A_x001C_k_x0019_ _@ä$ôd=_x000F_`@_x000E_|§_x001B_RT[@ô¢ó_x0004_-b@À+_x001D_­Oa@ÜÂä½QóV@êÛôéßõ\@_x0003_vó»3_a@´&amp;p×b@&lt;_x0001__x001F_ãý`@4CÆ¶{zZ@ðº_x0011_3NA_@0¾_x0001__x0003_÷£`@³Æ¹¿j_x0017_b@!c_x0011_Z W@_x0006__x0008__x0014_&lt;ab@kÎ9Z@É2'»[@:U_x0014__x0018_`Z@"¨L5_x0011_`@d¾P¿÷_x001C_]@N¦¦ÎäR@¥_x001F_zô{V@bOWt*]@`fU1¿'`@ m¢`õ'Y@~Aº_x0006_±_x0004_Q@_x0019_-ën/]@Ëè	_x0011_U\@ÌC¿åtEZ@s7À6Qöf@ûþ¡l\@Û ÃÍW/`@í_x0002_MG_Ö]@_x001A__x0003_qÞ_x001D_`@n'hF`@Ép&gt;_x000F_]IZ@&amp;Èu?8U@[ÇÝ¯$æS@fÆ_x0002__x0017_Q`@¸£ hd@j(ð_x0013_æ&lt;X@×4_x000B_ÙÆ$`@ ¡[#`_@_x0002__x0004_³vÈ·-`@Î_x001B_Ðï_x0010_T`@þ¦._x0002_f^@}Ù;Ù_@Ö_x001D_ÃøÏí`@oTÙvüÛb@FÎý;`@Ö1Ùzk~]@)#yhÎ`@_x001B_Udp_x0013_	`@((Þb#b@_x0017_óBÞ?Q@Þ/$x_@}_x000F_*&gt;\¼_@Î§y8=a@Æ(sÉî£Z@J¸2ðNV@¿Ýûµô_@]¤bÛ^@t#??_x000C_d@&amp;õd&lt;¾U_@q½4_x001B_S@1'ªjÉV@ãþA\Ào]@Éó_x0016_z+[@Qý^(Ð:X@_x001A_/l_x0001__x001D_p\@¾_x0003_Ýlc\@_x0008__x000C_Ú'Y@_x0002_ËkOGéY@#´hà[@J§0_x0018__x0001__x0005_Í4`@ë_x0004__x000B__x000C_r¿^@×ó_x000D__x001B_^@6¬ã_x000F_ta@Ð)_x0012_2;·^@3q¢áL&lt;X@mÍ&lt;µa@Ç´RGb@²_x000B__õÐ+\@@Í&lt;G0W@VÉ}v?[[@ß;:~ã]@¼{@J_x0008_ò]@_x0008_Ï©×à8X@_x0002_]CnNY@¿¶QÊ6	O@æ_x0017_ÁÖÕZ@LJ°R&amp;W@Oæ&amp;Ù2ûT@ I_x0016_k4Z@'_x0018_1ã^ÉW@k_x0005_ýæ-×\@Ð_x0003_Jb@D²f6Þ\@·_x0010_Í~&amp;_x0016_^@õ«[ÌèXW@\Ðr¾M`@mÈYD_x0012_3`@ÞåÑÏ=V@¡ýÈíiy[@ÏEÐeÒb@_x0003__x001D__x0018_·Ç\@_x0002_	ñ]Lz,Z@%õÏq_x0017_$]@q«ÂÔO@§à=³ß[@ã;æòøãQ@áÍ_x001C__x0003_pc@ð©Í4ÅY`@òD_x001A_m_x0018_Õ_@_x0016_U»._x001D_6a@Í(d·¡_x0001_\@ÃØÙWnX@_x001F_mÒx¤Z@Æö l&lt;öV@#Ö3"`@_x0013_s_x000C_Es_x0002__@nÓÎ¤¾¡_@ß«_x0016__x0003__x0005_'^@_x0007_ô_x0006_%;þ]@_x001C_ÆG÷_x0008_&amp;_@Ò¶_x0014_Wõa@ç;i¼Y[@jcPkZ@üùHz4`@Ùd`§í_@¾r_x001B_úæ^@_x000B_ðuä])]@_x0010_[H_x0004_v_x0012_]@¦ß\^Ø^@ñ±_x000B__x001F__x001F_³X@&lt;*]:W@e Ö·Ø¹[@È¤_x0012__x0001__x0003_IZ@ÂîÉY²d@üäý_x0017_þU@^nÆïÝ\@_x001A__x0001_MÂPc@Z_x0019_þ66 ]@Õ:&amp;EjY@_x001C__x0008__x001D_D_x0004_a@Þ^"ð$ØY@[ØG½a@½&lt;uÃ_x0018_`@_x0005_¶Ô%w[@¬îÏ_x001E__x0002_Æ[@]8.:iU@¸C;É|_x0014_^@&gt;§	¹u³d@õ_x0007_ 2'h[@0_x0007_h7+Oc@U·È=_x000B_£^@7yFp¤Z@2kÙ8[@ü\]SùN@ð_x000C_&gt;_x0003_/\@_x0006_îrY9[@cR»ÚY&amp;\@=n]oc@Ü_aÛþ]@zâ_x000E_Ü&gt;`@_x001A_le3é[@W´]´ýb@µ¯÷3eKX@wûioKl_@_x0004__x0007_ö¦_Õ´Þa@x_x0012_A¦b@ÙA_x001A_îÂ_@_x0014_n@L¾úU@_x0006__x0016__x000C_À_x001D_(X@XÛ_x0005_ã£Y@qÜ_x0002_A_x001F_`@¥`#ëa@_x0006_¥å(Ù^@wî_x0003__x0015_Ï_x000E_[@±ëgý\@¦-!_x000D_6Aa@	ÕØ_x000C_½fa@·D_x0001_.Ad@£m_x000D_ñ Î^@4_½_x0002_wÜ\@!IÑ_x0003__x000D__x0013_d@¢xe*£Y@_x0015_¨È_x0002_=4_@í¼_x000D_ó¡V@_x0013_ÆK6ce_@&amp;	3Í`@ç9?Sj!W@¡_x0006_¿_x0001_gTc@M_x0016_vþèe[@_x000B_^í^@:M8_x001E_]@Â/«çb@i_x0003_+-ñab@ÎÙå«_x001E_Ca@H_x001A_o®=b@ø"_x0001__x0004_ºp[@_x0004_÷_x0017_w_x0003_Z@TÜU_x0019_Ô^@û~_x001F_ÿz¹[@'_x0015_â?Ô`@~]_x000E_ëÂU@Plû/`@Ì^_x0002_Y?b@9`§_x001A_?\@ùés²ÿa@W&gt;èö2)`@C5`WwOb@7_x0005_0?,Y@mÜyÏ&amp;ma@&amp;´®¿F]@ì5Û_x001F_¬Y@NDñÚí`@ìÊÂå_S@.|Æó_x000E_yb@[_x0014_`±jU@yDF;_x0007_Rb@¯%¯¿l}[@CúÃb\]b@r¼6	N_x0008_X@T_x000F__x001D_pæ^@Û?úWn_x000C_]@þò_x001F__x001F_3]a@_x0008_Uæ,÷]@Eê_x0008_y7_x0017_^@00/Ñ0\@kx_x0002_&lt;í_@"\_x0017_ÎAÈ]@_x0001__x0003_¡R$¿ß^@ÊdcæÎe@Ùx0¦6y^@Z«Åó¡[@³AEÅ_x000E_Ä`@£[u_x000D_U@¶_x0008_êÀ_x001F__x000D_a@5`Ï¸ÍÞZ@6/Ñº[@§¢È_x0004_b`@D.YÿÔa@ X;crÂU@½ßåá-ù[@FÎÈKsâ`@Î8Ðp_x001C_`@èêÊ½]@ÊylÁX_x000C_[@UýR'a@(=i¦2b@æ´ßJ°Db@6¶Üm]@?ÖH_U@0¢_x001C__x0006_U_x0006_X@d2°©ü_x000F_`@æÈU2%%Z@;K¶¡©d@¿_x0002_±(:#`@¬õ4rW`@6_x0018_Ö«Ó_@õ_x0007_]:Ê^@¼ïºõG]@&gt;ÉAO_x0001__x0005__x001D__x0004_X@êZQÎj0^@ÜÆC_x001A__x0004_a@Ã_x001B__x0003_Á^@^g{a/_x001A_]@4*R¿¹8_@X_Ø1Ö_@W_x001D_é°ÔZ@:_x0016_:`kV@_x001E__KüÍR@ñlI	 à^@Ü5ÜÙi^@»_x0010_s_x0006_]@_x0004_´Ø_x0007_ÿ$b@_x0005_À÷#\U@t_x001A_Âùë_x0004_a@hÝ#¦3zW@¨¬Ê_x0002_Uï\@Ñ_x0011_¥ÑªZ@Þ_x0007_DÅ8b@_x0008_ö­üå-_@n5å ãKW@|c¤Û"V@2zOÃV@,F_x001D_p`@ùÙZê.Y@éøýÓ)c@9¼ÛêZa@úØãG2\@_x0007_Â_x0014_*O_x0012_]@{_x0018_Â@Ò\@BoÛªtW@_x0001__x0002_D8J´¶Fb@Û_x000F_//¼ÓV@_x0006_ÓjK9l]@:Trÿ4_@2¶Hb¿_@6H_x0016_g_x000E_rX@ ê'_x000C_øÝX@i¨YeAY@KÍM@_x001E_ÝX@Ü¡FÚ}]c@çÚ_x0013__x0016_(6`@s3vp_ð\@âÜµvªd@;eîê³\@´)g¬éX@À}#.gY@|æªYÆY@Ø&gt;ÎZ_x000D_\@' &gt;&lt;a@Ö_x0015__x0016_Ù;Y@áÅÜÿµ^@ü ÜYU@_x001A_ÆwÜ\b@_x0017_P_x001A_áÑ_x000B_a@#_x0001_Ç	÷[@¸È!Ì W@SowC£_x0012_b@ Ë¯¼¡b@'y6}{[`@&gt;3_x0008_Î¡ôW@°F¤/Ã1[@_x001B_§·_x0002__x0004_ïrW@»ë!_x001A_]a@é=&lt;e_x001D_Ô`@Cò]é-«`@µégÐ^@_x0016__x0017_¥OÌV\@_x000C_ÍZêÒX@ùGú-1Ï[@»&lt;K¢[,X@M _x0003_rë`@_x000C_|,Äú`@_x0012_M_x0013_È`^@.öh_x000F_F_x0011_`@Íÿ¨Ár`@ICâí^@_x001E_&gt;2:_x0015__x0008__@²_-½n_x000B_\@øë!`@öhíÅâ_@=_x000B__x001E_Xù1]@:¾×ûs_x001A__@þõï¡¸_x0001_`@h_x001B_*èga@:M¾ò]@^ôÍ]@_x0006_ä2¡@_@Ý»ç_x0005__x0017_`@_x0008_r5½v`@GûqÈ$ØV@J_x0003_HÙ'_@'=µ#Ù_x001A_b@Lö_x001F_o©¢\@_x0004__x000C_¥òÜ{O_x0005_[@­äs´"_x000B_e@§_x0005_Ì&amp;_x0018__@¨Þâ½_x0001_a@³¶6:.[X@¤1lyþ]@ªI½4Þ']@Í§;_x0018_O^@_x0008_õ_x0001_dÈ£`@+9¾_x0004_ÙW@&lt;Z0Ú^@·ãóúW@¸)_x000D_[Äù`@ëÏD|y_@_x0007_ÖáÞêW@e@%Î[@ÃÖù_x0012_Ób@Ûmû¯_x0006__x001F__@_x0015_¹kª1/]@ ÙGlÍZ`@_x0019__x000F_|_x0015_ñ·a@»|îb|c@ºò;4_x0016__x0003_Z@)Ì¦_x0003_j_x001F_X@6bÙ_x0019_À´]@_x0008_q	wñÿ[@ßÇha@©ý¸õ_x0002__x0019__@|:_üEð_@ªC'_x0006_d^@âÕ{r¡[@Vá_x0001__x0002_øb@¨]_x001C_bh\@_x0001__x0002_[@Gb@àýH9\@=	£~_x000D_WX@ \é_x0003_Ç_x0016_R@Zaÿ|Fðb@Teßm`@_x000E_ê+#_x0002_5W@¦xÂÂ_x0013_b@d¨ÐRy¹b@_x0014_(ÙD3ab@c	µ'^@Õu_x001D_?ây^@³4kb@L#_x0010_õ_x001A_©^@LJýLÎ^e@z_x0016_ü_x000F_úr]@Qâ§ux]@_x0001_ÐTOþ`@_x001D_×c_x0019_4Y@E§àn÷4c@i2À!Û¯^@X_x0006_úÁ&gt;W@&amp;z`ü_x000C_ZY@å=_x0019_«f_x0008_]@²µò1Z¿W@_x001A_Äû%S}a@ÜòXðøQ\@X³ç§¬\@Rào	_x0007_[@½àH_x0018_ôÒZ@_x0001__x0002_&amp;_x0008_þÕ/_x0008__@4NöñÁ=X@êÊ-_x0008_/V@,í±=k_x0018_[@½_x0019__x0011__x0008_® `@9Y»_x0018_1þa@_x000F_Ñ_x0019_Î&lt;e@â©PY@º{*ÓS@ÝèßCþe@@.²Ògù\@{j41?\@Ç)_x0017_kðÿW@||ûPâU@â®öBg[@n'ÚäFb@î&amp;_oU_@|þ\_x001C_ÝU@'¸Ðv"{X@I¦w~ªY@×¢%_x0017_DOX@ÑRN_x0001_»_x000D_Y@â_x0011_¸Î+¯U@0_x0013_çVÄ\@_x001C_¶ã¢Vb@hiµX±[@á+ õ-¼X@½&amp;;ÀZ@_x001B_¥úÄ_x0010_¼]@Ó_x0013_UÌ»_V@bÕ6/_x000B_ý^@¥S_x0016_R_x0004__x0006_+c@Ù_x0010_dc_x0013_^@__7þln`@ME,±rc@w¦$Dßüa@ÃB¨÷ ^a@»ïæÌC`@]éãõhO\@%ü_x0014__x000B_íZ@,PËpx_@?p_x001E_²Bf`@|ßíF_x000C_®a@_x0003_B3¶KT@(y_x0001_4¡_x0002_d@©ßx_x0005_+d@l`Í_x0013_`@Ñìêþ.[a@öq7#õb@t.h_x0014_¥W@vR+Xåob@|£zÕ7`@_x0008_ñ@R¶a@)å_x0008_Å}¾Z@_x0002_ù«1ð[^@úâýr¡Â\@c¹Í	¼(a@í2Þ;°ÃT@aØ1Ra@j¤ª1ÝÞV@i²gN\@@#Xþ6s^@¶gûñ\@_x0001__x0004_ ÛÙíIW@æuV_x0001_ÍU@b_x0002__x001A_;»_x0015_d@¨Ö_x0018_ö_@úç/¾÷Ö[@æ÷çw_x0014_ß^@Z_x000E_Ý¼_x001C_^@oØÓJì`@É»_x0018_Ëý]@8Úr¦_x0017_!d@Jù¬"&amp;[@HÔ¦1©&gt;c@c_x000B_n_x0016_g+c@cùzÂî_x001F_Y@Ë[½±#¸X@~ºÐçNU^@Útf_x0018_Æ±d@²à_x0003_YfW@I\õqDúb@A_x0004__x0015_«`@³÷¶fmUX@¾ë¸è|U@©®6»^@Þ´ªNmd@'L´|_x0007_Èa@º3qRªX@YF·JnZ@Ú¸üÌüi^@Ô#Øyò`@y-b_x0011_¡ob@_x0005_mÿ«Ãb@_2¹"_x0002__x0003_´c@0 )Çw`@_x0003_2gå´a@Qÿþâ¾`@'p_x0019_ÄpZ@è_x000F_a9¶NZ@Ð¬ûû®Ta@_x000D__x001E_K#æQ@Ê¨_x001E_¦\@|¡?$_x0003__x0002_`@¬Â_x0005_F¶_x0007_Z@Å_x001B_×µC_x000C_^@_x0006_,1_x0010__x0010_S@_x0004__x001C_¶_x000D_&lt;_x0010_Z@_x001D_vàüQ^@_x0003__x0005_3é_x0001_b@V¯÷_x0013_°xc@·mÛÐ	E^@n»GäPZ@©_x0006__x001E_eìa@J_x001B_Ô¡ê)[@dâù/ë_x0013_T@Üyë¹U@ëG_x000D_PB±`@Q ë½`@6Â?c`Y@nßIK¤ÌR@~¹-RE`@s?õÍÄ Y@àýô×|X@_x0010_QPä`@=c¦%_x0008_Ô\@_x0001__x0003_¯-4pY@p;odÑa@x)·C X@_x0017_ìÓ¢OÚ`@ï'µêú$`@ª_x001D_¡@a@Îàî!þic@_x001B_HtÑ_x0018_¸V@ÙUÌ·¿Ç_@äàD#b@j__x0002__x0017__x0018__x000B_]@ pÙ_x000C_)_x0013_b@Øß|W@_x0006__'j%í\@û'?$"l]@Ýã¬4_x0005_c@7,òr_@[ë_x0014_#3DQ@_x000F_o&amp;Ú×Z@BvÞ_x001D_§¸[@QãB_x0018_U`@þpØÏ2%Y@BùÚ8\U@jØºÒ{S@±^^u^?Z@_x0010_FëÜÐX@¢àO#¼_@7_x001C_asÙ_x0002_\@ßN_x001C_r¶[@ûÃ§Ù	ÑX@Sz_x0001_iY`@ÕÌ¦%_x0002__x0003_?é_@P]ÅÓ¶X@K%?ÇËÑc@1Cj63ga@ekµ¸_x001F_^@5Íë¿±/Y@_x000F_+[R¡`@ìÛÃsGa@ä9b}CÌ[@Hê_x0001_=:W@_x0012_ªÄ;ÍZ@_x0013_MÑ_x0013_W@9u_x0013_£ÍÙV@Ø®Ëê©Z@î~¸_x0006_ôV@uVâcé_x000E_c@8O&amp;_x0003_H_x000E_[@Ð_x000E_B_x0014_'ê]@ ZQ_x0012__x0003_Y@Ê_x0018_$5Ó	]@áv¨`·Z@k;Æ_x0012_m_x0012_V@vN½'¯b@íÈD\d@ñ_x0014_Z1_x001C__x0010_X@NØ_x0011__x000E__x0004_([@²«©\7¶`@ÂÜ;_`@j_x0005_$Õl]@é=_x0005_ùëÿ^@¯ÛY~XÈT@ÌE`@_x0001__x0002__x0007_g-ÙP@_x0007_¿r_x0003_ü¦b@fýñ§_x0001_%c@ÂRÛ_x000B_gëY@½µç]_x0001_`@¨¤î_x001A_ùT@È:fxSU@³è?m_x0006__@_x0017__x0004_âÕ$V@De©øÙ^@_x0004_Ã?¸Ôd@V	þ_x0014_*Q\@*}XÈú^@aCT_x0001_î}[@_x000C_4%Ï§&gt;_@_x0019_|î:1Ò]@FEK_x0007_Ê`@ub_x000C_Ç6óY@(¶db×4Z@8_x001A_]?_x0005_[@_x001B_¨Ô_(a@?®»vC_x0012_a@_x0014_­ÈñW@ð¾q?_x001C_ò`@ÖÿÔÍ (`@&amp;£k'_x0016_a@®X_x0013_Öà5Y@ºè9ë)u[@ÎÏ\¹^@A÷»LX@_x0014_ëi7p:Y@nz_x0005__x0002__x0003_H`@'ç_x0012__x001E_;\@Õgá §ßT@Ð19_x001B_Ö_x0018_a@Ðd£}¬_@î8húeTa@ß_x0015_óíaªb@ÿ_x0001_âÏ_@ÀY(_x0017__x0006_@^@õÚH0ì_@,N4Jl£`@Ô÷bO0#c@ºÇú_x001B_y`@Ó_x001E_³Ja@Ü:1çqa@«kÜûT@nE&gt;ÓX[@¯¯Ü9XZ@¡8WÿJ[@_x001E__x000B_h_x001E_×/]@®@e6d@	3´ñc@¥ÍEqè²Y@åì_x0019_¤§p`@Ñ°³ºnµ]@t?ÐÜbSa@_x001F_iS4_x0003_AR@¾Ù½ÌÍgd@¥s×¦ïX@úqÊÇÎY@PfÞYÚa@ñ&lt;»í`@_x0001__x0002_&lt;Õ^ý_x0006_2W@!_x0013_³v_x001A_½[@V_g_x0018_ûW@äû·¼°c@ ÌØáOa@_x001B_F_x000E_¤1¶[@BXÂô:Í`@m¤ÄæRc@Ñ2´úÏ%^@5$Øxªc@Zó_x0015_EÀÝ^@6dáfÃVZ@×°Ú¹^_x0002_`@:}`æNxa@x3_x001F__x000B_Z_@a| ti_x0003_Y@õÕÞ)W@á°Ëó_x001E_ê_@tÃ_x0002_}U@}²ÙE6c@Ð¿%é_x0003_wZ@ñ/Î_x0011_ÂZ@ãã¾XW@Â;ß×&gt;b@-²Û£&amp;\@fýN»3Z@-À¢^õV@EÆ_x001B_2¥]@^îW_x0003_a@ÂéêKsa@s_x000B_&amp;ío[@2às_x0003__x0004_¦]@usy_x0007_VQ@²_x0012_¯ë"Y@¹pÑÏ_x001B_`@T&gt;_x000F_¨u Z@-W¢_x0019_Õ`@^tó_x0015_a@¹_x0012_Ñ*_x0004_´`@_x0006__x0005_æ`)¬[@_x0015_}»¶Þe@Eÿ¡_x0002_íu\@Î_x0011_£P%_x001A_X@Ohï&lt;"_x0010_`@ËSj`V@î³W D^@ e_x0019_:ñpZ@kÍo e@Êì2_x000E_b@ùVÖ¹j\@*Cý°èX@­G_x000E_4­\@ßÔm8Âr`@L$û_x0011_8_x001B_`@ª,_x0019__x0018_Ø`@ì´Â½`õ\@­ä²Ê]@çñ	sw`@_x001C_ê¯Üb@_x0001_?épKP`@»8h±àb@a_x0005_Þ"_x0001_]@».4jÅ·_@_x0003__x0004_ÌYÆQ®]@_x0007_:dHÌ[@£·±@W@hxªÉXX@4àO_x001D_%\@%	]é_x0004_OY@Ë5ÄvBÌ[@Òî£·|_x0004_[@vâ°fW~\@#Ä_x0019_çó`@ú.¶¨äI`@&gt;WÜZ@_x0016_f¤Þ^@F5ý_x0010_c@_x0018__x0015_ü_x000F_`@{ÿ5¹]@a©¯$¢R\@_x001C_õèéQú_@¸âñ_x0013_\@Óu@_x0002_a@_x0017__x001B_`vDX@_x000E_|+7øc@Á_x0003__x0008_Îß[@p½ÐÆö_x000F_^@×¤Ìü«I\@_x001B_RB÷Ó`@¢ó_x0006_ÏX@A_x000F_T«(T@²Ü_x0016_ªa@·Q_x0017__x0001_úÍ`@#ÂpûÒ/Y@ò_x001E__x0015__x0002__x0003_ªLa@#Wï_x000D_`@½-_x0011_´_x0003_]@t_x001C_áõ"³[@mâ´¾J]@_x0006_²Ê¦;]@MîB úî]@.£M¯%[@èt¥£D]@ÛN%ê_x001E_e@ôé¤_x0007_ßü[@W±o/#^@Æ _x000D__x0016_î`@ü{8þ¼Cd@+´³ð¦a@î_x0010_ÑDQY@Íü(ý_x0010_XZ@að[_x0001_ÎW@mf¬ @ÕW@+E·g[@I:è~õ]@Np.`_x001F_\@ôæ­_x000C_b@Dö_x001D_¬½b@_x000C_]ÙM£a@¶}ðDOb@FB_x001C__x0014_Ý;]@;p_x0012_òÃ_x000C_a@ë_x001B_À]µb@¢_x001B__x001D__P@³Ä_x000C_rÄV@_x0010_ÃUç_x0017__@_x0006__x0008_CÞh·_x0004_«Z@´}wX_x001E_ÔR@Øÿp]©b@ýrÓ»ÃªR@eéÜLåÆa@9_x0008_wy²_x000E_a@Îñ¬6m_x0003_S@_x001F__x0019_Ùb.`@_x0017__x0015_é8±_x0007_e@µE°K_x0005_!a@¡8ô_x0016_f`@&amp;K?_x0003_Å_x0016_P@Ç_x001C_ÐYÇ]@ j¨NÞrZ@+U_x000E_äÔ\@v5L_x0001_BS@§é85át_@­ï ðAdV@_x000C_ã_x0015_°øb@4JV¾@Å[@dhef}©V@oÉ.8&amp;_x0018_`@¡'»Í³`@íC6Ú¶\@`_x001F_êb^øU@_x0005_ªXY°ÙX@Oùâ§N_x001E_^@ÔQ´Ö_x001E_b@Hxñ_x0001_æ,a@ð_x0019__x0002_á_x001D_À`@U§aO}`@m_x001C__x0001__x0003__x0010_k[@ÚÒËTY$`@äxò\Ã×Z@S+}w_x001B_­\@5ý÷\@_x0010_Ý8æa@_x000E_kPÓÅ«_@DÒÙj_x000C_äb@®$X_x000C__x0006_\@{êxCêþ[@!å«3G'Y@à^_t£[@Ä²&gt;t/`@Û_x0018_¼ÉHe@@_x0011_L1$òa@_x0007_ÿilE_x001E_[@dÙW_x0013__¯^@÷_x0008_4ß¸åc@²¸"f]ä_@ÜÐ£v ^@C8iZ	^@ÊKºÊc@_&amp;_x0002_¥w^@%ìdSR_x0018_]@YTa\_x001B_rX@o_x000E_w[lZ@ïï_x0001_]@âÊ¿%`Z@-ì§t]@§AGd¢`@ÏôÛNå b@²&lt;ðñ[_@_x0001__x0003_ùº Z@,ìJi±»`@¨mmÙ¨ca@¿_x001B_Â_x000C_å¯]@F¨Êi6?a@,Y7HÆä]@_x001B__x000C_¦_x001C_ó_x001C_[@×Á}£o¡W@óNû_x000E_´b@Ig9`@õ¨ö_x0011_]@ÐÃ^EÝ_x0005_^@µ&lt;?ç|X@eöBÓèÒW@'ÈTàúÀa@²x¯ïI@_x0006_ò¢©Sa@ËVõ_x0010_¢_x001E_^@_x0017__x0014_ê_x0002_Ú§]@n¬j³$ÞS@¦Z0;_x001C_a@ß Ï£\@xL_x001E_iGà[@x_x000C_¬}âX@ÐoÑzwBW@èª£ü¤¿]@Â^j¯]@$ Ü®Ød@ÐÕ_x0010_O_x0002_á[@_x0011_´Ön_x0015_ha@W&lt;º_x0019_Ü^@_x0014_Àf_x0001__x0003_IÅ\@¿_x000F__x0011_Ü4JX@Eà)CWß^@_x001A_ô.D¶Ù\@g9ð¸ºÞ`@øÛøïc_x001E__@Ð&lt;HOÎÛe@cWT®¹`@þìÇ_x001C_{^@üæÄkkR@_x001E_ñõ-_x0004_Y@_x000F_7EÊW­W@éµ_x000B_4TUb@_x0002_iü	]@µªrçÈÊb@å-IÏ_x0013_`@&gt;/*5X@W%Y©a@% ]_x0011_±_x0011_[@7°_x0004_T_x0016_Y@*3Ýë,\@¿m_x0014_VSa@_x000F_þ	²¢X@ËXEÈM®_@\ÕËSB¼b@4_x000D_ßr Ra@_x000C_þñ6ôËX@AU¶Ó©V@_x0012__x0004_v*'W@+_x0018_ÃëúÚ`@¿ãß+t^[@7^»_x0017_×T@_x0006__x0007_ìãÂãª`@_x0002_då¡±H[@óE~r9Ðe@_x0017_]q_x0008_ã_@_x001C__x0015_A9V@n=cÏ_x0003_vb@Lè:bR&amp;_@__x000F__x001A_úZ@#3éýW¸X@PÓÁ £$V@ëÜøtç^@_ý_x0003_j_x0016_ß`@ÄÓÉ/{Qd@'wt_x0001_a@_x0005_D3À]@þVÔ!Y@°È_x0016_dÖ[@DD$_x001C_F_x0017_^@_x000B_2y­k÷^@MQ&gt;#ÛÂc@±ÎGid@"^§_x0010_oZ@û__x0019_v_@fTnez`@U)_&lt;_a@ÏliPU@/	_x0010_­Î]@\åÈþ_x0004_a@\ÆbnhW@ï¡M»ÏR@/Å¼g_x0007__@Àø¯_x0002__x0005_èOb@yRéVsü`@5¸·_x001C_â^@_x001C__/¦º\@¼iå:A`@ëïC·`@ë_x0019_+Ë[a@Âä&amp;üTZ@_x0015__x001D_T¾à#Y@Q*% _@j_x0014_lµ82`@´:,_x000F_ëõ]@#ÆRµ±U@ñ§%ØÀìa@D_x0001_n-Áa@#_x0010_ÝZÀ`@¾TLÄ	`@_x0004_üÅ/¤_x001A_d@¡ÏÀÕ_x001A_-_@J_x001F_®'GÃZ@ ºÌî\@KD&gt;:|[@Zk_x0017_ _x001D_(T@ÕtÿT«[@Ks_x0003_ð¹±V@ÚÊ]&lt;ÉV@u_x001D_dF6b@l[Ó$`uX@nH{Ø[_@°3õ\kQ@_x000C_ÞÁÂÂf@Ut:KTX]@_x0001__x0003_,I«Ølg[@_x001F_ÙwÏ¾Y@°ð§¸¾|a@VuÙ6©a@§_x0007__x000C_õI·[@gpô_x000B_ºb@¼¸C)_@Ú©.á)]@»t°_x001D_Ëc@¥a_x0010_wM[@ÃäáâSû[@ª(_x001F_ã`@yÙ÷%Éåc@H®iå[Z@ _x0008_þ,èb@¨¤ÓùÇ¼a@®²ÞXÁ]@'èPX|_x0002_W@²m§6a@?4©u%b@²ÚÝh«;`@×X&gt;8[ÐU@_x0002_9uòàX@¦Ôsçu=Z@´K%x4xb@_x001E__x0005_~W]@ÕÄQwb@­µ_x000C__x0005_5^@¬zÔ_x0005_À_@{c-ëa@ôd©£ÜÐ\@sÐCê_x0002__x0003_¿w]@I¡WòÅÿV@XîßçÚW@_x001B_PFßØS@ºL+ýªß[@o_x0001_Þ_x0004_\@Ó_x0012__x001A_ÒËT@¢,«F~n]@kH®¿Ý\@h# g*È`@%@i¹¡_@$¼°¬©`@·âÿK¼_x0016_X@8e°ÕJ£^@£_x0013_Í_x0019_a@`z_x0011_JÈb@À-&gt;¶³^@ËOq?¾P@_x0002_tð_x000D_^@ÅYÕæÄ^@¯º_x000C__x0017_`@ÑÝ_x0010_¯Â[@ ÍÝzæ$V@~]^¾_x001B_Ã[@¿G_x0019_Þx·[@wÙ¹ªÝÒ[@t²25_x0005_ða@R÷èúÙ_@_x0011_¦JöK^@  Bl_x0017_8e@3þ_x0007_è¾%^@þ#õ6¶]@_x0002__x0004_þìV5b^@=,#ì_x001A_óa@m_x000E_Ä`s^c@íªÁJÚS@æ_x0018_Q_x0007_^@S85_x0003_÷[@c_x0007__x001C_AÞ#`@47_x0001_}®\@¸ùÈq-_Y@¶Ü÷D_@C_x0005_Æ/Ò_x001F_c@ãA6÷,%d@Á#_x0006_³%W@&lt;â_x0019_ÛÕS@¿Âma!Z@OR±yY@ìSú¹µa@k_x001E_¥¥ÔÿZ@0:Ð_x000F_/ï[@ÜÚµ_x001A_Ê'U@áN`§Ú#\@ÈìuÒVÊ\@_x0012_Á_x000F_¤ü]@ÒË_x0005_ÿ&amp;\@ÒÓ2_x001E__x000E_ôZ@2_x0018_*×rðX@Pþu~ge@`¸_x0016_?@`@_x0018_*PFt`@.¤io_x001A_o`@âö_x0013_þ¿9X@Ã£½ç_x0004__x0007_òµ`@_x0010_c_x001F_]ÎU@üØ¬z±¼_@b_x0001_W#(\^@ê\uÉ_x0013_b@F²+_x001C_vÇW@_x0006_p0x¡[@:æ}º\@¬0f¤_x0002_Y@l_x0017_ÂÁ_@.Eöþ¶S@ç%u_x0019_}`@+_x001B_ÏZS@%õi_x0002_©\@B_x0005_@ºb@àÌ7eÕT@£ËÒ|C_@(Ã_x000D_h^Q@_x000C__x0016_aÎ»_x001F_]@Òy_x0007_æü[@[®_x0010_P_x0003_Z@zó&lt;_x000F_[a@]óË)B_x0012_a@4ÍW¼,Ä_@,YWmï?W@¹¾²Zð\Y@|Ù_x000D_)¶[@J:QÞjA^@_x0004__x0004__x0004__x0004__x0004__x0004__x0004__x0004__x0004__x0004__x0004__x0004__x0004__x0004__x0004__x0004__x0004__x0004__x0004__x0004__x0004__x0004__x0004__x0004__x0001__x0002__x0001__x0001__x0001__x0001__x0001__x0001__x0001__x0001__x0001__x0001__x0001__x0001__x0001__x0001__x0001__x0001__x0001__x0001__x0001__x0001__x0001__x0001__x0001__x0001__x0001__x0001__x0001__x0001__x0001__x0001__x0001__x0001__x0001__x0001__x0001__x0001__x0001__x0001__x0001__x0001__x0001__x0001__x0001__x0001__x0001__x0001__x0001__x0001__x0001__x0001__x0001__x0001__x0001__x0001__x0001__x0001__x0001__x0001__x0001__x0001__x0001__x0001__x0001__x0001__x0001__x0001__x0001__x0001__x0001_ _x0001__x0001__x0001_¡_x0001__x0001__x0001_¢_x0001__x0001__x0001_£_x0001__x0001__x0001_¤_x0001__x0001__x0001_¥_x0001__x0001__x0001_¦_x0001__x0001__x0001_§_x0001__x0001__x0001_¨_x0001__x0001__x0001_©_x0001__x0001__x0001_ª_x0001__x0001__x0001_«_x0001__x0001__x0001_¬_x0001__x0001__x0001_­_x0001__x0001__x0001_®_x0001__x0001__x0001_¯_x0001__x0001__x0001_°_x0001__x0001__x0001_±_x0001__x0001__x0001_²_x0001__x0001__x0001_³_x0001__x0001__x0001_´_x0001__x0001__x0001_µ_x0001__x0001__x0001_¶_x0001__x0001__x0001_·_x0001__x0001__x0001_¸_x0001__x0001__x0001_¹_x0001__x0001__x0001_º_x0001__x0001__x0001_»_x0001__x0001__x0001_¼_x0001__x0001__x0001_½_x0001__x0001__x0001_¾_x0001__x0001__x0001_¿_x0001__x0001__x0001_À_x0001__x0001__x0001_Á_x0001__x0001__x0001_Â_x0001__x0001__x0001_Ã_x0001__x0001__x0001_Ä_x0001__x0001__x0001_Å_x0001__x0001__x0001_Æ_x0001__x0001__x0001_Ç_x0001__x0001__x0001__x0002__x0003_È_x0002__x0002__x0002_É_x0002__x0002__x0002_Ê_x0002__x0002__x0002_Ë_x0002__x0002__x0002_Ì_x0002__x0002__x0002_Í_x0002__x0002__x0002_Î_x0002__x0002__x0002_Ï_x0002__x0002__x0002_Ð_x0002__x0002__x0002_Ñ_x0002__x0002__x0002_Ò_x0002__x0002__x0002_Ó_x0002__x0002__x0002_Ô_x0002__x0002__x0002_Õ_x0002__x0002__x0002_Ö_x0002__x0002__x0002_×_x0002__x0002__x0002_Ø_x0002__x0002__x0002_Ù_x0002__x0002__x0002_Ú_x0002__x0002__x0002_Û_x0002__x0002__x0002_Ü_x0002__x0002__x0002_Ý_x0002__x0002__x0002_Þ_x0002__x0002__x0002_ß_x0002__x0002__x0002_à_x0002__x0002__x0002_á_x0002__x0002__x0002_â_x0002__x0002__x0002_ã_x0002__x0002__x0002_ä_x0002__x0002__x0002_å_x0002__x0002__x0002_æ_x0002__x0002__x0002_ç_x0002__x0002__x0002_è_x0002__x0002__x0002_é_x0002__x0002__x0002_ê_x0002__x0002__x0002_ë_x0002__x0002__x0002_ì_x0002__x0002__x0002_í_x0002__x0002__x0002_î_x0002__x0002__x0002_ï_x0002__x0002__x0002_ð_x0002__x0002__x0002_ñ_x0002__x0002__x0002_ò_x0002__x0002__x0002_ó_x0002__x0002__x0002_ô_x0002__x0002__x0002_õ_x0002__x0002__x0002_ö_x0002__x0002__x0002_÷_x0002__x0002__x0002_ø_x0002__x0002__x0002_ù_x0002__x0002__x0002_ú_x0002__x0002__x0002_û_x0002__x0002__x0002_ü_x0002__x0002__x0002_ý_x0002__x0002__x0002_þ_x0002__x0002__x0002__x0002__x0001__x0002__x0002_ýÿÿÿ{SP"_x0012_7V@~=¤c:c@¬Ïsë_x0006_a@_x0001__x0002_äÄÕÈe^@âj*êLÕ]@Áb2_x0018_ZX@tÒ3XÜÜ]@Âî¶ÛZÐ^@Â²GW þZ@2NL[Â_x0008__@_x0011_?wJ_x001D_c@_x0018_ò"Ù_x0006_&gt;`@,P1_x0019_{c@xÉo`@_x0014_¬hHÿ`@J_x0010_Ól_@_x0012_Ò_x0012_õïX@_x0001_:Á}PZ@ó´åJL[@åõQúæ]@â¿Å_x001D_tX@ú~ªUôa@¨üwXFJ_@_x001A_Z×hu°c@6®Ø^ÐØ[@+_x0011_«?¶	]@b|`Á¦_x0003_a@Aí?¶íô`@_x0014__x0018_b2d`@Òu"m `@Ík48pÐX@×³å§Øtc@bio4_x0010_]@ýqùÇè,Y@þ_x0012_0~_x0001__x0004_o£c@&amp;_x0001_BT_@?qHÚó^@_x0003_*3ó	Ða@};Ö%çdW@l^D_x0016_~]@s-j»ð)_@«#jH\\@_x001B_o_x001C_ÿP_x001E_`@WìöU^@bÔïOª~b@ØÊQÚ\@O^_x0001_Á0\@_x0007_O_x0018_kÖX@¸(£4_x001A_X@)_x001E_88rZ@_x001C_ªKÖZ^@HuNXÚè\@ ·uÀ}¸a@QPAÝ{]@Åû«Ï·Qa@w4ä _x0005_;`@¬?k	x^@B_x0003_!Ã_x0002_W@ddPÿd@ØãS©-·`@w½ß¤¨\@_x0008_`Ç_x0006__x0007_aa@)U{÷_x0007_Z@ÈAa@%_x0015_{:g]@À_x0015__x0012_g[@_x0001__x0002_I$urf.c@ó_x0005_Qb(r]@Ì_x0005_±ïU_x0002_\@ì ªÒ`@ìÓ-ãb@ê{_x000E_ö×_@+ý¿V5µc@YÑ_x001F_kh]@=×5_x000F_;\@Cj_x0008_`ØÀd@È&gt;cmv¸]@#èKg_x0016_ÈZ@Æ[´Ã	_x0007_a@¬¦h¶¿«[@ëöH üq\@ê(­Îú_x001E_U@ZS_x0008_ÙÇnc@.Gæe]@pe¡&lt;Ý¹_@GÝY[§5Z@ªà_x001B_=W_@J_uhSJ_@_x000B_°!_x000F_^@XlT_x0018_X@ÂÕâ#X@)ª±_x0008_©`@åxH:;ö]@_x0007_èWa&gt;\@Ýå_x000D_9_x001A_¥\@Ï0*dè¹R@e_x0010_û_x0008_·l\@_x0014_CÞc_x0002__x0005_ØlY@Æy&amp;x_x0016_a@¶}ªMk`@pø"åü&gt;]@Ì0õ×$b@îGÒ[@*ñSÆÔb@_x0002__x0002_ÔExR@_x0001_§¥X_x0013_U@_x0006_ÂÜ_x0014_`@_x0002_î_x001C__x0001_dpZ@_x0002_-RÃTX@¶_x0003_LÜáÑP@[`CI:a@â¾ýúIU@(½Å_x0004__x001D_çX@QH_x001A_V¹\@÷ Ð_x0011_±b@/q¨Ì2`@_x0004__x0006_ZÊÊÝW@Ä#y;;b@fy_x0005_¾_@àcûsZ@1¿öë]]@!_x0014_]"	X@ô´zÓ?_x0002_`@Lî^5H_x0004_`@Ð?ï¸G_x0016_]@_x001F__x001C_~a^[@NÂæ@e÷c@pJ\jøb^@N¯N_x001F__x0002_X@_x0003__x0004___x001C_.+_x000E_3]@_x0011_}­K´T@z_x0005_f[_x0014_b@¿ô¡_x000D_w1^@_x0004_T)·¤ ]@Ù±t_x0016__x0007_W@rJ©Løa@ÄxTfT`@íÜ`ïO¾]@FÍ´ô_x0019_ÂZ@Æ_x001A_Q_x0007_Qb@%_x0015_®C¨a@Ãv_x001D_­#íZ@_x000F_&gt;u£?a@y_x0004_SÊk/X@o_x0002_]@ø_x0006__x0016__x0018_ja@£y_x001D_æ°V@G_._x0018_e@pdøòÑ`@qöo7`@lß£÷oÛ^@Ì¬X@ãP{9´W@ÑGµ 5Y@Þèkç:3]@úóEíX@ãá¬´_x000B_`@ªnî_x0018_[@ÕaÞH_x0001_[a@Bþá­þW@#_x0013_Ã2_x0003__x0005_ãøU@ëú&amp;Ñ`^@ýÈeqU@K-_x000B_@}Ò]@e!¥_x0003__x000E_ß[@· |+X@Nwó_x001A_jJ^@³C_x0007_AÒÈU@ëhq&lt;_x001D_]@Üåa×¨_x0003_`@­¨N_x0003_£_x0006__@IDIêy;_@ãÔ«èS_@ìuä_x001F_÷\@l_x0001_&lt;eÀPR@ÛN6ýT@À_x0012_Viz£X@_x0005__x0002_PÏ-ÕY@)ry êY@ZÅºW`@_x000E_ò'\@í½Íï_x0006_¹\@l*®=]@_x0012_Ì_x0014__x001D_¹W^@ÑèZ/÷M]@_x0010_¿Ä[19a@_	0!_x0004_uV@ ï_x0001_pù^@Aê_x000E_¢1º^@®_x0018_ß_x001C_l^@pN;R{W@_x001B_Õü_x001E_	`@</t>
  </si>
  <si>
    <t>608a2b67b6493d2d7e991508f67e2243_x0002__x0003_r9_jj(Y@å_x0008_c "a@Ü_x0006_%6|b@B],¢i1Z@ëâ_x001E_kº]@¹ÏsØþd@¶_x0010_Æ_x0017_]@«×b³P_@Ï82KgP@¶s©U^@.{¨è_x0013_V@ºÚjaf`@ç_x001E__x0017_ë V@_x0019_àFÃÊÃa@_x0014_Z×_x0016_O$\@Y_x0003_­ýIÓ`@àù!²a@§_x000F_ÿPëW@@,5_x0001_±b`@$ÁÄV[^@í_x0010_?I3[@ôkÌ¢_x0007_Í]@ÛVZÚªíX@Ñ_x0004_ÒÒ~¿\@èÚúÛC+]@_x0014_]Ä¤ÑK_@_÷³@3ÀW@n¡/ºÐ_x000C_`@*ç9;oY@­$_x0003_áY@í¡5?_x0014_a\@_x0015_¯_x0004_b_x0003__x0004_ó_x0008_W@JHÆÉ,]@_x000C_õPÍ_x0010_^@©_x0019_dVÃ_x001A_^@''_x0017_êpÈ`@õB**b@&lt;Ë§_x001E_ü`@çL*Å²[@TÃ½_x0002_6`@9_x0014_í_x0001_4z`@§_x0002_[ò.b@¬NnI_@_x000B_ìøRäXP@·ºÂp!]@$_x000C_åøÉOa@úRÛð_x0005_f@0 V³Íyb@åÂßÃ_x000B__@_x0012__x0004_ÿ¨l^@f¼Þøê)]@_x001D_ê³Å\@"_x001D_çÔÕðX@¸¤_x000B_´øS@ !¥fõ]@45_x001D_nT@,0dñ]@_x001E_'ÚH£~c@Â_x0016_(Rµc@ÕRyâÌªa@Jà$¥5YW@?¥:bðµ`@­ñ¶ é`@_x0003__x0005__x0019__x000E_kaj]@L	_x0004_iÍÍ[@#ló62jY@F ­n/Ö^@ò$î_x0003_V@[y=ê½c@¿_x001E_u_x001D_ÅØ^@3#ùüM`@@q®×kY@&lt;f_x0011_T?]@MË2ºÌY@¹¼zb@ô­ã_x001A_öO@oîãt$^@i¡*0_x000E_`@âÓjhè^@._x0001_Ì¼M[@°ò/·+Dd@R^6ziU@cëÂI0`@ìß2åyV@_x000C_Y¨8_x0013_EW@®/U¡nâZ@_x0018__x001B_­_x0002_üV@5']ñ«`@ÅSü/ë^\@_x0019_ÛÐÏ²$a@ÊÔo_x000E_\@xh]Ë79\@¶N8qô}a@v)T¾yõ[@Ò%%Ì_x0001__x0002_êe\@°¹ËÀÓÊ]@£_x0001_ög¶b@_x0013__x0010__x0006_­6fc@. !¼{b@2*?ûöYc@òO·ÃQZ]@_x001E_j_x0017__x0012_9^@=µ»*y_@0_x001D_aºUb@_x001F_é_x001C_ß¯k`@vÔ2_x0003_Ab@_x000F__x0013_kDú_x0013_a@ÛÁ$ã¬aU@Z®×_x0004_Ù]c@Öä.Wè]@»2oI_x0017_Y@C^Q_x000E_3k]@_x001A__x0018_9	ÓÀb@Sâk´ T@S_x0001_¬î_x0010_gb@öàþ³aü]@_x0011__x0016_¥EvJ\@Å_x0012__x0010_óòU@`_x0017__x0001__x0008_,kS@´Æ_x0016_ª}T@mDöR]@¡_x0019_Þ_x0002_|Mb@jÆþÔ^_x001D_^@-2[&lt;_x0008__x0016_a@`s_x0006_èDa@Ïa&lt;tùb@_x0005__x0007_r«ß_x0003_ça@ýÎÍ¿`X@À îÆjód@¼:=Q2P`@×6Å¢q+^@à¢n§_^@°Ï2t×{_@¶¹ê_x001C_´k`@_x000B_]É_x001F_¡î`@¤*_x0001_2_x0016__x0003_a@ýl_x001D__x0007_U@´çJî_x0002_ùY@¹&gt;_x0014__x001E_Âß\@_x0006__x0010_Ó·Ï_@1Ç_úp^@µ:iÇå±^@gg_x0004__x000C_P²`@_x0006_¯¶qJf@±ÕW@I_x0017_^Q\@vÑ_x0004_ØS\@_x0001_×bð×`@&amp;i_x001B_§@X@A÷ftâ:a@M_x0001_j³¢ða@^CÒï}Ò`@_x0019_;PÅ_x0015_Æ]@_x0001_í8,°ma@KG/Ò½b@f#ù´ø#`@ùr#Ä_x0001__@¥@O_x0002__x0007_YÔ^@Bë_x000C__x001A_T@ i_x0005_Þÿ4]@¥PÌ¨Z@cÆfy¡/b@ØrZ_x0002_V&lt;`@Ã¬.Ñ_x0017_d@Ë¿eº=a@rC_x0016_ü-^@Ï+_x0013_æhN]@ßBB§z_@Ðº_x000E__x0002_W@_x0006_ê(ü_x0010_b@&amp;«_x0002_e_x0003_=[@	â]óÉ`@ºw77[]@È]­ó_x0012_³_@4f_x001D_tÒY@ç2_x0010_È_x0004_,a@wOÖM	ÖT@v¢Q,÷í`@_x000E_ù.G2K@_x0012_ð¹oP[@9[ýÈ×A^@ò&amp;B_x0005_÷¿Y@_x000D__x001F_¶PüS@ªÊâ;Ãx\@­|_x001C_Lød@_x000C_Ö^ÕÇÿ\@_x0001_m?1½_x0010_Y@ø^¡´;ÁZ@ã»puâb@_x0001__x0003_G_x000C_4_x0010__x0003_¹`@7ï7±]7Z@_x001F_V_x001C_G9]@§_x0013_Üw¦a@uK|_x0003_za@E?_x0014_úÔ^@%iÞ_x0015_êZ@Û3NSÑ[@_x0012__x000B_°µîa@(^1Ýb@L_x001D_¿ué]@_x000F_Û´._x0003_ b@eBtèIc@ùÉ_x0002_ÜX]@;xß\@LDmt2°a@âttgñã_@u_x0013_=_x0019_ûÿf@å_x001D__x0010_z\@5¥óiw_x0007_]@ÖÞ9¥ctZ@_x0019__x001A_|Ðùa@hTKC_x0010_^@s_x0011_Úi`@¯_x0010_vGp`@`Y?ºrY@½2jÏ\@²Þ×Ðb@_x0008_5ê­Â`@÷_x001A_r¢cQ@_x000D_ôí_x0019_U@«ÐÖË_x0006__x0008_£ÎY@Ô_x0003_ºmN[@¾Å«1´	a@C_x0013_MæEÁU@[¥1`@µÏR_x0002_)æX@Zl@ª_x0008_^@_x0012_P_x0005_5ÙÙa@¥Sb@luì«yùX@ø_x001E_7#u_x0019_[@p¥|ã]@ôvNÏMU^@À®¨c_x0001_­_@V+å_x0019_óuR@_x0006_}y/Ü¡X@Õú`.6Ub@üÖÏÁÜr`@_x0007_la­Â`@QfO@äÙD¼¾Ñ`@ÅË_x0006__x0001_ÇX@=ß`§+[@4_x001C_î#'a@"¿ñÎ_x0019_a@`_x0004_õ_x0016__x0019_d@s¨ÂØM³`@_x0010_©?_x001D_KïX@_x001A_´_x001C_M`@âRÁQ-_x0012_[@%\_x0008_­^@1ÑX[Yb@_x0002__x0005_¶b_x0005_1©_x0013_\@ÐXuÿ0c^@X_x0002_ox6a@«ÆÎÌè§\@Ð¨_x0004_Ç^@k_x001E_]`lúW@NO*$§GY@_x001A_ÕÁÆ¦*c@çæJ*cõb@Ø¬Û_x000C_\@È_x0003_`á_x0012__@@MgÅ_x0017_FZ@0S_x000C_30½[@³ß+ªÈ_@Þx#¸=^@_x0012_ô_x0007__x001B_BÓ]@íÁ_x001B_ÂmU@ÏÐFûÿ\@æPÔTC^@xg©|Ç\@¿K8_x0003_~_@qF	ÇÓ`@Å¡_x0008_ÔX@GÕîî¥`@ýrº[-^@è6«_x0013_Z@d_x0001_e½_x001C_b@ÎJ±ãC^@_x0013_c¶w8&gt;\@+x=§ÜIW@_x001C_.8+ªÄa@Ø÷3F_x0001__x0002_ûGa@)T_x0008__x0015_Hz`@oþ*VY@ü_x000E_9èì(Y@Ë"àÐ"\@8ê)­ï×Y@N·.áÅÜa@ðW_x0014_»jÊW@æßUýts_@ºv0_x000F_BT@øu_x001D_6®[@@)Þã0Y@i»#çf_@Ìað7a@é¹nÛV_x000B_`@gc¼e%b@_x001D__x0012_iX`_@éñ³lfS@D_x0001_ÜÚ¡ça@ÜÒe£w_x0015_]@%R'g*a@tG_x0008_6-HT@5~N_x000F_[@¡_x000C_Àë^@_x001F_Í·_x000B_2Z@Ç}8P6V@_x0006_WØ_x0004__x0003_`@s6mÛób@VX:\®M^@üé-ß¼`@TN_hý±U@c_x000F_©_x0019_Ô\@_x0001__x0002_G¼Þ^@¦7&lt;°0R\@_x0015_ô)»5Ëa@;(º©`@p¤_x0017_¨ÛV@µÚPf+c@_x0014_å_x001B_v¤OU@^_x001D_w	Ña@D5íe_x0011_a@©_x0017_xiW@ß&lt;#¿££[@#+ÙÇ(ÕW@j®Ké_@®_x000C_LU_x0006_`Z@çì_x0004_[ì%]@¬+U_ÆQ@¶ó_x001B__x0013_*b@_hÊYÑX@ü´v^³]@¸´Ô#,D^@SÇ¹ &gt;_x0010_]@_x0013__x000E_q_x0001_`@÷çhzOwY@±U_x0018_P_x0012_ãV@9ÛBÇ9x_@ÆÏä_x000D_o¦^@äfËMU@ºN´üµ_x0011_a@XÝ_x001A_ÒÝJ]@ä&lt;Ñ;£A^@íkeIÅd@"Ë©_x0017__x0003__x0004__x000C_vW@ÐÝ_x0008_¼'IU@·u¤_ _x001A_Z@áÆ93^@7_x0002_´Ê_x0004_®Y@3h_x0008_,%|Z@Á_x0015__x0014_Pæª^@_x0011_FîeùY@ëØÜm:W@|EåÇ_@¤I_x0013_\ýÞY@#³*ÉMBd@L±A_x001B_óü`@)@-Üx_x0019_]@t "å	a@Á_x0007_»i^@¨_x0008_]e.d@_x0014__x000D_§_x0002_3K^@,¤®× j`@_x0012_)ððFVS@ª²_x001B_B_x0003_c@X$!_x000E_kðX@ä;+¼ëY@òËU(öÖ`@'W_x0015_ÀY@l~ÂéÖ_x0011_]@è_x0015_ qD`@¡+_x0001__x0012_vaZ@[Õ_Ñãsa@/yEý0_@_x000C_zã×¢X@¿_x001B_\_x0015_õ_x0003_a@_x0001__x0003_ã_z¨¿c@&amp;é_x0004_:Ï_@Ù_x000B_iñ	Æd@«µ_x0010_ÏV@Îõ_x0017_L_x000D__x001F_]@,¤w5R]@×*htáç`@Õ.Ôì¾`@ñK©ãX@º1^Ö¨Z@i_x0002_MS_x001B_ºa@¿×^yºnU@Ý y´_x0019_kb@Q_x0005_öæ°`@_x001C_åþzª`@Û(Äì¹_x001E_`@¤mb_x0001_ºH_@~&gt;_@~´_x000C_´Ý^@ZhÙÇ±Y@ñ_x0016_X&lt;=X@Ä_x0016_å_x0001_~c@Þ,òÌva@_x0003_wÒðü]@èV_x0014_&lt;÷äZ@JT4ìAT@&gt;Ò¿Ô7_x0008_b@$_x000E_£¹¥Øa@wiÙv°X@_x000E_}_x0013_á2d@Æ^N}/`@ëRi._x0002__x0003_â_x0015_c@ ýÓ2 óX@SÅÕÚ{a@"ÉõõÎQ@	ÇïÅV@äÿ}ä0a@¶êN¢ÅR@j¹ìtÚY@1 #%ØÔQ@F»¦¹Ob@_x0015_GEáE^@x¬ÛþÆU@|¿_x0008_*_x0001_Y@ÅÇ_x0012_Ù¢`@ñÀn¯û&gt;`@N¥Ûæÿ^@O&lt;À_x0003_¸]@C_x0005_¡l[@DÇb_x001C_e\@LsöA½¬`@åµÆ	_x0008_v\@&lt;±m~¡i^@1$Ò-&amp;u]@®;iJ£FX@ÙlXrÖP]@_x000D_õ.ô$_@¼±òÿFY@_Z¡s[@Fñ_x0014__x0003_R%[@¢gzà_x000F_ÚS@X2oÌæ_x000F_V@gçr§ua@_x0002__x0007_nèÇy°H[@@|M¶³Q@"®ã¸ua@¾Z(_x0011_*ob@_x000B_ÎÝK\@YýÇèûW@_x0006_kðü£ªc@Ç¤bPz_x0017_`@Û&lt;ËÁCb@ûSÄ@;[@E_x0004_[å¾]@xýÀ_x000F__x0003_F[@Å_x0011_k®`@Ldf¯_x000E_Å`@\ppa@_x0011_©_x0017_îT@_x0002_&lt;¬Zç]@_x0018_zä §_x0003_\@ 6_x001D_µ[@_x0012_ÃìJY@µá=+*ÏY@~7_x0018_ d@9ºrQ_x000B_E[@36³!1©[@.èáÿðLY@Êÿhz_x0005__x0014__@_x001C__x0001_\@¤ÛG?ÛU@_jEeh\@3]ðÚ"³Z@r_x0001_Â@úY@]Â_x0002__x0002__x0008_r_x0004_]@ùèè"_x001A_'b@Þbµbtc@%&amp;ô°_x000F_Z@tËðvV@QÕz{_x000E_Ö`@{£ÖÃø^_@y­I×&gt;_x0004_[@ß¤ebÎ_@Lðl_x0011_U@]Ú¤Ú]@_x0007__x000C_âæ«µW@&gt;ÃÚ_x0015_u$_@_x0016_´FH_x0008_Y@º%=÷å_x0015_X@_x001F_ºea@ûª_x0005_þ/a@ä(¶ñ)[@0_x001F_fl_x0016_É[@ùF%,ÁìZ@_x001A_`Bua@çÆ_x0001_Í#ãb@fÝEyF_x0013_X@_x0006_ufkËL`@e×ß3ød@¿;Íô×W@3gÅNzS@_x000E_6)Û­¥]@?¶Îp_x0008_©V@ê_x0012_£¿à}[@Vª±·À½d@ïLè_x0003_à\@_x0001__x0004_Àq±_x0005_º]@ÍèÏæ_x001D_ÿf@þiùl©_x0008_\@K8¾òÂZ@!}«÷bkX@$©&gt;]@Êr¨uÍÔV@2É:¥W[@?fúôÛF\@sÕ«[c`@¬¿,`@çeÜ¥÷`@xÝé_x0013_\@¸_x0007_:_x0002_ß»[@±_x0019_VeXí^@_x0008_jW\_x0012_`@é_x001E_Z_x0007_[@_x0015_¢`Â_x0003_ÿX@|ß¸ÕvZ@^UwW@_x001B_-$óÍjZ@Î_x000C_&lt;_x0001_\_x001C_`@Ê®_x001C_ÛV@³£ür,Y@yë8Ù6ß`@î_x0005_ñKêZ@¡Äü÷LY@_x001B_ÑðÀ_@ÊçÙgb@Ïn|ÔNW_@P1ì}'^@Ñ_x0005_k_x0001__x0002_¹ca@ôCëÅ_x000B_úa@ejÀW!\@ù,7_g`@§·_x001E__x000D_SV^@_x001E__x000D_»f&lt;Á^@ß\vûþc@_x001A_s´2_x0012__@âËÙÝôßT@Rðwa@ñ=g%ò`@Ò·O®ÏUb@'5e²÷|d@ _x0010_fL_x000E_`@ÿ¯{Qc@¢PiÛá\@$u1Ã`a@[_x0013_Ê_x0018_ÉÒ[@Üåõâdk`@\©;~a@*Õ[|×&gt;R@äF_x0006_Ó.a@x_x0002_§$Á`@f_x0007_%ô¥ùb@]¬Ò~Ñc@-z\Å1GW@&lt; ßa¸û_@ üòn/æ_@äÄê×una@Lo2 a@_x000E_9Ê·.]@Í©zâ^@_x0001__x0003_S_x0005_²éÜ¸W@G{í²#`@ïo!_x0011_°Ü`@&amp;õÂ¬¥/]@_x0019_ÿ_x0002_&gt;!3\@ä ÃÏ¿b@_x001A_U¿_x0019_|lZ@j«^Qm0^@Ê&amp;5Z!]T@y×|äV³a@îÝ»Mhb@âa¸WÎX@¶+ð_x0016_[@CÎ"[!^@r_x001B__x000D__x0006_`a@y_x000F_§ :p]@'IIH_x001B_,]@É~O¹^@!£#`@Ð	jó^@_x0006_ygOÅc@}ÍR[Z@çqc+_x0018_a@BYÇ¨B^@*¾û~¤\@òiÄ¢_x001D_]@&amp;PÇVuÑ[@û¢_x0001_!nhY@/ßd*X@,)'AWR`@$_x001A_íÇt,b@Ü¯c&amp;_x0001__x0002_ìY_@ß·j¯Ñº`@Âµôp[@-u_x0019_¥å`@§÷Ü°YX@_x0019_yø_x0015__x000B__x001C_c@Â_x000D__x000C_`@_x0001_±dQ¨_@IMc5º,d@n0U«ä&gt;Z@È\.çb@Dó£_x0004_ÝR\@ Å ¦ùÈY@^b_x0011_I_x0011_W]@×r¬nå`@·Û_x0003__x000D__x000D_±W@'@kÍ_@×-MK»7_@ÅOëBKdY@ oX´T@»!ÚÐÉ\@ïGG,¥V@þ¶eí¥Y@_x001D_vÆÓ¡[@¤øã{fX@PT­LõY@ú¹_x0010_cY¬_@Õkðe@îR]æ¸a@àõ)ZcV@GCDÍøue@_x000C__x000F_iÍÙb@_x0001__x0002_-w(~¶_x0007_]@ôªË2]@M¢_x001C_|q@]@_x001E_Ï×Ê`@ñÒªÉ¼ò[@»ïì_x0004_[@`(í_x0002_ÁZ@Ü¢_x0006_ÉìâU@ü(ø©§û[@lÅ%a@°ÇMU@;dÌ®a\@þ¯NÓ_x0014_a@_x001E_y_x000B_Ýb@ë¨|_x0002_W@&amp;9úóòD]@°BC®NY@®¹3Û_x001F_n_@¸6&gt;_x0019__x001D__x0008_]@ÌÒ!Vb@_x000E_{ Ø½a@Á±ù_x0015_Þ;X@Ð_x0003__x0008_q_x0013_`@_x001B_w¥bEPa@_x001F_G¾zoÞa@fÎ=áììa@¥_x001D_ _x0007_«w]@U}0$Ñ_x0006_]@PùAï_x001D_T@¢àzµ`@dk¦Özº`@KÄ¡´_x0007_	üH]@fyÐO_x001C_ÃX@L(ºc@ÑX¬_x0008_Ëyc@_x000C__x0008__x0002_[@_x0014_pÏÕ_x000F_Z@/DhD_x0015_,]@8õF_x0014_`@Úßx#_x0014_Â^@L&gt;é_x001B_b@Ëû3Ë]@ë?_x0016_xF_x001E_`@ò_x0005_OLC_@á=_x001C__x0001_Zb@_x0002_³_x0010__x0003_{_x0011_]@Tk°9Z@_x0003_ø&lt;Ý_x0012_"c@ÎP´_x0007__x0018_XZ@¶LW³ÂZ@Âä/Æ4õ`@hW£Ú¶X@±_x0005_-~ÔT@itAørÊW@9¦ñðb@7ÎÓ»â]@ÞdÓ£ÛZ@pk+%ç^@@cÄµ_x001E_b@JÉ,È÷K`@Î$1©X_x0006_Z@_x0011_:_x0001__x0004_la@_x0010_·[@_x0003__x0004_0"ÌEí²a@|½ßS³`@að_x001B_&amp;_x0011_VX@ääNÆ`@ç_x001C_EaÄ{a@_x001E_Ñ_x000D_Ó+f@8Øõô{b@M_x0011_£¸Ø_@üÛ¨nXja@(}ðCÉV@øE_x000F_0.`@b_x0002__x0019_¯î^@ÿçh¿,d@;x_x0015_jPl\@ìà_x000D_Åõ¬[@n,cC_x0004_8Z@íB{j¼,]@HÎã&lt;É_x0011_a@ñ¶ÈoY@Ý:¼Ä_x0001_b@_x000E_SI{D_x001A_`@(à_x000F_ã¹\@´_x0006_Ú_x0015__x001B_æ[@_x0015_X_x0003_µ]@ãªf_x001A_X@ `_x0012_WÒS@Ç;_x0011_¨Ø\@óÕx_x000C_U@±_x001C_±ãò_@_x000C_­Üt&gt;_x0018_X@ÙÛ_x001C_(z*Q@´Áb_x0014__x0001__x0003_¿Æ\@vòZHñX@_x0011_¬þ&amp;[`@&amp;,Ôze@Í_x0001_ûè`@0Ý¥¯/_x001D_c@&gt;ë£ðA_x000B_X@ÃzßÍS~c@²&amp;_x0005__x001B_]@fV@Òà,_x0002_lX@²31@±ÙV@¾_x000D_îrª]@µYóÁ]b@{ÿ!Ï\@@[0_x0019_¨ûX@X²98a@ÞV_@º_x000D_æ4»2`@E¾:YÆ_x0018_a@7-|êÓc@¦µâÙq`@¯êÓ^@dÿßÔ¯²^@êg$X|_@[Ï_x0013_A_x000B__x001F_[@Urøxò:^@·27vÕ=c@¦U¢?ÞX@V&gt;ÊÞù^@p´Y_@_x0005_»ÞEb@_x0002__x0004_ôAX¡8_x001B_]@¯é}?HCa@IdG_x001B_WÞY@øH;ç_x000E_1a@DH¥)yh@P_x0003_"ñÎ]@NéDM)yS@¤¼¨êý\@_x0012_,aq_x0016_T@_x0006_ÏnÄ~'^@fÚ&lt;_x000F_ê(X@R_x000B__x000F__x001E_ha@áC|uÿR@²_x001E_ð_x0015_ìLa@ªb_x0019_T@|ù¯r`@®µ#ãS_x001D_a@°_x0001__x001B_Õ]@h¶ñ_x0008_åïV@ÈQLô_x000F_²`@_x0011_ Õ~çö[@_x0006_z`_x0004_p¶Y@_x000F_Kèv¦_x000C_c@[KéWÄZ@JHPù­_x001B__@ï_x0012_©_x0008_\@È&gt;í;`@ÄÊ4û¶U@÷_x001A_._x0011_Xô_@eþ¡Òí"W@_@'_x001A_þ'\@1_x000F_ñ_x0001__x0003_ÜÎY@nääÌ_@rªÉíá}U@çæ_x001F_Ä¿_x0003_O@A1Þ`@_x0019_oT_x000C_S½S@#Ya`4a@_x0011__x0002_ýJv®]@q2F½¬Ø_@°z#\@`_x0016_¡yvC]@U/¿y5Ð^@T¤:øKa@í(Eí_x000F_rW@¸_x0004_G\_x0006_^@[ÁÀ°[`@~¿_x0015_³ Ja@_x001C_Bû+¥ìY@ÿÁ@A(X@:m[Á¶/`@Ó%LUùÄX@(_x0019_4ÕJK@O)ET4_x0006_b@¼»j_x0011_ÚE[@Ø:_x0019_Ãê^@:e§O÷"^@tàÑ´ä]@ðóÑ$0Y@pP_x0003_U@´OXbd«^@HFnyf$[@_x0001_Ë	Ex&lt;`@_x0001__x0002_þ_x001D_ä!_@ë%zbä@d@|ÕÚ®Í^@âm_x0015_-gY@xÐèÆ¯za@Ù/D_x0014_ânW@Û"ü2sZ@DI¢	óX@7nZfÐ[@Ü_x000F_9YPW]@ú½!_x001B_í/`@¬ô_x0017_©_x0010_q[@£Ãî[@%ãÕØIÇW@_x000D_K÷_x001A_8\@(ärÆÖb@Æ_x000B_#Hraa@d&lt;_x001D_­RÇ_@Î/$ÃÒ¤Z@||êIøãZ@8_x001D_®£Mb@å;02õ]@p³õç_x0007__x0013_]@ëfHíÖæY@e\_x001A_oA\@0äõbã`@óà?ß¸d@_x0016_ü9.­\V@_x001B__}»/ÙX@Ê-V_x0003_\@_x0011_3ãÐ_x000E_V]@'´¤â_x0004__x0007_Y_x0005_^@Ú'½ø~]@è#_x0003_¶W`@Â¦Í"^@JÙ7á«ÛY@»î_x001F__x0016_aBa@b]a_x001D_wY@¿¬_x0015_O_x000E_Z@\âwÓb@;5¹_x000E_v_x0002_[@z_x000D_ñáÙa`@_x0003_2ö\@_x0019_Uh_x0014_*b@ 8 ä¢©[@/+ùJ_x001C_±Y@_x0002_&gt;h¿aÌW@û«ó' b@_x000F_ V_x0014_µï_@à_x000B_¶_x0006_¥FX@BakºÜ~b@gS|;_x001C_=`@:H¥ÓU@×£n£N^@~@ikÑX@¡ï}è¶_x0018_a@_x000C_x§_x0001_`@cÍ_x000D_Ã_x001E_àV@Ñ_x0011_ó¹;a@_x0002_=!¨ô_@t_x0002_Ak_@tT_x0008_Áz]d@´_x0008_Áî_x0019_c@_x0001__x0002__x0013_£ò._x001A_`@Î×ÃgÅa@)_x0011_}`_x0013_\@su°ýÚ^@:·ú+_x000E_X@JZ'_x0002__x0010_²V@|'ÙÙ6`@p_x001E_µ[P@ÍH'¿Å;e@3_	QZÌ\@·­_x0007_þa@#_x001F_`ÊIya@DãþÌmÏ^@Î3{,`@(xÔZ@_x001C_(¼cY@@W´_x0011__x0007__x0016_\@¼_x0015__x0008_ËuX@]ah*ì)c@_x0018__x0004_²Æ&amp;^@ÕßêÃù\@\ç\fÜZO@9N`_x0015_iþ\@ÇÓ¤Ìo``@¯ýº©ØO`@»L4_x0007_ø_x000F_a@vàveib@_x0004_$ÄÚ÷êY@k_x001F_¤¯tS@2_x0017_Ãtó3a@C6(ä×&gt;W@õ_x000C_q5_x0002__x0004_TX@_x0013_0c_x001F_\a@_x0008_æP[¤íZ@ª_x000F_n_x0003__x000C_Z@êÁ¶r^QO@|F_x0007_zzqc@§7Ø_x0001_Ò`@NøjØÄ\@2¿_x000B__x0018_ç-]@±¬Â1_x001D_[@2_x000E_%Ùgy[@p%p$b^@X_x001B_Ç² Z@F3êôÀt]@q_x001A_âì6;`@|©nÏ,Ba@ÞWåR`@®J^lW0_@ß0°_x000C_Xý_@Ò&gt;Ûû~_x0005_`@h?cU]@H±®»8îa@_x0008_ßÛºûI@_x0015_/|_x0007_äÂ_@ÞÕ_x000B_[@Ù_x0004_AÒY@Ûò5_X@n×áÊ_x0007_F[@_x0017__x0010_+8X@ºññ°®*S@ñþü×b@yTx*ºa@_x0004__x0006_A 3«/Y]@mëa_x001D_T@ÉÖ_x0007_SJÓ^@1Ñÿ\`@´Fåp-^@T½]_x001E_ÛQ`@_x0002_N_x0019_î0 a@ÚäÞ}­\@á;UÄ&amp;_x0018_`@¶ZY²et^@+ÑqÊzb@Ö'N"åë`@¿cÉèl_x0018_^@ÿ_x0010_S2AY@Õ_x0016__òB,`@ø_x0006__x0001_Ö V@XCòc³$V@&amp;T³_x0019_´¢a@Æi$t Z@¨¢¥Çåò_@¿àg÷_x0001_¯^@ð·3_x0005__x000E_a@ôéçéú[@_x0003_â#s{U@_x0018_«_x001C_ga@ï_x0013_´ý_x0016_[@#=YS_@_x0006_{ñßÏ`@×ûYüãÜY@{Lçý_x001E_á^@ìS67hW@^³{ö_x0002__x0004__x0011_AZ@É_x0001_Rãü;\@LV£¯_x001E_`@Ûq_x0011_v!]@XyZ®iË`@_x0014_À©«ð\@	_x000C_#¬Y@¢&amp;EÒ_x001E_EY@_ºDï[@ð_x000B_à_ÏÙU@_x0003_À$_x0013_ÿZ@ËuW¬ßÀa@Ú&amp;ÿ/¿b@½a__x000F_DÊb@t7¢öç¢^@S².ð_x000D_QS@hîxy_x0017_§[@×_x0003__x0017_BÎc@Þ«¼T_x0005_xX@m_x0006_ìwa@2_x0016_ZËÆd@©ÿà8V@IÞhpX@¿KØ£íz^@:úÀr©&lt;T@ÔÁ©mÓ\@qªWFý[b@f6D"^@Äñu_x0004_2Öb@0Ôþe@H[Ã;X\@×uÈ#¥4a@_x0001__x0003_Øè_x0005_å]@´R_x0019_a@`_x0017_ð_x001C_¼R@¶LúAE`@_x0002_Ò½d?W@DýX]*`@Wèú_x0004_ä_x0004_]@!Ø©ª/a@ÀïÜ±·á\@2ªÓ_x0011_G]@_x0011_ÖqÇÓ\@~_x001B_{¥á`@ª¶0 ª_@pä-xÅ^@ª_x0002_¬6g_x001E_W@Ö5N¦PW@¸_x0001_Ø¼þV@ë´_x0007_^@_x000C_|a_x001D_^ÆY@4¶&amp;Ðfa@ÞNñ63¼W@óÅáIà\@`3É\@Ð´&gt;Ë3¶Q@_x0004_`¯ù¼W@Ú$_x0007__x0005_4§b@_x0002_;+4`@ÎR¿åõÉb@GÙ¶A_@·F?qÐ_x0015_]@_G%¢Z@6E_x0008_¤_x0001__x0004_Ó_@¦AA®þ`@#X®õ-Hd@°®òå\@²Håé÷T@B_x0006_n_x0017_ã]@¸_x0013_1/´e@4Àó;)¿`@_x001F__x000E_:§2c@(_x0016_;ça@æxÑ@@Ób@Ò_x0005_ÌDwZ@»|¸_x0005_òb@%ú­úfÑW@ÉÐµ¢¶ÉZ@hR±'Yb@fã½róc@_x0005__x001D__x001A_î]@Xã/_x0002_c@ì®ÂK¯¸c@_x0008_ï_x000D_mÅ`@:¼évzY@æ/õ_x0004_«]@KmÞÆ_@ì;§it^@ø\Âå_x0012__x0003_c@]g(D_x0006_[@¶Ø¾È­$`@_x0008_¾å2/µV@Q3_x0010_Ì¾a@-[Ó¥w÷Z@ù_x0017_ñôý_@_x0001__x0005__x0017_wÖ[@_x000E__x001D_U_x000B_^@uhõ{Ô\@èò*¥¡]@Î_x001C_«w_x0004__x0011_U@Ì«\çH¶`@í'_x001D_+©3a@é°ñ:/ÞV@½e_x001E_g1Z@t{_x0008_µwb@Ê4­w`@Ë'_x0019_¼ÆY@_x0012_'»Ø\@±Í ¯1o`@0_x0018__x0014_^@£kO³ºX@_x0017_`¶¤	`@8êk_x0008_&lt;´]@Æ1_x0018_Öb@~R;blX@_x0003_ñ4èÿpW@Áªo@Ì]@_x000C__x0002_á4l:^@Í&amp;hÔa@í_x000B_o¶Ãb@&gt;ºî"Ú_@CS_x000B_7°Ja@ñ­Ó®`@_x000E_G£&amp;]@kjÈA`@_x0013_=fªbùW@_x0003_ÃÀ_x0001__x0003_»_x0004_`@H_x001A_4i~b@§=uéþHa@ko_x000C_,`@Ìu]Ðg&lt;`@ký¼)T@_x0015_º±²qc@ªþyÅÃ§`@T@Ø(QË`@p;]@j_x000C__x001F_BØ_@_x0013_/Æ5TU@Ò¹YS¼]@×ÝZÍja@G_x0018_Jûù`@Ïf:òüT@-·î	)Q@Z_x0005_­È»¶Y@óÞ=yRïX@9ìêS8Z@º)a_x000E_Ø^[@b­_x0011_ÅíÍ]@öX-úY]@_x000C_}ägÎW`@(Ì ¬_x0015__x0019_^@qªXàÒJ@d`m½_x000C_c@}Ò_x0005_!'_x000F__@©j{ÃQ^@_x0002_Ä·¾.G]@¼ÉWl¦Á_@ôÔÔ^_x000E_Øb@_x0001__x0006_¥_x0010_åaÄ]@úo1ÿKa@ñ)åAQÌ`@©ú_x0003__x001C_¶@U@_x0003_nt_@½ÜFÞ¦½]@_x0010_ôËLí¬^@½N_x0005_M`@ÉyÚp_x001C_^@å@_x0001_Q]Ãd@ID×_x0014_k^`@Ä¼Üè·`@m&amp;_x000C_6ª_@t½ï*µIg@ßÁiV@$_!H_x001C__x0019_[@×_x0018_h-`@iå_x0015_Ö°^@ÇYtÖY[@ðgWmGa@ _x0016_T§+a@ïµA c@/"÷Òo¡Z@Q_x0002_,_x001A_q[@ê_x0005_ìõ±êW@_x000E_v_x0012_¾ôY@Â"_x0007_¸7a@$:ÉGI_x0008_X@(_x0004_UZ~\@Jìä]ÔPb@bÔ]»Ö`@_x000B_c¿_x001E__x0002__x0004_}|[@Ý_x0003_Ò7[@ø9_x0011_¨{_@8²¡L¤_x000C_]@ _x000B_j}ïc@¶ô©- pa@p_x0003_1_x0019_X`@ÅðÜUa@«è|S*`@_x0001_ülÇß^@åkVg n]@hB8NçIV@B3Ò`ò`@Â÷ÊaS@¶ü_x000D_	_x001B_^W@¸Vfîg\@qU¦\@mú«¿Z@	_x001B_iQA_x001E_W@M_x0010_çd c@$;_x0007_`_x001E_\@Å_x0003__x0007_&lt;V@Us^&lt;a@_x000F_çÚ_x0004_pV`@&amp;ûèL0b@Å²ÈÚ_x001C_X@Â;&amp;=þ`@KÝ_x0010_\`@O½Î*Z_@_x000B_Õ_x0015_OÅ^@íù[_x000C_]@­kHÇØa@_x0004__x0005__x0002_ÅJ)_x0017_`@¦ËN%á`@J_x0003_[çÁå]@[ß#Nª_x000E_`@¥Eéäü¢a@²_x000F_haÎZ@_x0004_ï9_x0010_pb@Áa~³d@²_x001E__x001D_ñ_x000B_a@_x0001_{kðCÐ^@¹_x000C_¨`_x0011_Ò_@_x0007_®3­`@3õ}©^@pz|_x000C_&gt;Ña@Zjßó^@®¼_x001E_RÚc@=¡I`@p_x0001_¨Æé]@ÔLã¼lc@ØI_x0017_1){`@ýºîÆ|ÇW@FZ Y@ò¿_x000D__x001A_:÷Z@Ê_x0013_»ªëMR@ÐÔV+± W@í»gÑã[@Ããe¼ÏR@à@f9×\@BF2_x000C_*\@8î~ïý¬Y@zçÿj-Cb@ëi÷ù_x0001__x0004_bY@_x0002_$¡_x000B_çQa@V_x0013_ûÓ¿[@+_x000C_-s^É`@ª¡tH_x0003_Z@»	fMSW@ê±·²U@uv_x001F_aì\@b´ ÷®~b@_x0010_&amp;S_x000F_FÓc@?Ó_x001B_¼£(^@¤¯#ÁW@lXG÷è&gt;a@_x0006__x0014_L_x001B_jX@k@_x0018_çn[@ú_x0015_gáÎ·a@m£Dè³Mc@×äµëÌ_x000D_`@IÊ_x0015_Ûpf@_x0014_ á\Z@¢¦jxâb@öC_x001A_á_x0011_a@¼Añ&gt;ø_x001D_b@¥Q°Òád@_x000D_í_x0002_¤¶@U@ïëCÍùZ@Ý62_x001B_¡æ`@0Ë´p¿é]@y_x0001_ _x0017_ ^@%ó&lt;´ñ7W@87_x000E_:à|a@|_x0007__x0016_ft_@_x0003__x0005__x001A_ÉN3|Õd@Ç!	­^ýV@¡dM¯VN@V0_x0017_c_x0016_NY@| e1kV@_x001F_Ùsó5S^@&amp;Vª_x000E_X@ìn__x0007_ãQU@Ë=ú3NåU@¹±ç0_@¼_x001C__x0002_ùÿY@DS&gt;ì@_x001E_[@_x0007_»Ê¨\@cóÌt[Â_@ù/Çë_x0006_U@î3_x0006_g'[@jæÒ_x001F_ò\@Â_x000E__x000F_cU@ýðÝòß]`@H/ZHu`@zô_x0013_$`@«_x0001_/f%U@öR_x0017_ÿ_x0004_[@6ví4rÑ^@u¹Ö&amp;N1a@_x001A_¥¤Ä¢[@_x001B_÷×M']@úðJd*Y@2j·G^@{9	|p]@FÝ?)Q@«[?_x0005__x0006_\[@¤PxÖ_x000B_1T@Ð¥ñí`@töÎ_hCb@gÿ[@|¸½Ý¿_x0017_a@.I{0ç_x001F_Z@[­ØzÁa@A¦JTz`b@×µÇ­?_x0002_^@§9¨_x0004_È`@C½N±`@Î_x0010_¾u`@þRÍWëW]@å!·T_x0003_`@ $4ª_x0006__x0018_Z@ÐÐPåóZ@c_x000F_¼l*MP@Z(U`Zíc@]gâY§ê\@¦²©_x000E_'ï]@r_x0018_Uc_x001F_g^@_x001A_¢ékuX@Ý_x0011_sèIóX@æÏ©Q[@hñ&gt;_x0013_@Å\@Öaz3Dkc@Þ!_x0005_èZ[@_x0001__x001D_I_x001B_»ã\@Ù:+_x0015_à6a@²/Õmµ_x0011_\@eLl_x0008__x0012_oa@_x0002__x0003_ØéþS8_@JWÏ³)»X@_x0002_Ìp7_x0014__x001A_^@_x0013_}OýAsa@­É.kâÈ`@±O_x001E_X¡X@kG_x0011_Èñ_x0007_W@,å£HR`@I{é_x0017__x000F_d@_x0007_{ðèj[@@!³FW1_@&lt;Ym_x0011__x001F_üb@÷1Eè@[@*#|Ñ_@:ú¦Iê^@&lt;lû_x0005_X@vËö5Dºb@Öø%_x0016_H[@îÐj,Y@Ù_x000C_ùÒ6e@lkÉ\_x0017_·\@£_x001A_&amp;ÝtÈ`@&lt;`®Ì{Ba@Æ¤\GQZ@®HüX_x000F_¬^@Na&amp;_x0018_]@Ñ2þVãL`@_x0016_\,]b@Ç_x0001_ý¦\@4BÄí{Îb@bj¢²Ø©\@2É__x0007_	ÔU@Àl&gt;Ú_x0018_Ú[@QóÙëwX@àÝø{Üc@&amp;_x0006__x001C_¡_@Êæ½Ê?`@i_x0004__x001E_Æ\@`(îYR_[@¶¯»Õd@g±_x0002__x0016_Ì`@¶f7Ýa@_x0016_xY|û_@:ã²^í_@_x000C_¦&amp;_x0001_Y@Ü¾¨`_x001E_b@Ð.³©^@D©_x0003_ð×Ý[@]_x001A__x0016__x001E_»·Y@_x000D_G\ÿ!`@ÙXú_x0005_û`@_x0007_=_x000F__x0008__x0014_ua@ñW_x001C_Ü?^@Aô/;·Û]@¦Åd©_x0019_]@7VF¼@Àb@ÈáÍÑÔs`@$i½&amp;_x0003_Nb@éúC¸µ\@_x0008_åv&gt;?p\@[¬(ÚFe@P_x0016_pÃ¬_x0013_a@¸[ZÉ¥`@_x0001__x0002_oB_x0016_}QU@´"}$wÉ[@Ròr¨á_@g¥`×÷T@'¥Ý´uc@Ñ¢_x0015_ý@^@_x001B_ü´_x0016__x001E_2`@_x0010_S0rO@d¦¿ÇM_@§_x0004_èÓØb@p"ËNÓ[@ZW«Ìô]@F_x001D_`_x0016_ñ\@]¥	ôÔÐ\@¡ÔO_x0004__x0019_a@ßâ52J£Z@A$IGa@üg¸úsU@áq_x0018_¦_x0005_Eb@_x0016_ôf_x0014_GÍ[@7×_x0008_£c@_x0016_O$dú_@ðü_x000E_ôjZ@ÒÖ»&gt;C!d@Û_x001A_"ìÏ]@ë*t^4^@Y9Qú[ä`@vC®Qv^`@iÒ_x0016_59za@A_x0012_ZúY@rH·*â\@É¬D_x0001__x0003__S@)^@à¿Ýb@`Ïð`_x001B_Z@ÎæÈ_x001A_,]@ì_x000C_½ÞZ@ÑÐ7Ú,^@"_x001F__x0010_^°u\@-Q_x0006_¶kö\@ø\*V¥Çb@x_x0004__x001A_L_x000E_\@86_x0006_&gt;l[@Ìö O_x0007_za@Ü_e_x0015_¼[@£¯ór\@Dè#ÍWÃa@töÉw_@_x001C_Æ¢rÅõX@@¡í`°É`@ªý@ÅµX@b`ÇF.Y@uWuá&gt;Q@ÏSàrßY@Ñ`Ä_x0002_Á]@Æ_x000F_¦»}X\@¡âKyØÖ[@ËFøåÞU@Ô_x001F_´Ù\@/0q%_x0008_µ]@û×þsá_x0015_Y@R_x000F_å_x0003_fX@3p÷)úÁb@oòîø_@_x0001__x0002_òòî&lt;´+`@Qv³8e^@ý_x0010_?_x0019__]@v$¾J[«[@~Çö×_x000B__@/_x0015__x0014_RXÐV@¾uv_x0007__x0018_c@_x0018_Xée?ÅX@¸ÏÉð¥ê]@³B9	W@?_x0013_â½Ó_x000B_W@À+æ&lt;_x0006_T@(À{ªT@ÕÅç_x0014_Øa@_x0019_¸®þ]@_x0010__x000C__x0011_¨_x0005_`@DÉt_x0006_`@¯c_x0016_ú0_x000C_d@ÙIô_x0011_Y@iÓà!_x000E_¶U@5ÜÚ`;Z@½´¦_x000C_[@û_x001B_h_x0004_Ó`@Uâ}Uk]@HëØ¨cä_@_x0010_Ã]Ôùa@±Í_x0013_(ØN[@j_x000B_Þ1Ï^@ì=_x001D_«¤D^@­nI¿_x0006_^@_x0012_Ñ_x0018_mX@_x0003_Â_x0001__x0005__x0004_K^@	dß§M¯`@*$Î_x0013_Î]@[ÉvªJX@ñ_x0004_AÈ2ÈY@µÜ'_x0001_$½[@ïã_x000F__@ÈPÁRMc@Zü¡gð¬b@F6â¬n%^@`´ìvb^@no_x0016_Ô=_@_x0004_öÄT]@ýv=jd@_x0004_ _x0018_E¹ª[@ó¬¤M:a@_x0016_'~¤¹Oa@_x0014_Y_ò[ú[@ø_x0018_F_x0004_3V@_x0015_¸Î£y;a@òÆ_x0011_S_x0003_U@Y}±S@µåáïßüb@¶_x0002__x001E__À³W@ÊÛ_x0008_5ï`@_x001D_È_x0014_%_x0010_(a@_x0014__x001D__x0008_Þ a@ÈÇF6U[@_x0018_Å¶¿_x0005_¥U@p_x000C_î_x0002_`ñ]@ @«*_x0014_áY@Jºr_x000D_ßZ@_x0001__x0002_RÚ-_x001D_%^@5Ñª_x000E__x001F_Õ^@ ¬E_x000E_öX@¸L|¨]@2÷ QW@Ub-8Èa@·ñ7"_x000C_`@ìÓäH­Y@Uí_x0013_WÔ[@g¸_x0012__x0019_¥^@_x001E__x0014_«¯3dV@_x0019_¦_x0013_ùíyY@	w&amp;&lt;óY@#®PÞú]@¿úl`@sØË_x0005_{8a@&amp;An_x0003_ßg`@ßÐ#÷]@ÿ9(U@"T/0Ï[@gr-"[@&gt;ïÜ´wØ`@_x0014_H_x0015_Ââ`@²@})m½a@_x0014__x0016_­à:ÐX@àxS¥q}^@0î¬FZ@_¯ôº¯N\@/T_x000F__Eb@=_x001C_ëìb@Æîµøíãa@à_x000B_Å_x0001__x0005_ ÐY@àÙI¨Í_@å _x0013_9d@_x0019_ÞòçæZb@­/CI_x001D_ãd@æ_x001B_ä_x0008_Ta@àýâ"_x001F_c@ÃD_x001E_§]@EÒ(£ÀÂ`@xÑMl×W@ Xæ]@P³_x0018_ÍAb@Çþ¹juF]@à[-þ!d@+_x000F_¦·ub@Æ¥s7&amp;a@×*_x0004_®Çc@¤¨_x001B_xHS\@u_x0014__x001B_¶¢_@$ÑfÖ¾`@¢_x0003_Ý[@ü`N_x000C_&lt;b@VB¢T^Y@æ2u_x0012__@üª¾Å_x000D_ÂR@àXIGãïb@È_x0006_îà@±b@­hÆ­f²]@`'_x0016__x001F_û_x0002_X@i_x001B_­ós`@"½zºjL^@CgY^ÄY@_x0001__x0003_6~`øÀW@Åï_x001D_Ã±2`@Ñí«ö_Ä`@Ì_x0011_ $¶+^@Z_x0016_}kqaY@À_x0005_e£«úb@1Ì_x0019_ýë¸Z@¼~_x0008_õJ_@;_wëCû[@º¬_x0014__a@_x001D__x0006_§,-`@i_x0003_ÈÃä[@¹Ð§©_x0002_`@ÿ_x0010_Ì|ÌíW@üApq`@;_x0010_CI_x0014_à\@bc²5ÓV@bZ®-_x001E_W@6@LÀ\Xc@øÔ_x001F_wÐZ@qÙ0\^@6{÷8B7c@¨t¢"³Y@Lß\µ}Z@_x001D_¡_Â0K`@ÅöÄ_x0017_iG`@_x0019__x0017_60î¤`@|Û*Ýf'V@÷F_x000B__x0002_7d@üÏSf°_@_x0018_lÛSb@ª]_x0006__x0002__x0003_}Ýb@&gt;$æ3^@íþ¥bxa@Ì«A=Ð_x001A_T@_x001B_uU_x000C_R@Ïüps]@ÛQ,M_x0007_B^@ñ?Li^@_x0013_ÆæÞÏ_@	q_x0005_Ö`@î×C_@&gt;_x0012_)ØmT@ºë¸_x000D__x0008_U@NÀû_x0003_£]@$ì_x0012_Ô_x0006_X@Â¢ô_x0006_©Z@#_x0001_Ã_x000B_oT@mN?Ë"a@íbÀ_x0017_Kß_@«zÑ §b@hM»¹[@ªïÜ­qòN@ºeõxÚf@6_B|«_x0011_Z@D»È5]@_x0003_ûâç_x0011_Y@àáEÖpn[@»îç¹\@sl ³_@Ò£5_x0015_?F`@ÎJf#}«X@ÔUúÏ?`@_x0003__x0004_Ò6©¾_x0015_ýY@,üÁ?ô¨_@t/_x0004_[ç%[@"jµ{»[@XL·Cí4b@zuhY_x001F_&lt;a@Ø±)_x0012_l_x0012_\@ï_x0002__x000D_Îê^@g_x000B__x000B_ó_x0001_&gt;[@¦ÓC9|_x0003_`@¹È5Å_x000F_W@ÙÊÖ_x0016_Û_x0012_a@Å*!iu.`@_x0007_°oGi\@Y\82ux\@_x001A_ô'¿¯¿]@â,Ðº+_x000E_d@,¼_x000B_öÛf@B_x0013__x0010__x0003_¥[@íþ#_x0003_c6]@&lt;'êZ5ÌW@òÒ\rÇX@¬AmðOðY@D&amp;Vvà[@~SÿÆ[@PX·Öðë\@	ÆW7_x001F_e@_x001C_hmü&lt;Z@ZA_x000E_°_P^@ÁÃ_x001A_ë¶.Y@4N_x0007_ÕÚ_x0018_^@GpZ_x0004__x0008_ûb\@dgÓkÌ[[@ý²4 _@º_x0006__x0013_.M_@çBÚì_x0017_Z@C(]%û]@'[=½¾]@|_x0006_Ñxî\V@¬O©_x0002_'_@Ô0\¬]_x0007_Z@o_x000B_@¡×`@:_x0005_wO_x0002_b@zë&gt;¾_x0003_´T@ÁôËÏX_x0001_^@ú¥°±°S@6¡ôP;f@í_x001A_Æó`@¿»£¹wZ@À¬°%b@Tùà¯[@_x001F__x0013_öv,b@F|NéÖÆY@$fYV2e@bçuB·a@ùÛÖø5jc@Ë±â®Án\@ÂXùe&amp;\@ÕÞÃ¸5V@ü`.Ýb@J¥6ö9d@äèP#}V@÷_x0018_Æ÷!_x0017_a@_x0003__x0004_S_x000B_²=2b@j]Ó\·¢\@¨ÝÒñlÒY@gyOëC\@N&amp;?u_x0018_db@U'Bm°_x001C_d@A5§_x0011_Y@E_x001D_ï¡]@^@¾_x001F__x000D_4Y@ù4Ý¹¾¬a@ª¾Éoö´R@ì_x0002_Êh6a@C_x0014_,µú[@vE¢Z_x0012_`@m_x0002_QCzb@_x0019_±æqHZ@©Ñf©K©Z@·Û;/óU@_x000D_õä[Y@ðYÝ£_x0016_T@Ñ8Õ`@§à²Ca@Àð¹þÃP@w0=âø?`@Ë*ª[oX@ª_x0001_+ø¢_x001F_\@ï#|_x0013_Ø'd@¶æÁÝÜ`@®&gt;@ðF^@Vùbá¡k]@uVAò®_x0008_\@_(DA_x0005__x0008__x0006_ b@¸_x0003_½y_x000B__x000D_]@Ð_x001B__x0001__x000E_PN@}º¬_x0011_úmW@»¸_x0010_úb@n_x0018_·_x0002_ác@Ò_x001C_è`@%PæZ¦[@/:*ÁO\^@Mñ_x000D_¼W@ó¤FsÐ_x001F_V@e«_x0002__x001B_ã4Y@G©_x0004_Åa@¦y9ÇZ@_x001B_O_x0007_©À_x0004_a@_x0006_JG(;ªX@_x001C_æi_x001B_K`@aáGs]@sk·ºN`@RÀé´Ïe@'_lð£ÏQ@O~@`ô_x000B_`@Æ_x001A_U!W@°K=ç^@_x0018_ñëÿoÖ]@Rc9»Ï]@S§_x0016_GÕ`@y_x0019_M_x0018_`@bò_x0002_u=a@h5_x0004_ªA]@áÇO_x0006_-(P@¥&gt;F[@_x0001__x0004_(H8öÆY@å±¨å_x0011_Bc@Bè¯¬à&gt;^@Z'N¹Yb@t)­ûMY@_x0004_u!jÏ`@¤}&gt;Óÿ_x0001_V@f_x001F_Üh?s`@ãE²Õ4]@«¡&amp;ó=_@ÄÈÚ_x0001_hV@_x0002_øM_x0005_ºïa@_x0010_ÿEøc@n^§÷U@¬+û+1_x001A_`@_x0003__x0006_Gõ_x0011_&gt;\@Ãûë_x0013__x0008__@¼_x0007_Æâ,¤T@Üa2b_x001C_7`@"¾_x000D_=ÈX@#LÞIÊ.Z@Ý_x0002_'%û[@¿qtÌ½X@*_x000B_+No\@ÃùÞOZ^@#Ë+_x0004_T~X@6b±½:G@Mé8®ò³]@jközµT@K_x0014_f_x0015_^@S_x0012_m_x000B__x0014_Db@x]ÈT_x0003__x0004_kò]@¤Ø;&amp;8_x001C_a@_x0010_R×¡_x0018_jZ@(:×ÿRa@Æ_x000F_éhWc@&lt;y'_x001F__x000E_X@ãÛúgÑ_@]´«Qîb@¬Ë0½_x0010_cd@Mw_x001F_[@¬.[_x0012_]@_x0005_$±_x0005_I_@Úø]ÊvR@_wû°ÙW@_x001A_õi¾c@@_x0012_z0-_@¶á(v_x0001_]@_x0002_¡*_x001F_â[@`iÅóá§[@Ü¹ÆY@±sË_x001F_*V@åe._x0019_NJ`@iæCÃ_x001E_²]@¦Yq(_@¹_w_x000D_^@éýi©a]\@«#HYé¹\@iÂ$a@«ÿ_x0010_Bó{`@6ù´_x0018_ÏåU@²ü3åF\@;¸L~ïZ@_x0001__x0002_%°ì_@¤Åoã]@®s_x0001_Î(`@ÜY´RDa@¹_x0018_+æb@YÝÖG]@Uº,_x000C_f]@gL_x0006_Ùu^@_x0014_Dã_x0016_¬£^@5âIcéa@&gt;ÅñMU@²O¸®`@Å_x000C_DÇÃb@_x0011_vÁë\@_x000B_µU9Ú?Y@[;_x0001_	a@Û×ó|á\@_x0013_câü_@Ù²ªâ©¸b@ Û_x000B_S[@?ìR|Z@ï_x001A_É_ÃÊ\@ÅíFî°\@uâÕÂî\@àÑÍß_@;¼i«Ïa@ÍDí_x000C_ha@	íÆÃD\@*/ìðhX@Ùì¯Â'_@Ê´_õ\@ê-EÜ_x0002__x0003_2¡`@_x000E_¢]úo__@ä¿+W@rÆ_x0013_­J_x0011_W@ö@`cßöc@ûÀó+i[@Ôø_x001D_ï\@._x001D_ÊhòR@0_x0013_öå_x000C_öc@J&gt;m]d@¯ÒàØ\@/Z`°_x000F__x0017_`@Êü³×_x0002_a@¥ê8Ì³W@_x0018_Èïý¢[@_x001A_N(Â§Ë]@Ì®ÑÝb@¬¿zûê'a@º¢æB|]@_x000D_Ý_x0004_ _x0011__x0004_^@l×Óø_x001B_a@V(_x0012_FÓ b@Ã¿]¢Çd@6_x0010__x001A_Ä¦[@t_x000E_¼_x0015_Ù?V@é*_x0006__x0008_­(_@ß_x0001_PÖ+Z[@¬®¹2%[@$_x0015__x0017_=Ú[@{1Y_x0003_+ÿ`@+bPª£`@ÜO_x001B__x0011_X@_x0001__x0006_H_x0018_9tJe@ì8àLÙª`@e'8B]@_x000E__x0015_ó_x0004_OæY@±Ï_x000B_Ü±8`@ Pn_x001F_ñ_x000C_c@_x0016_mÞùÀ_x000F_Z@éÏÛNÑ[@l%Ò]ê^@_x0002_HZC_x0006_Qa@â÷Â_x000C_D]@_x0018_0K_x000B_Z_x001D_[@_x0005_3;SÅ_x0018_]@a,_x001E_#C¬P@_x0005_gìó_@Ø_x0015_*Â b@e6y24h^@f)ÈG`@4ßEyÄÙ^@H_x0017_B/h¬[@J`ÑÜîHV@Ø­§EÈb@×_x001D_]x([@_x0004_½§p_x0003_UU@)õâý^@½IÕ¬U@0EXðx`@ëªl£±Y@â,_x000E_=\¡b@d½þÓW@ö5ÕÙáÁ\@_x0010_£¯x_x0002__x0004__x000D_]@.§ä]]a@ú\?_x0003_-_@_x001A_¹Á_x0005_`@³WÅ£Ø^@¶	²½t.^@_x0013_,^a\@ß_x0017_æ_x0011_[^@ÿ éöX@²ñäK«r_@ð´¦MâA`@¨NJûGZ@	&gt;ª2^@RR_x0017_°Á°a@?¦7ÿ­W@ªéVæ_x0007_ÝW@àkoÔ#·R@¾_x000F_¤!?_x0002_S@Ð&amp;à mZ@_x001B_àyâM&lt;`@ÉÿJ&gt;½[@°_x001A__x0001_ël)[@aw`ñ¬ób@ïbÆ7Á_`@'{	Ü|ÿ[@_x0002_H¨WV@ñé'_x0019_"¶c@??x_x0002_a@ø*fËZ@$Å!*äY@ãml2ª¹a@J	ToÒT@_x0001__x0002_2_x0008_Ò]Ü`@taÔwÒ\@AÙ³Z_x0003_ad@;~¥LÅÈ]@F*_x0001_S@ÄÍ_x001C_~`aZ@á2 &lt;\@½,n×_x0018_X@6Ü_x0016_¶_x0012_V@ú_x0013_§xF a@À}0uY@àÐ¹7`Y[@¥µ~Rí`@+"ÕUR¢^@&lt;Ú&lt;._@Ú÷_x000D_§¾î[@_x0013_-+©_x001E_j[@ùÚæïç[@MQëÖi]@Þh_x000B_`ÕN[@ÓÍ¯k]_@fJ4©B_x0011__@Ó.ÚðqY@ã±oæ_x000C_c\@5§sBdØZ@_x0019_/ÉZbê`@B&amp;´°`@L~(´ß\@3w_x0015_¼X@/0Íõ_x0001_a@/áIÍV@j¸(_x0001__x0003_å!V@ÐG¼¦]@ÇØ_x0006_BÉQ@¬[_x0008__x001C__x0011_a@55_x0008_ëØ¿\@Ét¾c_x001D__@_x0001_Ë8!ÇR^@°Ck_x0013_~Y@ãS_x0015_/_x0013__x0017_`@£Mv,c9c@Ê$_x001C_5²R@È_x0002_¦W¦_x0002_b@#goï¦c@`_x0001_¯ë#Y@_x001D_&lt;ä_x0014_¶X@u&gt;óÜ~/b@_x0008_ÒéJÅsW@Tõ_x0016_]_x000E_a@j-ç¢0_x0018_]@ø_x000F_ÖQ\@_x0004_x¿¾é:\@:q_x0017__x0004_èÄc@Ü_x0011_Ô&gt;a@ÞÁ§TÆb@½»4~_x0007_U@Ý_x0015_ð_x0012_a@M°,sU_x0001_V@Ú¤Ó_x0007_BT`@&amp;¢Þ÷ÆU@NÈX9vªY@¤÷¾Â¦W@-F_x0012_£^c@_x0001__x0002_¡:i»]@_x0005_ú_x0016_Í;a@_x001C_!$»Ì[@'!é¼2_@º­äÁÆ\@_x0014_Ñõþ]ea@õúW½³_x0010_W@;='``@ìS_x0007_2_x000B_[@È_x000E_IIÚ`@¨F8òÍvT@_x0007_M#_x000C_&lt;ü_@~íyËZrU@ CîëY@`ÄiýV@9ÈïXíäX@©kx¤cÛ_@_x000C_d_x001A_ZRX@ÆÙ:5][@j¡Õåòö\@;²_x0015_1£ÿ`@º_x000F_» h\@_x0018_ _x0011_¥|^@ôM_x001D_¦p$^@ov÷w1b@5a@ôâÔt_x0007_Ña@¨$å_x001D_ç_x0015_W@ j%Øb@p_x0005_·+Çb@_x0001_Vñ`&amp;]b@]Zw_x0004__x0005__x001E_ra@hÁËðgV^@fBóCb@_x0015_ý6`@iUÖ3í+`@_x001B_3ñä\Y@¡f_x001C_Ï_x0003__x0018_X@äO=ìÖVa@_x0016_å¸)ó_x0001_`@ÈÚE#¶o^@_x0015_~_x0013_3_@°¿ÜCpI`@¾N¿Ämb@+ò"ec`@L÷þàÕ,Y@ß:_x0002_a@ÍÓ§&amp;qa@m+Wþ_x0010_\\@öe_x001B_Ý^@0Þà½À\@¶×6½X@¤Lhy3d@_x000E_x¹ O¶^@¬|_x000B_U_x001C_a@Lh-5kã\@#4¤&amp;&gt;h`@Àª-T5X@_x0018_ë_x0017_k·U@6_x0002_ñ&lt;V@ÌD_x000C_¿c_x0014_X@Uå_x0016__x0016_ïO^@_x0018_³úQ"Z@_x0001__x0003_ÌÎ_x0002_µFW@_x000D_eu`@þ¨UñÖ+Z@_x000C_j_{`@²å'Úa@|_x0016_ÖâÍ\@é4_x0006_+²L\@ccR`àZ@_x000F_;µh`@êÞvùÚY@Ôð_x001E_¯^@Ôxú_x0013_(Ñ[@¾ÈøÙ_x000B_`@íj¿o¼j^@D#_x0010_L9_x0002_a@WÒ_x001D_3pY@KU{äLBc@_x0008__x001E_¹T]@Û£Ñça@_x0014_qI_@Á&gt;_x0003__x0019_Î&amp;`@ÔE[Åäb@¡éwwz\@Fwp2ÊeV@_x0001__x0013_u·_x0008__@$ 4¸b@'ë_x000D__x001F__@¼Þ%¿_x000C_ýa@_x001A_ÍdR/OZ@É@&gt;®ãó_@Íä¸áDÃW@¡Ùzz_x0001__x0003_ºÞR@£õp_x0002_í_a@¿ô¹N¬]@-\x8W@v!à5#`@K´Haý^@¡_Ù. `@íûçëVR@ºU·ÝzõY@z9WV@Ýq¼ÑV@ñ¤®÷_x0008_á\@é H_x001C_XZ@Â·¿Ó¨/`@Tj,¦\@_x0016_Ò99g@¡J*Å2_@Æ­=_x0014_Z@¦_x0018_¯_x001F_ßd@¶HC_x0011_`@_x000E_ó¯LIZ@F-Ï¿°×`@Òúvxä_x0016_^@7ØÊëÃRX@'êOãka@+·í`@*,mìûÈ`@ô_x0008_¹Û\@¤uÏ?¨U@§â8ðH[@Z°gYob@×¦ôOp_x0004_^@_x0001__x0003__x0010_CÔÿ×5\@_x001F_1Wßd@7¶ÈÅ¼³]@Ü-È^Í´]@V_x0011__x001A_8]@¼ªï`@:úeyÓQ@/SYÀ_x001A_v`@ÂÈ._x001B_+]@äâJJ^@9Q?¯!_x0015_\@­ã/Xg\@_x000C_P¶Ç_x0008_Y@½ïï(e@_x000C_ÔÞ_x0001_´X@«âÙÒZ^@_x001C_Ã±ÜX@j(_x0017_[(^@_x0010_*mÛå`@Lß&gt;_¸^@Ê#ùh`@xka¡P£`@öMÞGe@_x0008_UÂD¨]@_x0006_ÉÒBÆX@áfóø!"`@_x0006_º_x0005_¸±V@\_x0005_¯Ü_x0006_9`@_x0015_[ÝT_x001B_|`@{Ä¾`	`@_x0002_÷	#_x0005_Æ`@r!_x0002__x0003_ÖOa@zwÅâUY@L¡*;a@ñ¯åë¥V@c_x0012_ª- _x001D_c@r]¢_x001C__x001A_]@ÈòèÍa`@ÇÀQ,ä¤`@¼RRÙÄ\@Ö±¥iY@hMË\ÈtT@×V	§*af@X)\oUZ@TÖºl _x001A__@ßK¬õ@dZ@ÞúNá_x001E_`@ª²¼_x0008_Ðºd@$_x0012_Õâ²¼Z@ãÇÉ_x0001_î_@è^µ_x000E_hs\@ÔÃ3Om_x0014_`@_x0019_ÆÔUTÿa@^U_x0011_.+_x0017_a@¯ÈT­\@ÉO´ZHö]@ÆDþð£^@'¶Lÿ»^@ó$¤,öb@ô_x000E_cpT^@×Ï¤ë_x0016_BY@»k£_x001D_çºY@b_x0003_M;Ld@_x0003__x0008_ÃÍ«F£a@_x0008_²`ÄT_x001B_]@_x001D_p_x001F_õoW@®^ôð²X@_x0016_9V¼­d@ {¬Í^@ç9í_x0004_î_x0006_^@YÀ¤_x0001_a@o²I]@_x000D_â.,Üê_@_x0017__x0002_§¥ý`@lt{_x0005_"`@ádAxá÷X@öû_x0019_÷_x0001_W@TsL!_x0015_`@¨¤Ih;\Q@_x001E_|ÃÑcÂY@[°È8«Z@³_x000E_&lt;pã^@]#·¸;m^@f_x000F_ý[¤ÒW@_x0010_ðO!Y@_x000D_¹ÀÁBJ`@üæ_x0007_WØ7]@jg|_x001B_Kö`@Î_x0016_Äúa@w_x0012_ß«çb@m|6à«;b@_x0016_ññóY@Á¶¡_x000F_Q@ùq÷8ôw`@_x0012__x0002_Ë_x0003__x0006_Æ¦b@[} ãÊÁ_@ûqDë&lt;a@±_x0017__x0008_åy\@¢GdrÜñb@Ì¼*íT[Y@_x0007_Z_x001C_é_x0010_U^@-ß{We@53.¤Êw_@XGÃÕ³]\@¾_x0001_öp_x0012_W]@üªÛûMÏU@ï±C6(¢Z@Ëª_x0004_*Z@Ç¾8ò]@ÐÃ_x0002_Cb@A=_x0005_É_x001F_P@_x0012_§Îd?Y@utç_x001E_^@Þ_x001D_÷Ä`@~!ô4c@²z/`Z@gáæ©R_@uVè_x0010_E`@dz.¾a@böê_x0006_î]@áÆ&amp;AgØY@_x0008_×ñPíõ\@ç%g8?_x0003_\@À_x0018_¼¡^#a@-n_x0004_êZ@KP_x0018__x0012_ð[@_x0002__x0005_ÄP¥°}T@._x001E__x0007_]&gt;a@×pë?_x0006_Z@q_x0017_Ü·36^@_x0003_3_x0018_[Z^@jþÂNncb@_x0016_:¿ªÆÅV@äÒY_x0002_ïa@)y/pÁ&amp;[@×YyOf±^@=!|}ê[@ å&gt;Ý	*b@ð1ë¤Ë[@¶ñ¹Î²R@ÏZlÙ[X@~1ÿUY@_x000E__x0011_:sa@ä_x0001_²C¶Y@ñ¾ÿ¾_x000E_[@8_x0005_ÇY@ÉHb\@_x0004_M&lt;._x000E_`@_x001A__x0004__x0003_GèZ@ú¸_x0013_®&lt;ib@SJMpx_x0010_X@Òn3#Y\@­Ëû^@_x000B_Éj¯T`@_x0008__x0010_C«°]Y@ÜT#¦Y@=KHèü7a@À_x000E_ç_x0002__x0001__x0002_ñ`@Ê_x0016_ª¢äãT@²õÄèÏ_@äÔ¼T_@ÁªX©à][@=_x001C_ý_x0007_^_x0006_[@_x001D_ÛvB\@èé)Èæb_@_x001E_,&lt;÷È\@PÕÊ³@S@"¿r_x001E_ae@ußcÆ´øY@íóær_x001D_\@'v]öýZ@µV-â\-Z@trÕ­ú¯W@ú)eÒ=8Y@TvÀlØ\@C_x000C_q]gc@[uhÚ_x001E_¢]@[ì_x0002_ÇY@_x000E_ÅÃþ&lt;_x0006_`@Î1yêé3`@_x0016__x001C_	!fö]@pf£_x000E_`@xb_x0007_5 ñZ@\°_x0013_ý¹¥Z@³¢ûâÁZ@ÐA[{_x001C_Z@h_x0007_:Vtw\@V_x0003_8§úP\@Ë&gt;g¤Éÿ[@_x0003__x0004_^ßEë_x001C_Îc@ÔÞÀ¦¨lT@_x0002_×8&amp;[@_x001B__x0013_ê_'å`@R·¹ÚqyZ@_x001B__x001D_¹_x0008_^@%Ù_x000D_Zf$Y@»¥ÈÕ^@àtD_x0003_â_x0004_`@+°ÙØ,_@:úað±X@ÍD9®@c@ù8²_x0005_5_x0015_\@fÄu¯7[@'/Qb¶`@[A_x001D_á\@;¾%?R]@_x0013_¸¹_x001D_[@ßÂÝsZ@_x0017_oI_x001D_"¶^@N¢;¡S[@B7Ó1yV`@Å`Ö_x0002_&gt;]@__x0006_)ÔYû^@n¡¯!`@,:5YQW@Ù¾	÷ºL]@¸áH.=U`@_x0014_T¥±Î=]@ýXºà\@l_x0001_ Oä~V@_x001E_öõ_x0005__x0006_&amp;Yc@|1È_x0004_ÃðV@ñ$_x000F__x000B_Æ¨]@¨G×.ßÒU@-)ÆXeXa@¨iÏÂ¨9_@ÉÙ÷[Q}b@_x001F_&lt;ß®èÝZ@_x0013_aHÂ_x000D__x0003_`@´ÚdF&amp;_x0011_^@u¥_x0011_A¸Z@0_x0013_ndÍZ@ó±¨Õ&amp;d@dà_x0011_ºs[@ñLì_x001A_bu_@È2#iÒ]@¹o´ÈDa@4ÄÁÅì_x000C_X@âQCkc@sÑs'|X@!_x0001_ØV@¯´{Ï_x0001_^b@D_x001F_$Ê½î]@±ÈÁwAÒ\@¢oDyÓu_@5¾L_x0002_ ]@óàÉâ«b@_x0002_ôI_x000C_OP@ÈêEAya@ÞÃøR[@7ÊÒq\[@{&gt;Ü:_x000C_]@_x0001__x0002_Ü_x0013_WsÉ«`@º_x0014_RÚgPc@_x0017_6¨½ðs[@_x000C_ýo8]@8r¶U+]@1cgéåU`@©_x000C_°J£Ib@î_x0001__x0006_Å_x0019_Í[@'¢]_x001D_^@»ýr@V@ÐÂðwË`@!Ýh×Pb@_x0005_ì!£¸a@ÄfG`Å	d@/IêO9_x000E_`@AÓOËcQ`@RÐÊ÷S@mi²¾_@U_x000F_êì];T@º`_x001E_æ1LY@2P_x001A_»\Äd@½KëE« ]@ö¢¿}^ñY@wFÍW£Z@Z·5_x001C_úb@0jHzädb@w_x0016_Á£@Z@Ärðu^@Ç*%9_x000E__x000F_`@_x0008_èÊxd_@ø¨]_x0018_`a@²ÓÊò_x0001__x0002_^@¤æCñØ[@Ü­ëj_x0018_`@»xÅØY@~ó_x000D_[@òVåÍa@\&gt;Ác@V{¸~\@Ø_x0004_BÃrøY@ô$*ò¼_@c­O\îX@þÜôÔÏµ^@mu2¯×zV@b	V`f`@8«_x0011_îù\@Q&amp;3´_x0005_1Y@_x001D_HMkiU@F_x0003_\@S\ã_x000C_Ac@eÛ¤ýbb@(_x000D_&lt;O_x0002_X@[òd0W@CJÏ"¡a@âç8	4b@îªAUË?U@_x0001_ç4@ã\@è¤é$æ¯]@ÕNlß`@Tótòd@_x000D_µ½wüÍ\@65Î,åc@x_x0017_ëôÓU@_x0004__x0005_Nç«²Ê¦^@B²F`W@ÄÏfhÿS@KS?¡Ú\@£V_x0012_Ø«V@pã·6ÖB]@Ä°(M[@ÖW«O_x0001_\@h¸9¾Öd@Ö_x0005_ZÍ%Âb@ÿÜÓ_x0010__x000C_á[@¼'_x0001_Ð°LY@+_x001B_ô§H&gt;]@½BÐ_x000E_ÏîV@~jV_x0017_}°Y@j_x000B__è¦ÝW@¢®nmµõb@ªz_x0002_¯¯[@o~E¸_x0016__x0012_^@KE¬ja@øJ&amp;v²¬^@!_x0004_Çûta@¤_x001A_z`_x0007_c@_x0012_ùÑKhY@_x0007_vµ_@ék¿¬'X@ØûãdW@íu"j_x0003_ºS@g¶ÂçÈa@¢_x0007_}v{V@_x001B_Úr3©a@ûg_x0006__x0003__x0004_1Ua@K Ûfí\@(-ªQB«\@wÛ_x000D_(ôU@[M¨¼ëa@,}ºKb@³§2Æ_x0011_T@§\v_x001A_[]@Æ¬ÉÞ`@e½TÛ}ãQ@úJÓ_x0002_H[@ÊF_x001C_IP_x0001_b@[_x000F_5S@(éÿêa^@H_x000D_ôJia@G¼ÀÜ:]@¢Õéß_x001E_`@_x0017_HÞ	xÑ`@©Áh_x001D_õ	b@¢_x000C_%Æ_x0018__x000B_U@fëªì&amp;Z@¤Ûb:_ï_@£_x001E_áÙ÷fV@wÉñzØµ^@þãÄ¹áX@O²FÊ³(`@_x0012_ÝÁÚé°_@1C¯dþ]@Ôfðµ¾`@S_x0019_S^@óEAÕbY@v_x001B_r÷cÔ\@_x0001__x0003_uà_x0011__x0005_¬©Z@	DÓñKa@*¶_x000E_õX@_x0015__x001D_°}nXY@bú_x0011_|î¯X@µ÷FÑÏ¢_@òÆäR\@ùóÂÆ´[@_x001F_Ò«ÉWb@_x0008_ç5_x0008__x000C_`@Ô9n,Z@#©å[@¶ë] _x0010_õZ@:U_x0003_lÅ$`@:?FkW@!ÅÃ¾Õ]@/_x001F_@;3¬`@è3Û´ñ_@1þ­ê+_@41%¢_x001B_¿]@üõì1¿`@~ô´\b@&amp;bòeÅ_x000F_`@èz_x0002_¥ÈW@ _x0002_õ_x0012_ÄZ@ C,G=c@'_x0005_[_x000C_upc@®ª_x000B_¼ f@=ã¿&amp;	[@ãm¿_x0012_ðd@]'Û_x0001_ïWZ@íX_x001B__x0001__x0002_Â`@§pYx.#_@%t¾ÜC\@´þIä_@këc&gt;_x000B_`@Æ¼_x000C_Ü\@¹_x0016_kRÎwa@Úü6X@$îåÊs(b@{N£gf_x0018_\@!¥¥ç®V@pvÔ~®=`@ºcÇ%_x0015_cb@æ5­Xav\@VIÔÁ`Z@å_x0017_136a@fN_x0014__x0016__x001B_ÿY@¤_x0018_ÁëË`@_x001E_?hàXb@y`­·é_@èX|&amp;;Z@&lt;_x000E_7_x0004_pÅa@À_x0016__x001F_¿,2V@å%ælZ@À_x001C_N%ú"W@&lt;ädº`]@¶Xå][e@_x0015_VÝVZ@Aü&amp;W@z]õ,¤_@_x001A_k5»X@4ÿäæ_x000C_^@_x0003__x0005__x001F_ñÏðÔ]@æ:a 0_x0011_`@8F_x001D_Øõ^@C?ËM¨Y@wJ:&gt;ªq`@{LÅâ-X@_x001E_%¦æ^@Ê_x0003_*_x001B_v)]@ÅÛX_x0015_â`@Æ®_x0008_ìX@ _x0003_Szs©Y@R&gt;5oÇ_x0006_Y@zÅÞì_x001A__@Zû\%ß¼f@Ý^Ø­_x0015_\@IÁ{¸	c@¯ÓãÓ\@ó'ÈæÉ"b@_x0005_«zhjÍY@c3ò¶O]@þ_x001E_v&amp;{øa@?ã·7_x0007_®b@©#8MW`@@Óf6àÃa@_x0004_Àó¹6xU@Ð°~Ü¢hd@_x0010_õ"tk]@iqk_x001D_Ø]@ÿ_x0018_z_x0014_?±Z@ÞSdgêM^@K4ìg_x0002_z[@g¥_x0001__x0001__x0003_ã\@ýù_x0008_ýÜ`@_x0005__x0015_ÞC¿\@c7_x0002_$}V@¼_x000B_5RZÇX@ümó®÷Z@û%÷ûD_x000F_^@_x000D__x001B_Êh_x000E_Ð_@íV_x0016_îW@ë×_x0002__x0004_Æc@ñÕæÆ¤_x000C_a@½£Ö_x000C_Æçc@t³aýøß]@JÔ&amp;ó_x0006__x000F_W@{ë÷ÇAh@:½}m.Æ_@_x001A_;^qÓ[@aOT_x001E_×_x000B_\@»FL»gÉ`@b÷&amp;BOÆ`@ÛW±®&gt;®\@òÔ¨_x0010_ÎI`@jà~½^^@ÝÈ$,+dX@ß_x0019_÷_x0016_Òa@ý¨êþP_x0004_X@9_x000F_·ÇªÜ^@Âéú\@+kð²òa@Êä;Y¬W@_x000E_Ý!ïÝÄ]@oóäÕí¬\@_x0002__x0003_¨Ä_x0005__x001E__x0003__x001B_\@{¢áF`@1Øu¦ÖöY@_x0006_åÆÞ_x0014_Z@Ü_x0001_ôÍ¤b@Ud×%RX@é_x0007_&gt;kW@jàËT`Ù`@·àJ¦Ø´`@²ãòÄ:]@¤;àúf\@Ññ¨~Y@_x001C_Ðá²PfV@à®ÒBTb@æ6§=CùZ@à¿f"?j\@¥ü`ê_x0012_Y@Uùò{^@¬¢_x0006_YÆ&lt;a@4øìª]S@J_x000F_P(O·]@-«Ãwa@_x000B__x0002_+_x001B_³õ`@zîw°#ò`@à§Üd^@_x0003_§áô`@_x0008_`_x001E_+á.d@_x0008_{_x001C_§X@&amp;ð_x0007_U1]@ÃG³»Ûó_@ÍËMÊU@ÌÃ!_x0013__x0002__x0003__x001D_æd@ !¶fÜU@ðèç_x001E_àV@¾Ya2_x0006_a@±ÎM*]`@^_x000E_6ô_x0001_T@8ßø÷*ÔP@ûâÜl]_x0014_f@tã_x001D_ë\X@1wô_x001A_ÇÈZ@«iÈgJO_@ ázÍÚ¢c@Ú9_x000B_&gt;øc@î7ê-_x000C_	X@gó_x0014_AÚa@â¬®&amp;W÷Z@Ó_x0013_Õ`@ý	^{d@§¹à_x0008_U@..ÜóÄ^@¶$³;Yc@8½PÐ3ãc@CñkoÉ·]@ö¤:°&gt;Za@´_x001A_ëÉ\Å^@z¬~÷\@sù%#	_x0019_^@YÀïAr[@_x000B_FHîºb@cÛ@j9_x0015_b@ÍøeÊT]@t¡C_x001C_ûb@_x0002__x0003_ñ¼Ê»fða@_x0016_SI_x0007_\@*v_x0017_'ò\@åm_x0018_Tx^@+3_x0012_8èz`@ÌÉÒ¬1V`@Õ8äWjÚ_@ê_x000B_ËFpZ@Á%:¬yd`@~"Ö÷ªöZ@Za[[YY@èwg_x0012_0S@ë2-¸!2`@+L_x001E_#GÎ\@~_x0003__x000C_[Z&lt;S@_x0014_ |_x0018_ÆYZ@Go~rO8_@Ê_x000D_¶`@_x0002_Hû_x0010_c@â_x0012_Ò£Q`@±*_x0001_¾H_x0004_a@S2F{&gt;Z@9¿Vª©_x0001_b@£ÕrÈ®$a@ð_x0004_2_§U@½_x0006_&amp;YðVS@uôò_x0007__x0018__x001E_Z@_x0017_©é¸_x000F_c@·"=£b@Ú|ÒáWQ`@ª£_x000F_ù_x0001_QZ@\~RØ_x0001__x0003_ã°`@b| m_@_x0016_è¨Í¬_^@¥¥V¸ÆY@RVÃUâ_x0014_a@³	ÔÝ`@_x0012__x0002_­º}c@;M_x001A_¬ÒT@ÄA_x0017_f[a@PS¶·Z@Z_x001D_¿ñ1Ï`@¨g0 #b@F#]¸¨_x0008_V@ì+éJ§ b@&gt;øfÕÃ@`@W¬cµ¸:b@AÈ_x0017_ìX@_x0003_/&amp;õéñ^@Ð­Æ^@;ãNN¶üa@ÜÖfIÜj`@+%¢óox`@	D£c_x000D_vS@_x0018_ìî¶_x0008_w^@dlÿý÷S@åÀÌÈiÙa@ìõBº¯W@o_x0011_Ðôó)`@nCFUµüV@_x0006_Ø#Í[ô`@»__x0004_Ý_x0008_w_@È;½b1Z@_x0001__x0002_¢ôß_x000B_a^@QþOõ¶]@_x001F_Ðÿ_x0005_5[@²(^5`@/§Å?$_@Hí¾_x000B_QV@|³Ó&gt;^@_x0019_,Ta±[@ãÓo¦Y@Eµv®ÊB\@û¿£_x001A_â^@°-_x0015_kæ_x0016_^@åìÜ'^\@ý!ÃÇ%_x001F_\@Rß_x0002__x001F_Æ_@Á[¿÷=Z@_x0013_°¶ùò¢Y@_x0005_H/y´]@õE¢Ö?Y@|ôjo_x001C__x001C_^@A0_x000D_ã_x0019_^@²_x000D_Ê_x0019_3`@_x0011__x0011__x0001_ç]@²úÆ«áê[@'_x000B_µq¤`@´ñë&lt;cY@Fùé_x0005_¦¾]@oÏåú¡§b@Ì1ûVþKU@k ;Ø`@±t4æ Z@q¤©_x0013__x0005__x0006_cCa@ÁÊs#õÑS@jÃ£]2º`@ØÆPªyZ@Ñ3,`T|\@.G_x0003_ÆT@á_x0005__x000C_O2xb@_x0008__x0001__x0007_×[ä`@yÓOpé^@[¡cØÄZ@ÐÁ[Z37]@×_x000E_W¸õ&gt;_@6_x0004_ûf_x0002_¢\@ºË.0²ýW@¾¢_x000C_²ý^@kÊ¡Æ~]@X_x000B_S/J^@«þm= ]@_x001F_AAÉ^]@Bc_^À4\@ñ³fu[@+Å_x0004_jW@xÛ;ù*V@û¦_x0012_´_x000D_3V@øJ_x001D_­sµZ@²:¤CW@_x0008_¢ÒðîW@¹Â_BÇD`@èàÎ&amp;©Ì]@¯3psþ_x000D_Z@®G]V@RZã±_x000F_Ý^@_x0001__x0002_&lt;3a¾PW@p9_x000E_Y^@»rùºñ_@_x0004__x0018__x000C_~ýTY@UÅ»À¾qa@í,È½W@Äâð-S_x0004_U@mo1uÃ]@H­údX@«_x0004_K.¢a@ìè_x0001_Óoæ`@#bùª_x0007_^@+×Ä_`^@*ìÒ£e[@[_x000B_Ï_x0018__x0010_U@¬î	Í5§_@ÊÍ*Y¢_X@N;~lëc@(J¬tÞW@_x0016_d{u_x000C_À]@¥¬ú_x0010_Q_@ðy_x001E_µÚ4\@:_x0007_JfjÜ[@Cjá_x0010_fñ_@±¾®_x0011__x0016_b@â	I´^@Õ_x0006_;UÑY@Íd¹ÚÙ`@_x0014_Ö²YÁ\@ à¤AÕk`@ÅbF¶©ÒZ@ 3ÆÛ_x0005__x0008_ã·b@Ã,%ZÈÍX@_x0001_Ðòaa@l^c$_x0013_r`@­_x0018_fIÂ]@n_x0013_ß.70W@¬hç_x0017_q`@ÁÆ6?s_x0001_b@9H_x0019_N`@DÊö_x000D_Æl`@©síÿéa@ãü¢l`@n_x0014_)pÊpc@_x000D_ÁeNs`Z@¿Cn`@öcÁ}U»]@õìJ¡`@Äé_x0013_)]d@_x0007__x0012__x0005_Íe°Z@_x001A_c_x0002_{_@­4SbsV@w_x0011_$,}K[@_x0008_?Ë_x0003__x001D_^@|ÞÿÞ;_x0014_[@R[ÀÚe@úÒ¦§_x0006_êZ@+xØghd`@_x000D_³ÓÊëÍ[@_x0005_K^îb@FvÜè_x0001_=b@:_x0004_C|]@òÃý(Z@_x0002__x0007_ëó²§a?Z@¯þoÎÊ`@TW_x000F_d¾`@_x0001_ÊHéYm`@Nv_x0006_vTY@ñV_x0007_mU@ìÓøù©`@°\_x0006_dìw[@¹§¾Q~_@ÇQÑé_x001A_ba@öäÀ%­b@i|®Ê]a@U_x0016_0MY@_x0010_ö3E~¼\@ÎpQ_x0018_KeY@gø×_x0017_X@dYÞ_x0001_ïY@_x001D_ô_x000F_à¶_@bñ¢ÿþÇ[@e/_x0004_v_x0002_ÌU@~E$69=g@8_x0010_äéB\@_x001C_D_x0019_1Ýb@@dÑÝ_x0005_]@èÄýÙgZ@#¶ù÷]@Ý!Ë§»}\@4t_x0003_ÐÔ^@°a]PõÍ]@·%k/_x0008__x001D_X@}&gt;__ðb@{\Ñm_x0001__x0002__x0012_Í\@¢ã)H_x0015__@)Ù-ú%`@¼jü¹_x0014_BY@çü1s6J_@ø¥®xN_@½´zú[@Í ©A*_x0008_[@^_x001A_Ü_x0008_	ST@,Ú¿(ã\@Wù{zÿ_@»W¤W_@ø1_x000B_4%Å\@w»pc_x0007_U@ÿ¸À._x0011_ÿb@_x0002_Sú­J_@CXÄK:\@	Ù×BoZU@¶ï}²±*a@¦ü_x000E_ôùÜ_@³Y­:&amp;c@.îa_x001C_·a@ö½¸­W°V@váô!)ºT@db_x0013_Ü\ëe@_x0012_æ¥S\.`@,¿R´z®d@\Ä17ð^@N_x000C_yÎ-\@¸¦±ÙqY@_x001C_þz­_x0014_Ó`@WRédO@_x0003__x0004_e´-S_x0006_`@ÙÀ+¹ø_x0016_a@æPªhºA\@Z_x0013__x0004__x0017_QéY@T_x0010_P_x001E_Âib@µ;VU_x001A_a@_x0012_·$]@_x001E_»XÔ£ÙR@¢_x0019_Ú\¸X@¶_x001C__x000F_a¼{_@)_x000C_l_x0002_¯Y@_x001E_j}_x0014__x0007_[@Â=ãéb@nÙ·¨_x0006_Zb@__x0016_ÿ_x0001_®áW@_x001B_â\AÇé[@½©uÈ_x001A_¿^@¹§*aù`@½÷ux¨*]@óºú%`@_x0014_·Ô+¯ÆZ@aÖõÿõ(Y@aÖP¤_x0012_W@3%à_x0016_ÚèZ@_x001B_êk­ë`@/àk_x001C__x000F_¸^@(Q,_x0017_@Jd@ºÔn»ÝZ_@Ù&lt;ýÅ_x0016_D`@Ò_x001C_J®íZ@¿X_x0014_¿´X@q_x0012_÷ý_x0003__x0004__x0019_ð\@Õv_x0013_¬Ác@`|2MÛZ@~_x001B_²qÞ%\@?KYQ^@x_x001C_iï\W@_x0004_&lt;_x0002_k_x001C_T@Ø3Íü(6a@@ý0Ä8lQ@¾GºQ_x000B_`@{p«k­#e@_x001F_Î{ÜzX@BÒ}ìl«`@à+d#Ø?_@ÎÉn¥#Z@ÇÉÇðö_@/	Ët÷U@_x0007_¦Òo%[`@Ôæ8wP\@Ýp_x0002_ba@²/_x001F_~®Q@_x0016_`V_x0006__x0017_[@j"8¹¹Y@A%±kva@½Ö¥¥Ò[a@Î@_x0003_W_x000C_Y@;«grÕ[@C_x001D_@b(_x0001_c@Ú/o½ÔsY@#&amp;Ú~R`@þRb_x0003_¥÷T@¹FS_x001B_o"^@_x0002__x0003_hÊ1ÌõýP@_x0016_¨_x000F_Íàa@Sú_x001A_¹Ñ\@&amp;?ÏÁc@L¥Kéä]@_x001E_]ôjC[@Hî¾5«_x0018_[@_x000E__x0003_9BV@fÙ_x0010_Rb_x0006_a@¼Ayú¾Ä\@'O9\@_x0019_2Åëj`@f_x0014__x001D__x0017_°p_@§IyÞ;_@(Cwè_x000C_áY@QfúsWº[@_x001B_û¬:{ºa@æQä¶m`@Lb_x001F_íZ@z®Z¡5Q@EÍ_A_x000B_3Y@&lt;¡(Hç`@áÓvð?=b@_x0004_¡_x0001_Íæob@^Z%_µÕ_@R &amp;_x0004_£/a@qxûø´%]@)_x0001_oçVb@xi&amp;8ñÏX@Ù_x000B_ã_x000F_^@£_x000C_u_x0001_È]@_x0013_Xÿ_x0001__x0002_ªHa@Îìõ_x0008_Y@ÖÞâ·a@_x0011_MEbY¦b@_x000F_F_x001B_\ób@£_x0008_SKï;`@.øü­*Va@_x001B_)ç¥`@c²å_x0005__@&amp;êÆ*_x0012_[a@Ö¢Jñ`_x0015_b@¦_x0011_¢ZÍÚ_@*_x0018_e,oZ@_x0002_N_x0005_Ðó_@èô+LÓa@}E-#p\@Üí°#_x0015_]@iÑéT/_x0014__@#4È©!^@M!QÒ]@wâs&amp;?»U@5ð»»[@O_x0002_+Í`@ÀX38	¯[@%_x0013_ÏÝ_x0013__@Ðy_x001E_Y5»Y@µ©Z_x001F__x0001_ªZ@W_x0010_þ«4G`@Oñ;óØ_x001F_\@EËqª#^@dbË2ya@_x001E__x0004_u^IbZ@_x0001__x0003_Fyâ{K_@_x0016_)2b_x0001_Ùb@_x000F_IìE.ða@_x0006_µ:_x001A_WU]@\°ß¨ \@__x0015_JHgX@_x0008_¢çÌZ@&lt;x;\@°_x001E_¹0^@\Ïñ¸yNb@å_x0019_26Óa@Î¬#¹wÖc@m3ì#wx^@ki_x0019_(XY@(_x0003__x0002_f_x0012_a@w_x0003_Q»¢WW@³áËp¸Úb@oaø_x0015_æ`@?¹G,`@Wä_x001E_êÕÎ`@[_x000D__x0005_¨¤æW@Éï¹_x0001_`@Ñ:Ñx_x0004_¬[@¹¨D\ÃY@K¬ô5±^@_x000B_é,Ü§b@´ýçãy^@Â-ê2_x0019_b@m4Ï7ÖY@H&amp;ôW@_x000F_hn¶0Z@°®¯Â_x0003__x0006__x0013_V@,ªµ_x001A_wl[@(_x0005_²_x0008_²nX@`z×þÈëa@:`T/fÐQ@_x001B_|íNc@Dá¼síR^@Vjçz&lt;zd@«Fp$_x000D__@·_x0004_õÃä_x0001_V@|uE{f@¸â_x0012_g#¥_@Z;ºøY@_x0007_¢EÝGÐ]@½­çÍÆ\@_x000C_=Ì32\@_x0008_5`Xób@¬GU²ýa@Ý¨{2_x0010_~]@9_x0007_zØ`W@öÁV¬&gt;R@C(ä÷k_x0007_]@¹@:1À­]@âta_x000E__x0013_Y@ë¢;âù_x0011_b@ÛÑ§_x0005_Ía@«Ðn_]a@pÑ'Î_x0002_-]@ivù¶9[@y&gt;7ÇU_x0002_d@4¿`¡à?T@óy~D©[@_x0002__x0004_ýçzfTó^@i_x0001_å×ð]@¿;7HúlZ@@©ÀïZ@Üg~d@;I¨Éaqa@@¸Ã]_x0007_`@ô¸zÖ_x0016__@ÊÛ¢X@ 8çH&gt;_x000B_^@º_x000D_´öE\@@Ûe|~µ\@í_x000D_â~|ÉS@0újªÞ_x0002_b@_x0002_819¦Ûb@1ÂÕ_x0019_Æ_x0018_\@÷êÇ_x0015_hT@_x000D_]O;ø_@¾¦¡Âá_x0005_a@4_x0017_%ÀÔb@_x0011_¥ø_x0003__x000B_^@:_x001D_X0^@_x000B__x001F__x001C_Û]@¡îu%ð]@VvÚ(¦Z@m¡ù©"Üb@E	°_x000D_!»T@(¤Ûï¦a@±¯Ê\@lÙÒ S@¹}$ú¸0`@]C¨_x0002__x0005_bá[@xu_x0001_Ù_x0016_U@0_x0001_ÀÏ^@%î¾qOf@E_x001F_&amp;mZ@_x0007__x0016_Ê_x0003_[@/Æ½_x001E_R_@5ú°I_x001C_Sb@¿µgR¡b@L_x0018__x0007_¥eY@vlõ~õ%c@T_x0012_`ü®]@F±Â¼_x001A_õ_@X_x0017_7Íªb@S_x0013_a^E^@É=:iX[@GáÐÀa@äsîÈ¤_x001D_d@&gt;ÁüLðuY@¨"q_x000E_|_x000E_a@J°_x001F__x000C__x0010_¦a@pDr_x0014_:Y@å`öXÖ`@þ_x000E_K_x0018_*_@qÖMÕ_x0004_ø`@ßÌ-Â_x0019__x0013_`@	¸p«SW@B;:®%­_@ä]Éü_x000B_¾b@°¢lÒOa@.ßx_x001A_À]@4ULÁz4c@_x0001__x0002_ÕÓ°nG`\@O»ÏL`@Õg¯_x0005_\@À§_x001F_Z_x0011_}^@&gt;_x0019_§,·Y@__x001E_&gt;Z_x0001__x001C_\@\§A~`@n_x0013_Ëì±X@bÃprc_x000F__@_x000D_?­!¼~]@_x000F_&amp;/v}U@"óMô_x001C_Ãa@q«a_x0011_ç^@ùðhß­&gt;Z@_x001F_ÆäåÚÀ_@çk½Oªa@C´ÿÓ_x0001_ma@âÄá³ô`@Ø_x001B_ K"1`@H?¦®_x0011_ga@Ñ¹É21ÀZ@6{RÑS@Ýì\@½Ø¶T4U@rÌ)Ýbd@Râ¼Èß^c@JènäªãS@²º'4]`@íÅkÕEóX@Þ½¾{é_@GÑÑ_x0018_ö]@@ìs­_x0005__x0006_Ó[@ù£q&gt;D_x0018_a@¬_x0014_Ä´¥f@ºTNÊrS@ûøB¿D~]@_x0010_5_x0001_ÝP¯a@¾X*§ßU@ÿÐÐÏ³b@_x0015_ð¨×VQ@óÛå_x0017_4a@ò_x0002_En_x001A_µW@?4ü:&gt;¤c@_x001E__x0004_Ïv¸X@ªSm&gt;Úòa@qZ0ÜÑV@L¨_x0003_þèb@i´_x0019_äa@e¤ÃçLa@²CÂ¸\êQ@`¦Bøþg[@=Ï_x0011_¥¥ìW@)±pêÄM^@_x000F_ÙUûc]@._x0011_SÜþI[@0þ±84_X@Ë¬_x0018_÷ùX@§`SP]üY@Ùoáè_x0003_eZ@t_x0012_^ö¶g[@qU{Ê·`@5O?º)[@ä_x001C_Ã¹ëÞX@_x0003__x0006_?Ôÿ_x0008_W@z«_x0002_î_x0010_._@uEÚ_x0003_óý_@&gt;)_x0019__x000D_'_x0018_`@ZwÕ½_x000B_Z`@©¬øHÈûY@_x0008_&gt;ó«^@¥»&amp;þ\@+î%¦+_x0006_]@ßß¨T_x000D_T@P4´_x0005_ZH[@ßZ_x0006_Ûjw^@º%"[_x001C_©a@ùr_x0001_kG^@Z`#÷¿M@ù!OÅ`@g"­Ñ S@,ØH½¾Æ[@0¹_x0007__x0007__x000B__@àBP4R@@Á_x0008_ýýº^@ÄÍ_x0006_EcZ@rW$I!`@ÛÏºV¿_@ªÑ-MW@=_x0019__x0005_}Ë^\@&amp;dÄ±Í^@_x0016_&gt;_x0005_]@çðÏ1pX@¾­¿v_x0007_§Z@_x0004_D$_x0008__x0005_U@^_x001D_¬_x0001__x0008__8V@¨_x0011__x0001_êÐsN@oIuW"_x0007_c@/£÷_x000F__x0006_B^@]­?QØ]@»qû¬ø ^@_x000D_G_x000D_La@&lt;(¬jôäY@YU¡&lt;W@¬p¨8`@º!Þ¨æ`@±_x001A__x000E_~?[@_x001A_×WîKc@,êkc@¶;­_x0015_ëa@L_x0011_0CT)Z@Ó_x001A_Ãö_x000E__@µh_x0003_l^@r_x0014__x0012_MLU@;÷7_x000B_Àû]@bÄ_x0012_^Ï­V@x_x0005_î_x0002_#Þa@*qß/Wa@qK¹Ç|½`@¨µw\d@º_x0003_§_x0004_ÑæV@.)¯þÖZ@/+²_x0011_VX@ª_x0019_ß_x000C_)Z@¥Ã_x0008_£x¶\@ NÛ7=[@;&gt;¬gD`@_x0001__x000B_K[ùç]@¯¯Õ$¬ [@$0_x0018_U W@c¼î_x0017_sý`@FHZ"SxZ@_x001D__x001C_çó_x0006_ß`@õgÛÎéÇb@_x0003__x001F_ _x0004_ÅY@øvpòüÄZ@ºÈ³ÐU@ÿ)"_x0008_a@k4 _x000E__x0005_Þ`@ò ø6ÚÏ`@_x0007_xt"_x001B__x001E_b@X±g%]@KíÙ¿n%X@æöâFm`_@8!úÃnZ@Þ)­¹}\@±á5_x0019__x001E_^@³H	p2^@½o¸_x0008_¬aZ@Z`Y%\@§²ßìc@Vìmzb@0_x0012_ðLè^@_x001E_ñ_x0013_MØ9\@çæWÞ_x0002_e@l_x001C_(_x0018_`@ÚþIda@h[*á_x000C_a@i¼¢å_x0002__x0003_`}Y@0«_x0017_å£_x001B_[@¼¯Ïâ!_x0002_^@}!oÃ[@¯ÀÐcP_x000E_c@êÖ,[Â`@÷ÛD_x0018__x0006__x0013_^@[]àAha@ëNæ¨èçc@[	_x0007_b\@nv&amp;W´ab@yÏ_x000E_&gt;o»U@*{qË/Y@rn_x001E_Ü³Bb@ëZ¦_x0014_BZ]@ {L¿X@V_x000B_býÖ+Y@ÉÄÂ_x000B_¨#\@öÝ³_x0004_´va@_x0001__x0011_zd]@ë_x0016_x_x0014__x0013_f@w­_x0014_[þXc@sA5c*yb@vØ9L_x0016_b`@_x0012_(JÕ»a@$i?¹¼_x0014_X@¯ÖÿC«`@Æ­_x000C_@2¥^@:7³·,^@OÃbl/Y@«ÐÊÞY_@±^7qj_x0001_a@_x0006_	_x0012_YÉ]_x0012_ØX@B6~^O@	ás^çSa@_x0008_qtÒ#_@ê_x0004_\tÏT@¨Þº_x0001_Ä_x001A_a@ÐNZ_x0002_9&gt;Z@ÝÛ°cÈça@ZÐ.ºL@FOö7þ?a@¢"ï_x0013_wb_@p¶ÏëHh\@_x0007_KÕ ¹`@FÒfaX@_x0004_\=eFÒ`@õÀÔ_x0016_V_x0005_S@ê¯_x0003_ySe@_x0018_JÉgÛ_@ð_x0015_À¾ºÇ_@Ä.÷.ç_x0013_X@öÅ*_·Y@.2ù7µ]@Xpÿehb@sýQ_x0011_[@_x0010_ó½_x0017__x0004_¡]@ØeiiÌEW@ãv_x0006_3Y[@|_x000B_¤_x0015__x000D_ò\@gÍíBq]@6_x0008_4z_x0005__x0017_`@­_x0015_¿/[_x001F_[@~«ùó_x0002__x0004__x0003__x001E_]@L_x0004__x001D_M=b@2_x0005_©ûya@_x0004_ÇëÓ&amp;wc@°Öø°Ï`@Üèy_x0016_ä^@_x0003__x000B_=ö½_x0017_[@WÉ¥Ü]@Ã§Ô;kZ@oï |X@0_x0014_Êé]@Ïþ~Æ_x0006_`@©óndÓ%`@_x0001_j@ÞT@Ü'ºtW×a@8&lt;s&lt;Éõd@×ò_x0019_§i_@²¤"5çxa@î;h¸_x0015_¢b@á_x000B_×öT_x000E_a@ _x0019_T4bÕ]@r¾H[3b`@¿^BÚÈðd@°	6I%^@ºXÏôØÆ`@I_x0012_)_x001B_ãW@Í_x0011_El»da@_x0007_¡_x0002_ò_x0018_W@Íàú#¤ÌS@+FLÓ(P^@ÔQ½_x000B_OD[@_x000D_\ø_x001E_U@_x0002__x0004__x000C_táJÁ½]@µ.í(wa@¬yäÐoa@LnèÔ?ÀX@þ·%ÓY@ê¾_x0002__x0001_&lt;X@kL;_x0019_ûYX@ôéôz;\@4 ¶j_x0001_)a@á°¡_x0017_É=c@ZÃ¬`^@0_x0013_ã1e`@E;_x000B_mQ!]@_x0012_òz½°Ð\@h_x001C_LÜ5a@´ ¡ÉÕ_@_x0015_cL¥]@lFö"ðU\@ÁõÍ"ÎW@6_x0014_ì5dáT@¹Ð¶Ð_x000E_^@ÈOÑq¶Z@¦|¹Y_x0012_Ec@_x000C_·T_x001C_ÀAa@àµK»¦\@ê[N_x000E_`@6qûeî¬U@­_x0012_Ú'ü^@ßÚÈX_x0002_Ñ`@{_x0003_hoJKW@Úoß~Gp_@*JîÙ_x0002__x0004_º_x0019_a@¶&gt;ë¡S@_x0003__x0004_ô#`@_x0019_M_x001D_&lt;Áb@_x0007_ÿvN	X@Ï_x0006_?_x001A_É[@Í_x0003_Uoê_x0016_`@/%dG7_x0003_Z@ýð}òc@6]¿wÂde@(@»ÝA`@iÉ&amp;ÃD`@z_x0003_Ìd°P@9åz_x000F_\_x0013_a@¨®_x0012_7öÛV@dZW_x0018_fñ`@ß¿è¸z_@_x0013_oñ&gt;íâ[@ÿG_x000F_ö£GU@©/a`@Ce(¥?a@_x001D_Ã0^_x0018_·[@Äo?OÞ^@¯DËs`@,×þ¬g^@¤A_x0008__x001B_H#a@Îì©´Y@%lFãM`@t§gen^@Åéª&gt;a@Í:-T.çT@_x0001_tàs¼`@_x0006_	N¥0gö/^@._x0003_Ý\_x0011_:X@[NÇc_x0011_;X@i­I¿|5^@"&lt;_x000C_	ÓW@5ø¤Ç=÷a@	_x001B_ÞAvY@a_x000D_B$7Z@Jh_x001A_&amp;õõ^@î¶ÃÛÖ\@ÓÐ}_x0005_¼«`@9ØPÇè&amp;a@þî|V`@ øx#^@´_x0014_±û"i`@D]SÀZ@_x0004__x0003_Sý»_@%ÁÊ_x001F_Y_x0012_`@_x0001__x0002_Dc@ÃîjÔw&lt;a@'ÃAçD_x0008_]@«_x0019_dBD_@4-è%Îò_@ã-°qK]@_x0017__x001F__x000C_È_x000D_R@Ò÷x°±ñU@ZäÇ©øw\@ZI\_x001E_æ_x0007_Z@éN_x0019__x000C_ù]@Ý®CØ_x0011_Z_@U*&amp;öÅïa@bûtÝ_x0002__x0003__x0013_d@Ø$Î©kY@7úT*s b@àD(T]@új_x0008_aa@!!ÌÒà`@JÑeõÏ^@©PGu²V@_x001E_²ãw{öQ@ërIÆí`@0)c_x001F_÷\@ÈUà&lt;F_x001B_]@)AæQOZ@æUùônÐ^@YA_x001F__x0003_ª[@_x0015_UãZ3Z@_x000D_7±çÀ_x0006_[@_x0007__x001A_^_x0004_õþ_@_x0017_Ëàl_x0008_"a@¸¼sMµY@Ã_x0005_ÁR[@z_x001A_\#Y\@Þí¬©µZ@&gt;M*d±Û`@y_x001F_ôÜ\@Ìô_x0004__x000E_5`@_x0001_³ÌéT!_@ô_x0003_ _x0019_e\@}_x000F_¡ç¼a@êà¼g[@§2ãø3ê`@_x001F_4ø_x000C_)[@_x0001__x0002_xöüªúÍO@_x000C_uÆÄß[@b&lt;ëmÅ-Z@âs_x0018_¡_x0015_s_@Î_x001B_P­h_x0005_`@_x001E_Cå¾_@_x0018_­_x0015_&gt;_x0017_Ö`@K_x001C_(Ññc@_x001C_,¡°ÀØ[@_x001E_«+ge_x001B_d@nd­d?[@úU· ÐÞX@cí\LN·`@âFBi(a@_x0014_Ä+P]@Ê[9_x000B_Çb@¹&lt;½_x001E_P×\@ÈØiîc@døÙ~\@LÎè[@¬ÞÕÕ&gt;é\@Ý'³÷Ý_x0013_`@_x0008_hÜàhFY@Ê"ï_x0010_ë_x0005_`@S°Ë_x0002_T_x0016_a@_x0001_74îh_@~!ëúB@_x000B_Åg_W@iÖ*uZZ@2_x001B_$=_x000B__V@Ë_x0014_-;a@mìâ_x0001__x0002_K¡S@È6}Y_x001F__@V~_x0007__x0014_&gt;®_@_x0008_bb@zR+_x0014_Ñ]@_x0012_Ó%Õë$R@¡Î_x0011_x¸c@Ù8èbï[@xÈÐ:ßw`@_x0019_#6úe`@_x001A__x0001__x001B_¥¢Í[@ÍFÂÍ"d@j_x0003_bÕnµ\@(BYã_x0014_c@Ws%ì¹-Y@÷óº1ãY@NÀ·&gt;äV@K¶%ñ\@ª²_x0005_\9_@_x0013_D_x0004_DuW@_x0014_Ö\ã1Wc@1~æÔÍ3c@_x001B_pû\;s^@!ñ_x000E_¼9µ\@¤4ÛÓc_@O*_x001A_Ê`®a@|H°_x001F_]Y@C¿sâÂJb@î´ù2å~`@]·J®_x0004__x0010_]@í§0_x0003_o`@Â_x0010_Q_x000C_\@_x0003__x0004_y22&gt;Êga@M£LRbb@&lt;VMá^Ô^@+2ÎbM)]@J_x000D_6A§V@_x001E_úfª_x0012__@þ_x0010_Lí}`@M'ñ¨ä	^@®þ4ú¶U@2°Ó³Wa@±_x0003_Äãªçc@ïáú_x0003_9Z@1ÎðþSñY@_x0011__x0014_&amp;)_`b@UªþVÑW@ü$Q_x001D_J]@Kß£J_x001C_]@±Î#çb@qxê_x0011_G^@Y¸_x000B_öò\@_x0003_&gt;|_x0001_ó¬X@_x0008_su_x0018__x0013_Z@¯?ôL[@	ª_x0002_ÜÀy`@ÖS_x0013_Í|&lt;^@au_x0015_UW@7ÓK¡®¶`@ÕáîÁv_@gÄêó0Á[@À£~îT@E_x001D_vâÙ~a@_x0011_¨¶_x0001__x0003_ë·`@_x001C_~¥_x0001_lY@í_é2L_x001B__@_x000B_?kð¡c@4æÐ+Md@ú_x0005_íºX_x0001_`@©9@fØc@ _x001D_&gt;_x0019_¨`@_x0010_BÛã(^@_x000C_àe|ÿ]^@ÀHnNêoZ@ù{ÿhZ@Ð'ïu}5b@6sv{8~d@©_x000C_þ@&amp;ÑZ@_x0002_V"F_@9_3D`@~gIbB\@&gt;Áá¬\@ÖUJ³¸b@|_x0011__x0004__x001A_±c@¤ÅZ'd@_x0001_/°_x0019_\@ålª×V[@Y»Ùï[*`@#_x001F_xè=^@_x0006_.ÃxÔ^@Ò6Ë_x001B_c@§0½_x000D_È\@±§ív]@­ÕôË§¾b@_x000C_UøÏkb@_x0002__x0005_ ´_x0007_Ë¼Z@8\û_x0006_S@_x0006_ú&amp;cX`@Äxpê1V@nÊ_x000D_§½[^@9µÎ¼ÕÅ_@Å3¼§R@Àô±aí_x0001__@Å½ÒÚvZ@â_x0008_Å{"µ[@_x0006__x0004_ìéÕ:_@OÙZ&lt;?`@_x001B_HE_x0016_ðb@ÂùÜWG_@þÓgÒö¸^@¿]&gt;gÆêa@ti$É~B[@þ'D#Y@ÆÃ¨'Þà]@áýÓ/`@%&gt;ªÞ_x0001_d`@_x0015__x000F_ëÍþ¢]@kÑb_x0006__x0003_u\@w·*¯X@Êq;©¹ÃX@ÕÝ7Ö]@p#|_x001F_5mY@_x0003_bS_x0015_ø`@Ðøg_x000F_a^@_x001E_ôùK_x000E_d@ÚÿT_x0004_ïyZ@Ó_x001B_é_x0002__x0005_¶=]@i_x0018_û%Y@Êpïñ^@¿ü_x001C_Ù`ùc@Â}Õ:¸L@_x0002__x0008_øNÅ`@"@èÑY@PKÖ_x000C_/b@M_x0008_ß dm`@C_x001F_tS#ô]@SCáökÐW@#Æ1y.¸`@WÅdÔ8Àb@ÓÆbÛÿ\@RÂó»R@pýMv_x0003_$Y@L«JÅ9¶R@¯µ+ìc@o¯uÇ`@[_x000D_³_x000C_]@MÇ¦=éÌS@vS2tHÖS@Ü_x000D_ÛàV©Z@NíÜ_x001A_Íb@Ã¹ÎnKÐ`@_x0019_Ìò_x0016_^@øbyàOR@­Î_x000C_Êyde@Û_x0001_´_x0019_à`@±ºÃR]@Ðq_x0004__x0014_S`@´_x000B_%ôhU^@_x0002__x0004_iÂû5Ö\@ãÈ»Úÿ@[@_x0002_Wé1`@2_x0019_ÄÉ,a@_x001E_É©d¾]@Ì­ÈÂÿV@¢Ãqµ_x0018_Ça@1¬8Ä©Y@j.b_x000D_î]]@Ò_x001E_V[4]@ÈÚ{$fíV@&gt;Èn_x0011_1x`@Ç%¢ÚkàW@¸Yy¾À1X@HP_x0003_÷+Y@ZÄ«@_x0015_Z@ ·¿Í^@wâÏl`T@_x000F__x001B__x0016__x0014_ªÊc@_x0016_%3xB¨X@¿WFB_x000C_Ò\@ça§`=[@ÒâÁÜ_x001B_c^@¹eyw[@_x000F_Ö¨çÉ_@O_x000E_|qV@¹éBÐ?úW@â¡`µ_x0013_º\@M)û± S@}ÜÅ» _x0017__@A8j" VY@p&lt;_x0006__x0001__x0001__x0002_Zø^@_x0002_aãíô^@­¹Ø_x000E_ù`@ü.²»ôX_@y-ÌÖa@,Ù9ÃÍ]@qÝæ¥mD]@ÿT__x0016_\x`@ß_x001A_(tà_x0015__@_x000F_]¦Ýb@QIQ¾\@]ü_x000D__x0016_MDb@æ-XX=¨b@d_x001E_eüÎ^@_x0015_@eY¯-Z@uÿ_x001A_LÙ_x0017_^@_x0014_~x_x0001_ÿ^@¢²³H_x001E_5Z@N«ò·güV@_x0018_&gt;uJ.Éa@#¸_x0003_òmþc@xf´²]@rVf_x001A_[@ÁÐ½ÑÕZ@tW`&gt;{_x001A_Y@~Rc`@_x0012_&gt;ºD_x0001_\@ÊýÑ¶X@fî¸|^@}7+ÍéZ@_x000C_òÍNX@õL°Ëò_x001E_[@_x0002_	_x001A_GÉº\@1aû?`@L_x0013_¡ê#ã^@æÄW\á	\@_x0005_L#Q~[@J_x0010_1CX@±íÇãH\Y@_x0002__x000C_ØÀ[@ª_x0019_$_x0007_õZ@0Ga­ÕHe@_x0018_FsïzD`@_x001B_ÀÔ^@2ñMAýæ[@nW6_x0014__x001F_ÂY@y_x0012__x0001__x0015_åxa@_x0005_T_x0006__x000F_0&amp;]@_x0014_¯æßTX@_x000E_x_x0004_ìÔ`@§:¦öÙ`@P^#X_x0008_c@Ýa_x0006_ÿP[@_x0001_£áM2õZ@JâæK2ËR@;å_x0003_Ñ`@_x001A__x0015_:_x0019_¬¼\@Æ_x000E_&amp;éµa@#9Ô_x0006_`@-!%òb@Ü%*t=\@ÎúÌ_x0011_1_x0001_]@_x001F_¥-£À¡\@_x0012_ _x0003__x0008__x001D__@Î_x0018_`\âa@Þ¹Ä3k^@_z?_x0002_IA\@_x001C_;õb_x000C_3`@vØ¤Ú¦_x0013_b@¡Çyüî_x0001_d@_x0005_$âZ@ñÀ)9_x0007_^@l²zÇc@9ã_x0017_#Nß\@»¥àD\@¢ý9km_x0012_Y@Ûüi `@» W!2`@Û¢Ë?'øU@&lt;/_x0003_å_x0007_`@u£_x0015_.Þ3^@M²«çÊ^@_x001C__x0011_C_x0008__x0018_S@Y¶_x001C_hõ_@hù4$b@Wi^È_x001F__@)ÓÔBd]@,åð=ZZ@¬)7-Ý1b@_x0006_l_x0004_'ôc@_x001A_LqÒ_x0011_]@®9¿®Z@@*Ç¯_x0004_ÆS@7Û4_x001B_a@;;)Eub@_x0002__x0003_xÃøÙE_@Âv\rße_@2®À´2_x000C_^@81_x0016_¼7(_@àC5rU@Pvrÿõ`@hÞÞg±ÆX@GU_x000B__x0006_·ð`@,ZeÐ»_x0015_b@0Û"^@_x0001_ñJ2KY@þñ_x0010_CÖW@H»àý)d@b_x000B__x001B_î~^@ø_x0010__x0016_}R[@bãì¥^@ª_x0017_2Éý\@ ;½ÇU_x001E_c@ªä!á#ÃZ@Ob¢Þ^@YË_x001B_¥MU\@_x0005_ói·Çn`@Ô_x0004_0÷¦y`@S_x0007__x000F_"Ý\@Î`.o»Ñ_@5Hu«`@xòÚÝd»`@®'ä×I[@÷_x001E__x0002_û`@R8uÓ_x001D_VW@8sS¿Ï»Y@_x001D_ùãb_x0002__x0003_ÕþQ@á÷+_x000F_ØêY@k/_x000D_Ô¼\@/ß/_x0018_a@ð^]80\@2p _x001E__x000E_3Y@_x0002_A~Vq\@çQ.È_x0016_]@´_x001E_MíK_x0015_]@fp_x001C_$¹[@ÀøN'é7c@ o #ìRX@{Íâ._x0014_`@Þ_x0013_|Z]@_x001C_\à/b@GË=°_x000C_[@vÊ¬Øn¼`@h³ÁY@}ù° ùd@fLÞ¯E^@\iñzH\@©¤_x0005_³a@I¢CÑ`@lÎ¤ëW@`r_x0007_t_x0001_V@äH9÷a@ív,"Øü]@$(Kõ_x0014_ÏU@Bòk_x000D_ÁÖ`@¯é_x0002_|rc@º_x001F_Wºï_@¤õ{÷§-Z@_x0001__x0004_¹_x0018_%±U@_x0010_Z 0B/]@_x000C_W_x0017_Fýa@TR\¼g`@(T,1[@3Ò "s.a@3_x0003_£ ¬_x001E_X@¢-s9¯C`@d¬^_x0012_z^@þh^@Ãy®Rá_x0005_[@ìi:rÞ_@é_x0015_µª[@Ï`ÞÎÚÝ[@Ù/ñËí[@_x0002_:(_x0011_w^@v_x000F_ÓëRú`@|-£_x0013_g´Z@¦¤¾ñO	d@¦ÐåÎ`@¦äE(Ø\@ A¶Ë_x0012_×^@Í­|·³P@âÆ:Âè[@|_x0004_v9_x001A_a@|_x0002_\r{mU@Nàè§G_x000B_c@#ôS]@\?_x001C_\Ä&lt;U@Á,ÏÛ4mS@r\ºè`@_x001A_X×G_x0003__x0004_P@±f;j¦[@Ë£©=_x000C_d@TÚ­?áU@b_x000E_6üq_@Ø_x000E__x0002_ÊÝb@I°_x0016_½ºX@¾u^µea@=ÕcÎ÷\@º+ñ[0X@¼uØõx}T@°Ä=ºÅ_x000F_a@¦S4ËË÷[@TlzÀÚ^@F¼Ó_x0019_¿U@Êp/á°_x0007__@_x0018__x000C_jO`@_x000F_Þ_x0001_Z@Â=¹_x0006_×Z@ÿYð_x0006_ãY@_x0015_ï_x0018_Ì`V@]bÜÔèV`@&amp;oöÛýY@Þ&amp;]¹*¹X@x!0¿GY@R6_x001B_U_x0017_#`@Ã_x001E_ÕPÂÅW@tEsKÚÍa@,__x0002_10c`@2_x0016_lÂ[@_x000C_$ç_x000C_X@óÚ%5	5[@</t>
  </si>
  <si>
    <t>84545e7b9c1d9bd856d4f5ebb6be34cc_x0001__x0002_¤¨|_x0004_L]@íÝ¬QD`@n&lt;_x001E_ÿ¬å\@n¢ÃÝ\@!$_x0010_ÊÄÆ`@_x0014__x0017__x0013_"Úp\@²ê¨_x0019_à_x0007_^@ÆF@2ÆX@6_x000E_w`@_x0001_b0µ_x000B_T`@ k.¾Y@¹âky_x0003_7U@%ûÛÇ&lt;`@ÇÀ-_x0012_Èúc@Å7é#]e@õP$\Ù]@DHB\@ùz_x0008__x0003_a@b_x0002_þÆ¤_@Å»\3ã^@ì¡-¥zW@ù6¸&amp;Ë-^@í_x0012_TÛ	c@_x0016__x001B_[÷ÿÐZ@YoË÷X@X{ÃFV[@æI_x0016__x0007_õ¶_@_bLp£±b@jØFV@_x0003_Â´«oc@hÝÚ\@7_x0004__x001A__x0003__x0004_î©a@*SBÿ8\@P2|4_x001D_`@é_x0006_)ê° ]@f³Ñ_x0002_ùb]@_x0016_O_x0005_¦"c@$¢_x0019_¡_x0001_nW@ÃbèÚ a@6öÁeøµY@t¿e"_x000B_w`@;½¸××Ó[@ åz)_x0019_]@iFâ¾Z@'¥mÝ¤fa@Å»í_x0005_@a@ÙÝ_x000E_½_x0003_GV@ dÙ_x0012_[@ï;ù=¼X@!Ý&amp;,¸g^@1_x0012_nß`@¼ynYHÛ_@~_x0010_V°[@Á_x000D_U´/`@Â_x0005_h_x000D_`V@Pzi_x0011_þb@~Ñ-_x000E_ãâY@üÂ¢T[@_x000E_h_x0004_pZ@¡·_x0010_ºô~Y@-0_x0003_u_x0010_[@Èæ-[ÍO]@$ÿFEÎ_x001B_]@_x0002__x0003__x0005_=ë¯Ü_x000C_a@_x0006_Ò_x000C_MZ_x0007_b@ZÛÞj_x001D_ë_@¶Ü_x0018_É_x001E_ä]@N	_x0012_Hça@&lt;¿_x001B_3L`@âÏ¾_x0019_Øã[@¢ð¯zÚ]@òFüßÔ_@`UÝüb]@²¨0^@P~bÛø²[@¨CV_x0017_`@_x000E_ªtsa@?[&gt;_x0005_¨êb@Á©ÓmtZ@_x001D_½Jx_x001D__x0003_`@Þ3L_x0014_p`@ÇÉÍË)W@"J_x0018__x0014_&lt;µ[@¶øaÀTca@)_x0007__x0001__x001A_ëe@8ºrçÏxV@³Ú~ºGR@®ë@%fW@¬_´°Y@d8Bqd`@Õo-lº_x0001__@SºåÀ_x0010_Qc@q_x001E_VÍ_x001A_`@+ÕºÔ!c@/_x0016_Ø._x0001__x0005_u^@2K,ù=dE@`ýP®Zd@v_x0015_Ë­+`@0¹¨câý[@hÈû_x0013_ÿU@Å»ÔèÁ^@_x0015_åµ1²_@^ÐPT°Ü]@ò[vÏ½ a@p_x0004_e_x000F__x000E_V_@C¡|kV@,á¾ÜèY@î$Ï*_x001B_¸]@ÖA÷r-[@°¦_x001E_M[a@?6U_x0003_a@_x0001_V_x001C_)GØb@Åûc¼_x0013_ºZ@¦*SÛX@Ôn\yi`@_x0005_B_x0003__x001D_O_x0008_b@_x001F_8Çó&amp;gY@xZb!Ü^@Dj¥Ç_x0010__x0003_]@ü8_x001F__x0002__x0014_`@ÔÓ_x0012_®X@1KOÓV`@+ÒÀê¤]@sPX¦a@+_x0005_Tà_x0019__x0014_^@øßÁÆEü[@_x0001__x0004_Nè_x0001_¤U@ÚÔKÐ_x0019_a@_x0003_ØIG_x000F_¡]@@Ì_x000C_ó_x0012__x000E_^@_x001B_QpyÄX@´!vc@_x000E_Ì¦Òâb@'ó	JL_x0014_]@¨léÓ7Y@"åHj§a@ÉÈÍà_x001A_=Y@ù^Kp;b@Á»ßý[Ï`@¯_x000F__x001D__x001B_É_x0002_e@nçL§}ï\@_x0011_ÓÿW_x0012_e]@ËéÊ_x0003_/_x0003_\@a{{Èôû\@Bé_x001B_½Í]@Ä¶i$J[@3Ü¯EC[@+À	_x0004_gV@¯ªÄî¼¸b@_x0007_T:5_x0005_&lt;_@x¥Ê5Ó\^@¶2_x0010_0m[@Á±@tßf@4ÿS_x000D_²tZ@rÍ¦×t.[@Þ©_ÆdGZ@zÀÖÑ:a@_x0011_«_x0017_ _x0004__x0005_%0\@ÖxÂyc+[@ô}ç9`@T|ÁQV@ð§^wp`@ÝÚwSOÊ`@Gí_x0013_)£X@n\LÐU@AnùRya@÷#þëíPe@¥Ã?Ø}Ù]@í4ä)_x001B_a@ÀT~Kô¿b@L¢¼IJ_x000F_V@²ó_x0003_J*'\@ráªó6b@Ê©ÆÝ¤_@6?}Q"b@öØ_x001A_ê`@_x0018_|-_x000B_S@_x001D_ò_x001B_Õì`@ÑJö'_@¿Ý¾ðÑÎW@Ì_x0004__x0013__x0018_mÐb@=_x000C_w8KÄ`@!tÃ_x0013_V]@/¢+÷au]@k@DÐ_x0004__@_x0004_hT_x0013_`@»5l_x0001_àT@£M_x0002_ ðíV@¿øy¥ÊU@_x0001__x0005_£GW\ÌÖ`@{;ñÁí]@ô4áy)[@Èxï'ù0b@î«ã3+W@' }a]@¶(ÙRb@Tóv_x0015_a@Fç	Ö¡m[@æ¾¤àÕ^@£*ÿ_x0002__x0011_Eb@_x001F_qbóuW`@f_Û8z,V@ß·ÿì_x001D_X@¾iá_x0003_"/_@H4ÕZÀX@ÈvíÛiX_@Â/_x0017__x0001_]@y¼®¥VV@xJ¾µ®x^@Z_x001A__x0002_a_@Áê@è_x001A__x0012_a@lá3«_x001E_ò\@sSÈ_x001C_`@ø_x0018_"Ñ°çb@ÖÙrÚïSe@Ã¾E_x0015_âX@_x001B_)û_x0004_3·Z@:èYJÁc@,øZ+¼`@)°oñyc@dwÊy_x0001__x0002_*qR@_x0012_&lt;¹ó_x0017_pb@ë_x0003_©í½Db@°LVÞ4b@}ô¾_x000F__x000C_[@ Æ¥È_@Ý²úË_x0010_µa@7ÎnpO_x000C__@nØVã¢`@6xó_x000C_þÿ`@R_x000C_Ñ+èoU@ÆV®FG´W@¯×ÔÔ_x0014_Z@¡¨ÙsÌga@6f/2jdZ@_x001B_ÏÖ¶æ\@\äIÞ|SU@¶=Ñî¹_x0019_^@¿ò_x001E_iÞ_x000D_`@ô~O~]¤]@òB_x0010_«÷Òc@õ_x0016_7Í_@?ÂÊ+LV@âQ­ÛÓa@´_x001A_j°Ac@jNèá¥[@ù_x000D_\Ñu`@ÅÿnmD\@ò$ä}!a@{s7¡¼V@]_x0010_,d"Ác@&amp;_x000F_&amp;Uh'a@_x0004__x0005_;?is:`@_x0014_ßZtkZ@_x0002_ßä2¯]@õÏ_x0010_\$_x0003_Z@F²W:Å2_@¤ý¥òÚ7W@_x0018_Q5DW@&amp;å}d_x0012_÷_@_x000E_'¥_x0016_b_x000F_Q@o_x0003_ê\ìÝ_@Íw²3[@Ö_x000C_Ã@«S@õ«ääBc@0(	ß¿×P@Sª¥_@º«¡_x001C_ïåd@ï_x000F__x001A_ÁR@ÇmÔk_x0003_Mb@øQë@Æõ\@£_x001D_gßùÍ\@B¾_x0011_ò±èY@õLâ_x000D_ê\@×®oDY@[MY¬Lì\@z_x0010_5*_x001E_]@a,_x001C_v_x0013_a@_x0002__x0018_J:`@RHf_x0001_å`@j@_x000D_ÜÙ9[@}Qpv]@¯$ÔHFY@¸lÖ_x0003__x0004_¬_x001D_Z@_x000F_º²Çn&lt;\@_x000E_é_x0005_/Ü`@_x0010_ë	W_x0007_[@_x0002_ô:åû^@¸½ßð``@ù×Ç)Ý]@_x0012_Ðù_x0010__x000E_a@èµ7pñ|_@PÁâ¸ïX@Íû_x0019_4NW@_x0005_qO@:Y@ÍÉN(]@LuN±\@]H~%s¢S@_x000D_b_x0019_^DY@_x0006_þa´­ãa@yH&amp;¤¬Z@v¿_x0012_uNÝX@¿£_x0006_J;_x001C_]@nÔÀeÖ¯V@Rq}§ÀU@fÒw&amp;[@búh"æUV@Uµ_x000E_1`@¥_x001D_ÿs_x0008_[@þÄ#âBZ@¬_x0019_*ÆC_x0010_]@(#9_x0001_]@_x001A_Ôæm¶_@ñ¸V+_x0006_`@alêÜ¸X@_x0001__x0002_9|tô7Y@sÁà ²Y@Bu¼Áöç\@éf3}À^@RÚhWÆ_x0015_Z@ÄÁ}U_x000C_Wb@]]¢µx^@·Â¬«U@Ô{qµæ[@¶±}£=rW@ 5"*Èú`@íìÏÃÄv\@	lÃ{ÒN`@ú_x0012_÷£²\@r°eöÐ×Y@dMn`;_x0004_`@×ñÌ_x0004_\@ÓÑiê$pb@Ðk!_x0008_÷Î^@heîIÞÐb@øùhÂ_x000B_\@òÛ'_x0019_øà^@`ÌãNòa@/#6_x001E__@ñOV¦_x0004_`@_x000C_gà(_x0001_[@_x001E_ _x0014_a_x0017_\@_x0004_1?_x0019_¤ß`@PsþéÒpa@­_x0015__x001D_UÄtT@«/ÝGH^@¥Ä°û_x0003__x0005_9sc@l#öV`@%}fOWb@ÐX¦tR@_x0010_õÎÉïHV@_x0002_ã§fR_x0013_a@_x0015_çõä_x0011_`@Ê_x0011_²·je[@Im×ÄJõ[@`$uåÎ_x001C_^@¼8%2Åtc@aï¶ç_x0013_Y@_x0017_ù²,c@ý/_x001A_+hQ^@¸Ó)þ¿=]@úàÃÃ3B\@mú¿°_x0007_\@ûW{ÚWa@_x001F_×_¾ÅÇa@:ÿ_x0008_lP®`@¼òÎ?\@ºN¨_x0016__x0016_\@néºñ_x0001_`@1³¾ðü[@&lt;Z©_x0015_v]@¶0³ÝÝJ@hì_x0008_¦{ê]@¾_ðÚ\@1ßflhW@çæ·_x0004_P\@_x0002_ý_x0003_Ü_x0018_b@¦_x0001_çôQ`d@_x0003__x0004_äd!éãp]@_x001C_)»^"^c@ü»ØàV@&gt;ÀÁØ'Í]@ØC@Jtd@TÿôÙ? Y@ÿ_x0010_0,QX`@å_x0004__x0002__x001B_8_x0010_Y@¶FÔ_x000B_ý|b@ð_x001D_E_x001A_c_@J	£CY@_x0003_x_x0019_°¡®Y@É_x0013_yñ~DW@_x0005_å_x000B_S_@_x000B_Ý¤ÿceb@O_x0011__x0011_BøC^@6EÂ&amp;ÉZ@_x0001_]ý£*À]@Ñeã$-a@7äÚk¾_@± '$6R^@5_x001C_öé¥a@12R_x0006__x001A_Z@el×5ñBZ@¡ëì_x0006_4Ëc@sYU­HIZ@âxÇ&amp;l±_@_x001B_âI¤X@Us_x001D_°[@^ð«:	a@Ïi6ëÏ^@'_x0012_ó_x0008__x0002__x0006__x0003_¿U@Tf_x0017_Ñ_x0003_Y@ÎÊÓp]@À6·2b@ 'ÊÓ9ÚZ@¢}[Eb]@__x000E_­Ñõa@Ûl¸Ð/`@®_x0018_ÝXåaa@waW;³êa@Aq2t¯|\@½_x0018_:_x000C_V@Ïã_x0018_ýÁ_x001C_d@©¬¥ññºW@Ó×Ð¨ÊËd@²_x0018_ã_x0011_Å\@Î_x0004_ ÑU[@)÷Ñ@½ÍV@	D°ïY@®_x001F__x001C__x0006_?]@ ØÕj%\@¤òù~a@ÄhßÄ1_@*ÐèxWX@yÉõê[Ea@_x0015_Ë._x000E_(`@g_x0012_ö¦ùçX@EYfÕ7_@N_x0013_~,@)]@P:_x0001_Ò[@Úw­X_x001C__@Çj_x0018_^_x0005_Æ[@_x0001__x0002_µG×9½`@8_x000C_F7_x000E_d@Üð	!hµY@e_x0008_aüOZ@·n@ñ°`@_x0012_6!+]]@%Ù«ea@¿¨|_x0011_GÝ`@ØZ÷Ðº\@áÿ«ÃGòY@hô*U@¼Üaj9É_@=*è_x000F__x001B_c@qÀÈS`@=_x0008_Ç_x0001_yÖe@_x0002_UHÕØúc@_x000D_úç®d5_@_x0010_y_x0017_£a^@è×jfR@à×k,Ipa@_x0008_k&gt;½«¸c@_x0016_&amp;8LïW@k·$+ì¿a@¥_x000B__x0002_^'ã\@òÎ9:Ô]@:ñooåY@/_x001B_úÿ_x0011_a@õ¡±÷dmU@Å»ãW._x0018_`@_x0016_/è ca@"É³_x000D_ô£`@ù@_x0008_?_x0002__x0005_­}^@j°+"±´a@#mõ_x000D_[@ý3_x001E_GÑ¡]@_x0014_Pdpê&amp;]@êD_x0002_©fU@Añù=K_x0004_P@f_x0003_µâm£b@_x0014_9£é_x0008_V@QøiÒÞ]@× ñá_x000E_Z@PdñÊÐa@ZT·&amp;ùDZ@tj²ªöT@_x001F_s¤_x0010_Úv[@_x001C_nÝñ\@ýæ:¼c_x0003__@°ÞnàfÝa@ü_x001C_]Ù³\@ é¥[k\@hnì=¬Z@öè*ù~[@Ímî¥1³T@ÑûÚ#_x0008_a@~¡&amp;ÿ²W@fÞB±¨ðW@ÖXÃ_x001E_k&lt;[@þ»:ûÚ_x0001_\@î9áïVU@S2_x001C_uí`@_x0006_* ½â]@Ýj%»_x0004_b@_x0001__x0002_p_x0016__x0014_D^@¥_x001A__x0013_R|4a@_x000D_æÀ_x0008_MàZ@¬_x001B__x0011_&gt;Ç±a@p Î´z3_@_x0012_â%T`@¦.à*\@K_x000D_QA¨½\@×;&lt;ïø^@ôc0¸o_@Î|ZöEd@j0)Fc@åg_èÊY@4Þíe_x0012_ÈV@À6p^G@X@NI}ÇlX@±óÊÝ2V@dÊ0]@7Ö_x0002_ñÃñ[@_x001D_þ#º^@_x001A_9Ö_x0003_a@ßÅH¤Z@ÕìÒ_x0006_Ür`@¸ôå»²wb@Ê¸@½Nß[@_x0014_xº&amp;=Èa@ý®8Ù]@êÀ_x0010__x0001_ãa@øâZ_x000C_ô_@kÐ7;7\@¨þóX:Z@s_x000D_æ6_x0008__x000B_L R@Ó|/_x001C_lûb@Òì ZBX@_x0008_ÔuV_x001E_^@äÙ_x0002__x0001__x001F_d]@3&amp;KEa@~§ÐÁ)\@Ú´ç`@´ýVì®X@h_x0003_((¨&amp;`@_x0004__x0002_ãíöa@þz]NZ­R@cL_x0003_K[@ÿ`$ªXb@ß_x0015_6Õ_x001E_L^@_x0004__x0005_._x0007_ÿ\@Þ³;_x000F_LÜ_@þØ7é\@8h_x000C_õ_x001D__x0012_\@fÊßÔS´W@Zû_x0012_[Sf@ÀkàRrY@'_x000C_G×`a@R_x0006_ÇlÔa[@R£øçðX@_x0019_Î_x0002_	_x001E_Õ[@Z ÀãW@~naªÀf_@ð	¨Õ_x0018_]\@'îÍôïX`@_x0019_¦]ì_x000D_]@_x0005_Ì_x000D_Á¹I`@_x0002__x0003__x001C_ZCþSQb@,C_x0017__x0006__x001F_F`@¯_x001E_V?e\@$ºý:eW@ì¥Yg _x001E_^@}\!'Å`@Kjùp_x0002_a@~_(³d\@TÜm_U@ì_x0013_oUb@f¢_x0002_~®	`@²1îZVX@_x0018_ê&lt;_hdW@_x001A_¯lÙ)v_@L%GGW*a@z²_x0001_¬_@z_x000E_ás_x0002_=c@2X8ûÔ_x0002_a@¶R_x0019__x0005_6³Q@h*üÂÝ¹[@ÌåhÖT@Ú¢Ýµ=´[@BêåÊêæ]@LÈÏþ*X@Í&amp;_x0005_)¡_@|å{A_x001F__@3Ëæq©¾g@x|cêäa@_x000D__x0001_NL¨àX@ó_x0003_E9 h@ê½!_x0013_Ö^@_x000B_½J9_x0001__x0002_!YY@ôò¸_x001D_ßM\@vPÍ;_x0014_]@Ôµ¦Jñ_@°Íü_x001B_K^@_x0011_N1È`@_x001C_£ÕX,±Z@Óuþ£3eV@÷L_x0015_áýW@&amp;¡Çâb_x0013_V@¯#_x0003_m,Y@É]_x0002_A¯Y\@_x0015_tµha@k~Ö_x0003_d@Ît_x0004_Vìß\@JZ47Ï_x0007_^@Ëýºf_@k#©Ë²%^@_x0016_Þ_x0001_jlV@*yÒÊ_@_x000F_x4ÁHa@\èÜÂHÆa@Éð_x001F_Ub@O@&lt;ÎBk_@=FN)wÇ`@çäb@X¬GZ ù]@_x000B_$ÙöÌ^@_x0012_BrrÉW]@	TïP`@k=«J0,`@ì´!Rþ¥^@_x0002__x0003_3&gt;R	ß«^@ìùE^_x001B_`@I,k|¡_x0019_c@_x001D_{fu¾W@_x0002_Y_x000D__x001D_1ÍW@~ÆØî*[@µ­_x000B_-UZ@rº2ê`@CÍæ}:a@Á²4@_@á"¸\kþ`@Æ±u_x0006_®CW@Ë¥ o_x001E__@î_x001D__x001C__x0011_+\b@2°ØG¸6R@7.¸ñ [@_x0008_ÎTõóÖX@Zä"_x0013_¤S@id_x001B_±_x0013_`@Vdõ òø]@ð3ÅÑå*Z@ÒÓÐáîÄZ@¨Æ_x0005_ÏMúf@g¢®O`@ã_x001D_`ø_x001A_¹X@ÚñB~X@i~tÞb@¢%L¿¯_x0001_d@ØÁvðë@\@Ö_x0012__x0001_¹qòa@Åaº°ÓZ@wÆÁ_x0002__x0003__x0006_µÃ`@_x0004_&amp;rÄyb@Y°ô[\@§«Ã6¬ÔZ@_x0010_s_x0010_#¬_^@Î_x0005__x0010_£na@MmraJa@Þ½_x0001_X;a@G_x000F_F4ìb@_x0010__x0004_&amp;ºh_x001C_Y@~Æ¿ß_x000B_\@¼_x0002_{¸¶º]@±0Ð)çb@c_x001C_`_x0007_e2b@_° _x0012_ka@hb±ìRH\@àÔá!&lt;G^@÷?îeBa@@ÞÆÔÃjc@_x000B_ÿé]cÉb@¯ìë_x001A_8a@Óx¾¸j-[@D_x0002_´Æïa@&lt; _x001F_Õîa@Cæ\µÊ\@N_x001A_öw7S@®¥Á©î)^@¦fy_x0011_³T@Å.úqæ¼[@_x0014_%¿_x0007_y_x001E_`@ÀÊCF#¶[@_x0019_ã%?8_x001D_b@_x0001__x0002_Ü_x001E__x0007_Æu²]@JWá/¡[@_x000D__x001B_%ã^@ª_x001F_ç×ç[@;ÖÀw½Ú`@¯É]×_x0001_X@MIóê`@^Ç¨ZÝÈ]@Ò¾Â_x0010_ÕÓX@xÿÜLw&gt;@_x001D_a8Åt_@ÊÓK_x001F_æ`@²)_x0002_æ^¯`@@;â¨®kY@cD=*`@`å_x001C_ ,^@Ì¹Ü¢[@@ìGßÊ^@øm(_x0003__x0017_8a@¦*¦âa@È¿µC_x0002_°Y@Åæ¸RÑ^@I_x0013_ê©_x001A_£^@D`Ï&lt;|/[@ìÐÃ3/ªd@{ Å@Oa@[~¾ËÇa@µ­xOÓ[@íØ©2C_@ñþ4õa@to:­`@pz!ê_x0002__x0003_­`a@Û¤Ç¢×X@¨3Î:I]@ÍÒ_x0007_ñ=b@]_x0018__x0006_wp×a@ªIô_x0006_¡_@ç#Å(øiN@ÑôªÁ_@*Z_x001C_ª9V@é_x000B__x0004_jLn_@¸ß¨°F\@O_x000F_&amp;×.\@8Ò[î¬JJ@ú¶($G_x0007_Y@¦ãaÂW@Î[Íëf`@ _³9òòb@aü_x0001_±I®]@Z8­ÅÀÓX@=XNHLh_@Ànµô]@Ox#&lt;á^@ëjO×tb@VàÔòÌW`@:+U_x000B_Ú_@_x001F_ÕÉGNY@$Ü¯zèV@°¥¶_x000C_Úk_@qJ(õÓ%]@ :_x0014_NÛ¼`@}_x000E_õ$&amp;Ñ[@ï.×â[@_x0003__x0006_~¦'äw"a@â_x000F_7_x001F_å_x0016_`@_x0007_Ý²Q¿:W@ÙkíGÝa@~Ïðì°©R@¢ÃÂèc\@¿Á©ï¯_x000D_`@1!R@ÌW@^s?Ï_@ý®7MèZ@õ\_x000E_F_x0006_e@G¹BKed@_x0018_áÈDÙ¸V@æoç.^@_x0008__x0001_UKb@@_x0014_w_x0013_a@¦&gt;öSòV@Æe~.¦`@ð R5ó+\@~ö¸ÖîÀV@¢_x000D_ÀF$+S@_x0012_»Õz_x0007_d@_x000C_çjÈ_@Æ8U¿Ù_x0013_]@_x0016__x0003_Óº#äa@#P_x0016__x0004_ Y@1x_x001C__x000F__x001A_v`@_x001E_Þ_x001A_z©_x0005_Y@v_x0012_ +FHa@¡+ØéÔ}`@_x0002_¼ä¼½_@,_x0005__x0016_Å_x0002__x0003_®"f@´ÆßÒQ_@_x0004__x0016_¶?Ta@õ:z]@_x0014_I1©^´_@X_x001E__x0001_â×ôZ@¹ç'ÎxZ@ÈËI¸_x0011_¶T@õ3u²Ç_x0010_^@§1+ïD_x0019_]@?òj_x0003_bt_@ckmÆ'[@,$åÝá_x001B_d@]z"³W@`bz6õ_x0018_`@Ì_x0019_õ|ú_@Öê$+-V@èS_x0018_go`@ìë ôU@_x001C_ç_x001D_ó?X@âz_x0018_¹Gºb@#âÑ@_@ñ¤,LÊ[@ÙÃ²~c@³ÜéÞg^@´µrÇ_x0005_^@#ÐëPªc@EÚ)ÎðW@j,_x0015_2P]`@/ÑÐdJò\@A\wÎZ@LðÙíÛË`@_x0001__x0002_Äs.^½']@±þmÆ_x0011_a@a)_x0003_¾Y@Õ°®ùÓT@_x0006_!ý_x0016_3Ö^@a©_x0002_ÙÞ%\@ªlÃ3ç&gt;`@\Ý_x0002_úL`@°ù.¹ùS`@|êÒ2ca@y	`ÕRa@1¸×UÛ+a@ ó¹ÝF^@_x0012_Yøô_x0017__x0012_`@ñDÐA´Æ[@zbüÅ.àa@bsª½£5a@eyH,Ð`@_x001C_¶î¿ð`@Ä_x000D__x001F_b-\@dT_x001D_g7`@úö¸e_x0007_\@öùÜæ^@Ûÿ[üÃûb@¤S«²éa@NK¹»T@¼ìÿQ_x0015_Ì`@ÖçåÎd@Ö3b£Ja@sÐóò&amp;^@£(C K!b@¸Ðt[_x0003__x0004_Ç&lt;[@$¹Hyó2a@!ûKT`@7U[¤ZZ@Õû__x0007_§_x0001_Z@âQHÇÞÈW@"_x0003_B.c@ìMÜ_x0019__x000B_R@±ÖO²²%c@©¡_x001D__x0001_SM`@²±Y3;e`@^ø§«QÙX@"¡h	ö]@´LsK_x0001_»_@Ö_x0006__x001D_£_x001E_D\@?!lAwwV@K_x000C__x0003__x0012_¿I^@«z»@°«\@³*«§M1a@Yc)´¥Y@å(õ]@lN\ªYHR@­à#Ö_x0017__@P_x001D_A«Û[@å¶_x0002__x0013__x0003_Ñ\@3ãF¹Zó`@_x001A_º¤_x0007_Æb@1ùùg¡b@zøB_x0011__x000E__x0017_T@FvËaÀ½b@ïáÑ_x0017_B\@Å	d§üY@_x0002__x0003_§©@óÜ½]@e¬Nr_x001B_ñ^@vÓËÏa@ÈuÂT?R@_x000E_ë3ã8_x0017_f@Ù_x0006_Ë1½[@¨ Ö_x0013_ÁY`@nÙ²»:Z@¥7_x000E_Ã8]@_x000B_I÷ÛÕ&gt;b@±_x001C_×8Øs\@ÑË_x000D_£²_@l´X_x0010_¶Î\@úfÈ1`@ÚÅ&gt;_x000C_%_x001F__@,gô6ãd`@´8¯Ha]@ñZ¨ö_x0008_³_@ñáû§àY@pF_x0008_	!a@«áµ¨]@ðx_x001C_7_x000D_3_@_x0014_i_x0010_&lt;åüZ@®ÖEÉ_x0018_ãV@CêñY­\@_x0013_DæYGX\@fÛù@`[@Ö[V£_x0001_H\@úè2)_x001B_]@,_x0013_Y[X@v?	yÝW@¾_x000E_hî_x0001__x0002_7·_@8_x0006_Ûé»Y@&amp;Ä_x0019_c.¨c@h|Õs­V@¹ABó_@(1ñØY@Wà¸_x0016_¹i\@Ö_x0005_Ê¤_x0008_´R@ìò_x0015__x001E_i&amp;d@Ho*·_x000C_2W@+·¤"5îa@2µx}H5`@PÌÔáèÍY@Õ!Å¡4\@wRøªÎÒ]@l_x0012_[²_x0017_LZ@e¸3¯X@oÊ7_x0001_é^@¹_x0016_`ÌÁ\@®m-;Ä4]@rr_x001D_!L¢`@×((nr?_@_x0007_é·¨Â\@iÚ«2JfX@G&amp;_x001C_qR@y5`@òÅ_x0019__x0015_\@µ_x0012__x001C_b\@_x000C_¥¹!¸ë`@7¹nS²×]@Î\+_x0013__x0007_Y@|_x001E_&amp;,=çW@_x0002__x0005_r÷aDwî[@¤h_x0016_Ôò\@-_x001C_Æ¦_x0003_;_@åSg_x0014_³]@Àiô Â_@Sö§Ù¯½S@V[Ìü_x001F_åU@_l_x000E_	a&amp;]@â±×=_x000B__x001F__@7ÓéÕ$_@NB_x000F_ÏéAe@_x000F_M_x0005_Y@ll¹bêÚ_@nL&amp;Ç¸Ê^@ÔõÞ_x0017_ß`@ A©§æÛZ@å ^Æ´`@ãAµÝrv\@Òee_x001D__x0015_pd@øVö_x001A__x0004__x0001_[@ª¬KMÛhU@_x0001_ÌóD_x0007_Y@_x0013_à_x001E__x0005_ÜHd@¶_x001B_¦*&lt;R\@ixÆ]@ÿ &amp;_x0011_`@e_x0019__x0003_Õ]@_x000B_1n`@çaüë,b@´]"±Ä[@xìÃ_x0004_ºW_@a_x0010__x0003__x0004_y_x001F_Z@1}C£²Y^@&lt;ß.C_x0006_çX@_x001F_ss_x0002_g½a@øU_x000E__x000C__x001B__x0007_V@mq[ÒW@l`ÄleRZ@{¯éÙo¢c@¢ù ËZ@ÞÏ_x0004_7ÎßZ@¦¼í_x0003_&amp;a@ë7_x0008_ëM_x0013_\@øà_x001C_øùY@òhøá{_x0015_[@_x001E__x001A_JÅ×E\@#_x0013__x0010_¨/X@&amp;á´5_x0011_kZ@x!úV_x0006_WZ@!B¼·öZ@ÿ0&lt;Aôa@i¢=`@;_x0016_|HÿzZ@¨|òñi|R@£_x0007_a ?L[@ô/L_x0001_ºì`@|ÐQ¾·}^@·_x0010_ç!ú]b@÷ä$ó+`@D_x0004_aê_x0013_ä_@X÷,64Y@_x0010_Íp(Í^@=Ô_x0004_QD\@_x0003__x0005_1{úC_x0002_^@áÝû_x001D_úàd@ ²/ß*_@nÛOC5Y@¯2÷`z_x0001_^@ÚR¢MBb@ß_x0006_FÖÎÅb@}ªõDa@Ú¥7¥a@#]©_x001C_Àn`@U_x0016_YL*Ä`@_x0001_IRÀL_x0013_]@ô_x0011_©aX@ÅAQ{ÊãX@_x000D_±×U_x000E_ñ^@_x0004_vb@W^pRN[@*·Eµ_x000F_Ma@9­ßÇá_x001B_a@ôÞÁs8d@¼ÄYÿ9Z@Â_x0001_&amp;_x001E_4]@Ñé#:ô6a@ ä¢ês0`@¸A¤50Ü`@NíÎ_x0016__x0002_`@OSuÎ.`@ßLªÝÙ:V@_x0007__x0016_üLFc@r,+(ê`@VÑ?Ì´_x0016_`@g_x001F_Û_x0002__x0003_u@Z@*÷M&amp;Îí]@iNá_x0004__x0001_V@üî¬ÀûZ@SYÀóZ@ê-jû­b@4Â¡&lt;pb@H`§ÏY@q«_x0008_µ[@íQ4Ùt[@_x0018_¡_x0005__x0003_í&lt;\@_x0003_[âÖ]@ª_x000F__x0006_kl_x0002_a@_x001E__x0005_³_5_@)Ók£µ~`@_x0003_¼Bðka@Hzh£_x0001_f@úÁ±¥\@óîV_x000E_çc]@¢¸£i»Î`@Ê9¤·[@ÎØPÑ0T@1_x0017_:dS[@_x0004_9|FÔ0Z@Ö_x001A_ý¤]5_@Ë_x000F_§¢b@&amp;_x0018_Î´^@ðr(-d@^§ó*@[@vq#q_x0004_=b@#çãä]@³&gt;EUY@_x0003__x0006_%®ÈzKéa@_x0007_±yª_x0015__x000F_`@¾ÕÐXA_@_x0004_/éàa@_x0015_¤õw_x001D_X@l_x001D_ÉÞ_x0005_d@N¥_x0007__x0001_&gt;\@ûîíÒ¢T@ì_x001E_°å±	`@äBF_x0007_c·`@_x0013_QÁ¦Y@µ_x000C_ÃMb@?[%'`@S£&lt;Á_@#²J®Ó3V@_x0002_¿*Þ}U@LþþR³HX@A_x0008_«6:]@eøØ+KÌ]@ÊkU)ò[V@¯qwØoi_@CÜ`ÇõÍ]@ßðéé[Zb@_x0015_R_x0019_Ëä`@è«·W@ÄOGcPªa@-ÄÊ¨)½b@e_x0005_Ð¬]@_x001D_ÔÀ^_x001F__x0011_^@­¢Tê­£`@_x001E_æsAZ@Vjöù_x0003__x0004_r]@Ô^oÏY@_x0007_&amp;¾Û&lt;`@ëâ_x0011_ç²V@(_x0012_-/_x001B_Y@«¨A#QY@\£?¹ÈX@ÂOÏ6¤KZ@_x0001_¦G2_x0007_¦a@_x000F_ÄÂÈÕQa@_x0014_ñ_x001A_ån_x0014__@pU^ÒÄ]@F_x0017_r_x0008_V@òKÇ®LçZ@NÕ_x000C__x0002_gW@¢É_x0018_ãW|Z@|8ÖY¸_x0005_]@¾¯XéT5]@t@_x0010_Q_x0006_^X@ÒÊ]÷ga@d_x001E_ª_x0018_J^@%1×ó?_x0003_c@½eÖ¿Ò¬Y@_x0013_¢WØ#\@çî4÷Ï¨T@¤_x0010_"©¡¶`@Çù¼à+_x0019_[@¶_x0010_¡Q 2Z@Ò_x000D_Ð\S\R@!P/_x001C_·a@ydØ¥S÷c@·Ôß[@_x0002__x0003_nÒÜh]@«\Û¨Âw`@®^_x0001_·7V@¨¥éc@ð_x000F_ÖWXj]@Fæ.WÚ^@Y\}î£ia@ÃóÑ§bZ@¨ÜGµ¨[@j:è1_x0017__x001A_]@F2¤I¹T@¾t_x000C_Þzó`@¦¡ÖS@_x0012_¢_x0018_bù_x0003_]@RË_x0012_¿°®a@_x0002_frp_x001A_]\@Ðù_x000E_ ý(_@Î*¼&amp;BX@ä)ýÆðd@¯¸&gt;Ú_x000F_&amp;a@øU¥©ß[@ã{Ýula@»1À@@Wc@¦J4ç_x0007_	b@b_x0013_Â_x0012_0N]@amVg![@]i=µ¹]@î÷s'w_x000E_b@ZðÈ;É_x0017_a@½_m¹§ob@¢_x0005_N¦Ç]]@×.û_x0003__x0005_§_x001F_b@·_x0002_6Èýc@­t_x001D_Ç~ýY@7´ôJ)£a@dNð{`_x0011_b@_x0004_Ìqf1S@_x001B__x0012_*_x0008_^@¥*»&amp;Ã_x001A_c@7_x001D_ðwBb@Kª!B a@CêÎÚä@]@½Ë$¦R.Z@d¹ªmY@_x0001_Ð5Úz^@OÚÓ_x0010_Y^@ç%ð÷üa@_x0005_ï9ñ:¡Z@i_}_x0014_Z@äÁ7Sv[@#_x000B_Já_x0013__x0018_\@lIÊÙË]@]_x0001_Ëä«U@Õ_x0004_A/_x0013_ÝM@Àó_x000B_ù_x000F_TV@á_x0004_¡=y_x0019_[@ñE_x0004_ja@»ã·IíW@ziã«zÌZ@ÌÖ_x0001_y]`@Oî)c§_x0005_^@.|ôTßb@§[ùå¨,\@_x0002__x0003_P_x0017_ÍÜ«F]@~è_x000D_N^@sväI[`@T?¥¾t	`@#eaÚ-\@®Ð_x0011_£EqT@726_x001E_èY@[s»|a@~CAù_@é2ÏW@_x0006_å_x0015_EºU@_x0010_ñkÕL_x0012_b@_x000B_hAÛQY@hÿì;_nX@¬º_x000F__x001C_T\@_x0010_ýX§ub@#A²_x001A_õ^@_x0005__x0001_ÝlP-d@Ì_x0008_¹uÝË[@_x0012_03_x001D_Z@_x001D_í¯¦]@¦¨0çÝ¡^@*ßb(a`@å2\_x0006_ß~U@âãÂáûe@å`ß_x0018_Õ]@«3G¡M£[@Ö_x001C_Âé5[@jR÷tT@&lt;¥_x000F_ü¿ýc@_x0011_T_x0008_W¢¸`@87lS_x0001__x0002_ì`@co@¶a@_x0011_¶8å_x0004_W@GÍp¨[@Xo_x0019_í®¤T@Pt'×n,a@¦_x0005_ä_x001A_£`@±Ëëk±uZ@³Ë9¡9M@_x000E_A×û_x0003_\@_x000E_År«¥_x0003_[@_x0004_cÎØ^@_x0003_ë_x001D_'©ja@JoÖþ5b@óWZ_x0014_õX@_x001E_Ì;«Öè^@)_x001F_Ò _x0001_^@BRðßÃ4W@ZAÙ(X@ÄC_x000B_AU_@_x0017_Ðº]@_x0012_sw-`@Î(Âíà`@ï_x0007_nò°ý`@ËÏèk+_x001F_a@yoñÕÄV@J_x001A_Uo®Z@3è»_x000C_a_x0016_`@_x0001_;z`@_x0010_SÝ¶Z@ÈyJBíX@Úæ3'y{d@_x0002__x0003_oáw=Z@Kû­e[Bc@2F¸Z@ú¯í`ÄÒa@Ï_x0001__x0016_"[c@I?´1k#Z@.q¯KÛ\@+®`Õwb@Çí÷e3zZ@_x0019_I)0¡Ê`@T­çðZ@ä_x0005_5_x0003_¥^@fÆ¾IF`@9_x0019_©È_x0018_w[@é¹Ä°¼·X@üÀ3p ½Y@}ü_x001B_Ç£7Y@ª-¦_x0014_¢_x001D_`@k¡EÓ3@`@|`e±»¤_@j^ _x0015_Õ_@»Óúº*Y@"_x0001_jYU@Ç×é_x0011_I\@ìèâb=Y@æñÿ'Ãb@_x0019_1µÝ:øb@úÅaµeç_@À±_x0002__x0007_°_x0019_d@BÎiÔÜ_x0002_`@þ·(_x0010_6PZ@±_x0015_'_x0003__x0005_ÿw[@"Æq_SU@äYÔt¢Q\@ÚßìÒä[@Í_x0001_×,&lt;T@_x0002_RýÓ_@]wLW@ì­ÛL `@vØÛ;kÔb@_x0007_hz&amp;\ÀT@_x0005_å_x000D_CýTa@ñÂü_x001C_Ba@\k7_x001C_mX@ÌJjìÓ]@!	hÅú&gt;Z@_x0012_ÉlÈKjU@:}W#f_x0014_c@,0_x001B_i Z@6 Z@ÞD©_x000D_mÚ_@ª?ýUh_x0001_X@XÞyUea@±¡_x0018_2Ægd@_x0004_ôsô×DU@_x001B__x0004_éV[@3kîÛA[@_x0007__x0010_pfþó^@u¡ù_x0016__x0018__x000D_a@,UK¤]@£1ª~Îb@$V!_x0003_$\@ÍªEY¾(U@	_x000C__x000E_îx±Y@¸¦¡×U@3Í!(¯T`@[áðSÝ^@9TÆÂJb^@_x0007__x0014_ÿKÑa@Þ(°eíX@áx_x0013__x000F_2Ö`@*_x0002_&amp;¤]@Í_x0001_±?_x001A_{`@	GÎÐ_R@ #_x0004_nc@BG_x000B_¦Jl]@WZx=ÊRa@eÉ.ö¢ñ]@wHN¤_x000F_\@rÙ¿SEQ^@å}uô°`@HÒ_x0002_|p_@K}_x0015_°b@¾_x0006_é#%_x0008_a@6QÜ)â_@_x000D_÷_x0005_É`@_x0014__x0003_ö_x0011__x000E_C`@uH%µj=]@lN_x0001__x0010_b@Þ_(D,XZ@ÏÝÏRbWZ@Ðºáý_x000C_¯`@î_rLaX@_x001B_¶ã_x0011_h_x0002_b@üèn0_x0001__x0002_EÏ^@G#I_x001C__x000D_#]@_x000D_ÉQcÑV@_x000B__x001A__x0006_ÈY@¸É%¢¤©b@_x001F_ù SÌ]@_&amp;=Ü&gt;Ó`@}ñ¹ÂI­V@Î_x0012_ÒÑþ`@ú_x0018_Rö:a@_x0012__x001F_wn_x001D_b@ÒÜnë¿nX@_x000E_&lt;Í0$È]@,½-_x0008_«`@Ï¹gæWÀZ@¢_x0013_#EL`a@¹&lt;Ú9	ÿR@¿Ç3_x0001_?ÎU@¼2_x0011_]@ K}¯«_@ØÊV(¸]@ÍÁ íû6b@_x001A_2pE"á\@=_x0003_R²c@¨_x0013_ôkoU@=ò4_x0015_Næ`@e_x0012_|ü9[@çÎwÀDX@GÛý)¹Ïb@M3u.÷V@ø¼ö¼þ§Y@àx@Ð_x001E_V@_x0001__x0003_­o3ºîa@_x0004_í·I`@h_x000F_ZúBá_@_x0011_l_x0008_rÓ_x0002_Z@MeÁ~òka@ÆZ^×È\@?*Ä$!`@È_x000F_9_x0005_fK^@s_x0008_µÇ`]@_x0016_Rò:Ü^@Á±c¢\@üòþµ^@qÇg_x0018_Z@[d?_x001E_`@o_x001D_õ,ÞmZ@ü$Íïòö[@9õ³Ñ_x0018_[@_x0008_¦ÂøÌS@åÝK¢E?[@æ¶¡ò¢W@!b*_x0017_7]@V^ þã`@\©yJ]@¥_x0018_½_x0015__x000C_X@¬#_x0011_nS@3Ö_x001F_¥â`@¶Q_x0011_y#`@_x0013_?y@³[@á»[8V@Ö&gt;®à¶`@_x0006_³M/&gt;d@Üx=_x0002__x0004_ÆY\@¡_x001C_É·Ü¾Y@_x0017_$áÖÍ]@¿Ð[%_x0018_`@_x0014_lGæL^@r_x0008_P_x0001__x0012_ºU@&gt;ÙCÇT[@g!G_x000B_g_x0014_[@ð©_x0019_kÁa@4$Ú­MY@NÌçXa@f7Î1['V@H¨Ëø´µV@w#I­A[@Í³²ÉjMb@RÕæË~[@©)_x0003__x0019_5b@!_x001F__x0017_¥ýW`@ëÍßÍ´^@_x001C_f[yçZ@ö9m%«_@=[¾îç\@·us^V@ÿË1_x001A_W@_x000B_N_x0008_áØ`@XÕËvoõ\@ÔH¹Êi¨[@¹wbEèaZ@SU¯ä§]@ü?´öp+`@··_x000E_!DeX@ 	_x0007_±©F`@_x0002__x0004_¤ÕìØÄ^@àú_x000D_'ÝQ@z_x0005__x0017_¸ÌÂV@*§ÅtÏ[@_x0010_W%[a@_x000F__x000B_mîZ@¨_x0006_¸Od@s{4±/_x000D_`@R7oVÆ[@¶LÊØ_x0015_'c@4@]_x0007_XR@_x000E_µ_x0016_³IY@5¡m&lt;`@¥fÁ%BJ[@ÓøÕ._x001A_Z@Õ3_x0003_¾|¡`@_x001E_t_x0017_àÎíY@]JÙ#µøZ@u½_x0013_UÕ^@ûêF&amp;ÁY@¢\hs_x0001_b@Ê_x000E_ÛO¶d@fÐ_x001F_àW@m^ß]jl_@TWÊâE`@_x0014_ùÞ_x0004_¥l`@îYý»þ=`@_x001E_	Ùè_x0001_ÂO@Ê}-lßb@"[_x0010_¹ÉY@&gt;U`@7Â«_x0003__x0004_&lt;«X@_x0016_ñ&amp;­ro]@¦¿É_x0006_ñÍ^@õgáM/]@7_x0017_&gt;°±U@vLW²5W@Ð×Ò¼!`@a'+.öÐ[@p¥É¹ù`@¨¤õ_x001D_Ê`@5_x0002_Þ_x001C_×U@ÁÞèW@Ûn.¯Ô	U@UC5ITÐ`@!°îÕùV@K3\_x0013_`@Á4ü_x0003_^@·®ÅÞr¸\@_x0010_vOÊX@Ée_x0012_ÙÈr\@ù_x0017_uú´^@N_x0012_òvG_x000C_\@Ðõ[wø_x000B_a@e¸_x0006_J_x001D_Þb@ÃTÛ­Ç`@)ã¡wWB[@³Uë©_x001A__@þî_x0001__x0010_µ\@e_x0010_»VZ_x0010_b@¾ª_x0014_a@²ßµVÇ`@ðòøÁ_x0003_R@_x0001__x0003__x000B_ª ¾Ù¬b@¼}¯±_x000C_+a@k_x0008_«¦©wd@±mo#b@çJ}ÄSÑ]@¨_x0014_#l±ÿ`@È®2LOY@*ÞlÃùVX@_x0018_¤8Ìl_x0016_Y@ybk_x001B_ç[@ê_x0014_I_x0010_A`@úc_x001E_G©Ù\@pËÚ¤_x0019_X@D_x0001__x0013_M]@_x0018_¥¹ð­¨]@&gt;ÆT]Hôc@ö_x000E__x0001_Z	a@{àÕkZ@_x001E_V³N_x0019_D`@n_x000E_È¨Y{a@&amp;¶¤U5U`@_x000F_,_x0013_;|ga@G_x000D__x001A_äY@uOoÒ$V@&lt;Ð_x0002_ÔÅ2c@eBh`@_x000D_ÀÁp_x001F_b`@!¥±á_x000C_[@¬È)Ôô¶b@%F±Ç×`@ç¶_x001B_À®Z@òq_x0016__x0001__x0004_Áå]@tß4þ_x0019_a@_x0012_BmÍ;b@ÍãûåX@Eôd_x001A_Kp[@ØaÏÙû@\@ÿ¹Ìý_x0006_U@ÉÿkÀàê[@L³«òÆ_x0008_^@;mIÌ/U@ø!¿²£k_@nù¹æÜV@T¢èv©Òc@¼û:´\@+üäx_x0003_=`@zW~Ê¯3\@¯aH©þaY@Ù_x0010__x0017_É&amp;àY@_x001F_w8ê\@Ât¬_x001C_Ôj\@kmQ_x001C_rA^@X¯1&lt;_x0002_^@Kb[ÿ[c@)_x000B_x²k_@Ï}_x0013_§ _x0010_b@i_x0018_M?_x0017__x0012_Y@M¹V?`@ð¤^ñY%X@¸}§D_x0014_ d@«6öÃeb@_x0012_f¼'ØIc@E_x001D_¦,Ü`@_x0001__x0002_ïÊ_x0010__x0011_µÓ]@Âa_x001F_B_x0006_^@(n^@_x0005_[@65[6W_x0010_\@Ç·¶Sñ\@_x000B_L_x0003_è=_x001D_Y@¬Ê_x0012_5'uU@ÿ+Þ_x0012_\@ UÐ:~Þ]@³JØçla@_x000C_(@G_x000C_N@K=¤c]W@°$4ÎW@6WY`Ë·Y@_x000E_1Cê}t[@_x0004_"i-[@_x001E__x000F_q&gt;ÄÌ\@_x001B_,¸Ò_x0006_ë_@V*µ*äb@Ë_x0016__x0013_cV¨]@y_x0015_Ö¶T@G¦_x000B__x0013_f=c@°[5_x0016_`@24q£`@ã^÷nÄ¦a@ì(V  Y@h´óÞ8[@ÂX/[°[@=_x0004_¶Ì_x000C_d@ù_x001F_8ê.º]@U­+_@ÆÜ_x001A__x0002__x0004_³:\@ÊgèÞ._x0006_Z@r1_x0014_Ê!Z@T'»_x000D_a@òóêø2a@{üøÔ_x0001_f@}øvû2N]@N_x0015_K)ÅJ\@ÜíQN ob@ =rá­f@_x0003__x000B_5}Z@f_x0018__x0001_Ç{:_@+ÒÆ}b=`@?PuhËy_@«%íÿñZ@_x0001_ÿ_x0012_¸ãð`@o8\Dw`@TÈÁy_x0005_e@&lt;l_x0014__x001E_[@_x0013_Åå1ÝúT@Ìÿ_x0017__x001A_ðîZ@x8ú_x0010_©Z@2°_x001D_ï_x0016_]@öÕ¦_x0011_Z@_x0017_hêr_x0006_Z@ÅTÞ].}b@_x0001_Ó2`@EÌÐê|T[@÷_x000B_9~)^@4q_x0006_+÷a@.gL0ºn]@ØEH!%`@_x0004__x0005_j_x000D_ý­'_@ý,»Ìb@Ã~kýa@rnã_x0012_¯.[@6D¯_x0018_y[@ Y_x0014_0ë^@aù{]àÂW@Å]êhc`@l¿_x001A_´&gt;W@YmsÖ¨S@hÀÂP®c@]¯]!¡j^@òÆ§_x0002_&lt;-Y@à_x000B_öûípQ@_x000E_)~B_x0003_e@¸16À_x0017_a@Hp?2°á[@Ð_x001D_ASÄ[@[Wr»`@r=Ñ_x0004__x001C__@K|&amp;m![@l»_x0001_s_x000D_Ò_@-9÷u*_@&lt;ø_x001B_ßÚ_x0017_c@ÅA~ö.a@!_x0006__x0006_F^@Ä[e¤$[@¯x_x001E_P×]@UéâUÂ#e@å_x0013_©Nµ`@Á_x0017_1Áp`@Ü» _x0004__x0006_*j`@h$_x001F__x000B_UTY@ªgÂÀ]`@_x001C_	´Ûe_@L%_x0014_§_x0017_m`@&gt;j[_x0003_ta@.½Ó½Å\\@BÍËxd\@[(Ký[@n&amp;¤*^`@N])Û_x0003_ö[@Ë_x0013_ØúJä_@w,\Æí^@,4ß{_x0003_ø\@ÖL¿êa@¤ÅÆ÷ªa@Ê¿8¦,£`@G?B_x001D_Z@¥	³+a@x ©_x0008_}¡]@öÙ*Sÿ=\@VÐ}â_x001D_]@\xÿP&lt;½T@ShEªü^@ôÛ\¥_x0014_aY@OÀ_x000F_ØV]@_x0001_vã²_x0011_n`@æ_x001E_ó_x0005__x001C__x000D__@ý.HKy`@_x0002_I^4Ã_x001A__@¤_x0004_jLá(b@¡E_x000C_ÉÙd@_x0004__x0007_àµ&amp;$LX@¼á"®_x001D_P]@õå¥2QV@yq_x0003_[j½`@Ú&amp;ûÙ_x0005_Ë`@9v|Ô_x000F_\@_x0010__x0004_U5oY@ _x0018_ ÒNb@Ìw!Y@ÅñWù~¢\@NÒqYUp[@uùïËþ`@`íVeÎ f@àöù;¥f@_x0006_uÊ_x0018_AeT@ÜOý9qÿ]@gÿµÊ_x0015_Ï`@Öowô¤_x0002_`@_x0018_ #ü¸+c@Y_x0016__x0017_T@_x0001_?¤7*?`@%5ZÛ`@2£ºf_x0018_^@"!'_x001C_îva@_x001C_Å÷_x0003_ãW@_x0012_êÔ½Fa@J&amp;¦®_x0008_b@/U¨d}Ra@ë$¹MV_@ _x0001_S¤ô§S@I#[NZ@?CKÙ_x0003__x0007_qï\@=ÀMR5b@ö0u`_@_x000C_B_`@7º6_x001D_Z@Dfh»_@S_x0004_ÚE_x000B_3`@z_x000E_{va@qDÌo®`@!ÔÜj_x0005_ºV@Eø¸_x0002_X@_x0015_Ì,0b@Úáú9â_x001E_X@ðÖ&amp;|$W@îi¶_x0006_a@ìç¦ï;¹]@nþ1|Øß[@~ë¢_x0001_Y@0_x0017__R¡Y@OâÞ_x0007_õu`@U?Oxë[@îY&gt;ã¥T@k¾Û_x0014_/X@H·¢ÈlÚY@o¾éVÕW@LQê_x000C_NëW@F_x0001__x0015_ÎöuW@ä3x{Bòa@_x0016_=R_x0005_ëV@ï_x000D_½_x0007_[@¥_x001F_®æú`@Ñ5¶AÿÀY@_x0002__x0003_×`÷!&lt;^@LÁFùN¾U@Æ-[6Mb@_x001A_¾"@õZ@¥¸}-=[@_x0013_8³5^@(5Ñ;¦N`@ÌÊÞÔd@Á1D6hvY@¢RX$ú_x0006_Z@_x0001_Kßücä`@ë)Ôö/X@_x0014_ZXL#`W@0Ùµ_x000F_']@¸O8_x0015_øà`@Óö$©2Á^@ |._x001D_ÖÎ\@ÝÌëÕÎ_x0002_X@´10_x0003_¼_x0015_[@Nm¦ÎGZ\@Nïâ\Vû`@áîl²¶`@)2øv£`@Ú8Mn(=c@#-V7_x000F_&gt;b@z2¦óû_x0019_[@rØÁ_x0005_xEW@_x0018_0ç¶_x0017_æb@®[K«à_x0019_V@·_x0013_¦¼Ï]@°o_x000E_Y\_x0012_[@¨m¡*_x0004__x0005_Ji^@_x0001_§á÷iY@ñË×m­3a@çq@¦¹ÙW@ÌíQb_x001B_D`@\2_x000D_öU@däÃ¹·R\@?¾_x0001_¶¯`@«?ì_x0003_°2]@ñeöã_x0004_È`@ÊAÌ¥¦ÖS@åº°)R_x0018_Y@_x000C_|(_x001D_á_x001F_b@ÞÎ+¿@a@ÛÏt"`@+WÇÎ½ø`@ôÊo_x0007__x0003_^X@:[«uäIa@_x0001_^_x000C_Q¿Ùf@kÄI_x0019_j_@Æ+¨]IY@Ò­éê0±Z@¤Gü£Xma@éP%_x0013_c@è&amp;_x001D__x0002_ub@i__x0013__x000D_	Ra@ZôIþÃZ@FpÒA¾V@dJM+¿Y@ò¦1ñ+8U@HRxÎ îX@5RóS]@_x0001__x0003_tN¦&lt;¯^@ëwÑNÖÖa@Õ(/_@yr!ÿd@Vº©§ÿ¶Z@n¢Ðô_x0005_r\@¡õ|Ôè]@_x0015_á¶Ëb@*©`«]@_x000E_³/Ð¬d@üXy¬­ `@£M0Ó¯\@ØO{S_x0019_Z@_x0005_¿¥*ß\@_x0002_1_x001F_¬ll`@ð#ðÅ®`@m_x0017_ÿÉ_x001B_Zb@ô&amp;¸ö_x001B_Z@_Ôn!êY@y;÷b@j9ð6~a@I\`&lt; d@Þ_x0006_2/`@Èã_x0012_ö_x001A_\@:_x0012_6çÒÞc@_x0013_PFB&amp;_@[k_x0018_ÎxY@_x0019_H_x0014_a+Z@þA&gt;í_x0013_^@:_x000C_í³_x0012_b@ ÎêÈ#ØR@ÚÚ_x0016__x0001__x0002_¶a@_x0002__x0010_l_x0006_L_@ló+ÍY@LlX #\`@våúÔ.¤`@¬?_x0017_Âv=^@åû_x0006_YUab@úÕl9óí]@¦µáÀô_x001F_[@N×ì_x001B_`@_x001E_\GÍc@?$#¡_x0001_Wb@HÜlâ¢hX@ÆÅ_x0017_ÿT@¶D´_x0016_LOW@Zeí_x0006_c@O§_x001C_ÚòØY@ÕÚ_x0018_n, _@;ï}[nìY@_x000F_#nøóna@¯sN¯_x000C_@V@üÚ_x0016__x0005_oê_@rvp²`@ã_x0013_/ý©[@_x000F_²ÌÇµd@ä±w1¿¿V@ÜA!må¦V@U±í&amp;X@_x001B_(~Âa@hG`¦ê_x0002_[@G¸K¢ä_@ZÒägÓ|[@_x0002__x0003_Ð7÷_]@D:SEÀ*b@b_Þíb@îÉEÀÕõ`@_x0006_wL;1X@@Àï2\![@R"l-ßb@	³_x000F_½P¤\@ ¶è_x0003_hrb@q_x0006_yò«\@|:«_x0018_xQY@3á¸NÞ`@ær°´_x0001_]@Î¤å?¹V@yÍ0ßð_x000D_^@_x000C_ËJ&amp;î7Z@-vG_x0012_éZ@_x0007_ÚF#}¨Z@¬_x0002_Þb¼"c@òÚ®ü¼ÝX@_x0012__x000F__x0018_5Y@_x0001_A_x0006_vÌdc@ 4~]ÑÚ`@_x000D_@oÔ\@_x000E_+ö_x001C_MV@&lt;fðjÑ]@C%ÌZiõ\@ )F¡Õ_x0017_a@ÐK_x0002_Õ_X@sÉj¾_x0019_[@_x0016_SSË{£Z@_x0006_Æ÷n_x0001__x0002_Öèc@"p¦ØM\@_x001E_{E_x0002__x000B_c@'_x0014_(ni`@©´xÂ2_@ _x0002_ïæX@x&lt;{-_x001C_,`@¬h5ó÷Y\@® ¿ÚÓ1Z@aõ]FÇAb@H¯SúÆ[@èlUyx­[@Ö~v7àca@ Û±_x000C_#_x000D_c@_x0005_oÌæ²_@+Ï$`@_x000F_¥®èR,]@ë®ã_1ÍX@`_x0019_ÊÞk[@d/étÝI`@ê_x0006_'Ì½)_@Ý_x0018_;}Q_x0019_`@µ_x0001_Þ`Z@ÓáÆË_x0008_']@=XhI6[@ýýæ¹_@+ê	`S_x0014_a@Z_x001C_&gt;kÙY@è6/°ýY@&lt;÷XpÞ_x0006__@s_x0015_R@eJ7Ý	Y@_x0001__x0002__x000D_R±Ë_x0015_ia@_x0004_t2ëY@}á^ß a@t*Tã/Áb@&amp;tí_x0006__x0001_b@Ö_x001F_Ë4Kî]@7~Õ_TZ@iõ­:t`@_x0001_û`b@_x0010_Ok4øîZ@+&lt;&gt;ùx©[@ ?xZêZ`@þ1_x000B_P§ñT@Áã7_JX@ºj2l$b@æ7ºêÀQ@_x0011_ª|2KÔ^@ÍFy?6_@9AÓç{Z\@rÁ #(a@Éom¾HÃ_@Á_x001C_/;`@MþYes-[@èî áY@Ö_x0008_þz­\@|_x0015_Þm~V@JFfÛ`@_x0003_æªP_x0001_X@v:ÝW@`Ô¡é±]@ì&gt;OÞa@WWE_x0002__x0005_s`@_x0004_	a@^@Ú_x0001_:"ó&lt;`@JKÇ b@°Õ¬È/ùZ@_x000E__x000C__x0003_ª°ÝZ@t±_x0016_oçñY@n_x0014_Ç(]ZZ@2lÇtÑØU@ï_x0016_À~=]@á¿ô[·^@&lt;ïÚNB\@^!(bfÃ`@"!¬¹w­R@=*k_x001D_aCZ@ø_x0007_ä´^e`@&lt;NÝIY@Æâìú}_@{[Òz~ù\@Üs¿Ýq_@Dâ@4ÿÅa@¹Ï¢sî_x0010_Y@\bÜW_x0003_F_@û&lt;*_x000F_ý `@V_´aÈÒ`@_x0014_¥(P_x0011_a@$	ÇFZ@ãCÒ_x0002_?Y@n©]Ez]@UÑôQü`@_x000C_Y'_x0011_`@ú_¼r_x0011_éb@_x0006__x0007_ø}o7%_x000E_^@çÚ¿&gt;_x001D_ c@ò¦åþ_x001B_\@ÐBç_x0014_Å^@ÞtW_x0001__x0008_V@Ð!_x0018_³@U@hT]_x0003_a@_x000D_æ¤_x0005_Wa@¥þ0z[@Çp·U&gt;a@gV{è@c@A&amp;yæ_c@UâeGT`@¥&lt;,mñ_@ï a_x0002_Yd@ÄJ¹à_x000B_`@_MåSb@è_x0016_m_x0007_¿_x0015_`@:_ßa&lt;Þ]@_x0004_=_x0001_Y@z_x0011__x0007_ë_x0008_[Y@DÚF_x0008_7_@_x001C_Ò¬,¾CY@_x0018_ým¿Å¹Z@ók»9_x0013__@_x0012_ÖdoõY@¿_x0007_û¯-^@_x000D_;7­Y@åçL¾a@%_x0005_d&lt;ç_@ï]ËyáX@_x0019_Ú,Î_x0002__x0005_ìæV@%ÕÃk	\@'_x0011_§_x0015_T@£[aÔ¶ `@ìPÿö÷\@_x0005_È_x0005_]Ñ_x000E__@Ì F¬!`@w_x001C_²¥_x0010_{[@·^_x0015_¦ñå`@¢ÿÝ=«_x0004_[@$_x0011_9ÇA`@ÿÄô*_x0003_ÓX@%Ö_x0003__x000D_I^@E¡_x0015_a&amp;_@Ö´r$_x000F_¹Y@aiXüaW@_x001C_6æ_è=X@B_x0013_8Ò`@äÈX"_x000C_\\@E·ÜåjY@Üè.@iX@b\Ãhxÿ[@#ú&lt;âÝ_@ª_x001F_Kúe^@AÔ_x000B_`0b@Z*ËÂ`@Òï_x000C_	½&amp;a@æù¼_x0003_ÃüZ@X_x000C__x0001_=¡ª[@á÷z¥ã/a@ìK¬2uW^@æN&lt;£[@_x0001__x0003_0Ü_x0007_ñZ@FOØËÊ`@Î¡v_x0015_*XV@ Ô7c_@Ç_x0016_°]@¼Jõm|a@G_x0008_ïæ_x0004_X@½^óQY@_x0011_ú_x001A_³_@Ñ¤¸N6Z@Ö&gt;_x0018_ç®HZ@_x0012_Ûú]pU@ð[¯1õ_@ðè0ÇS\@_àrU×g@_x0004_~«`@Ê_x0001_Z_x0019_¦V@àÿ_x0002__x0018__x0011_b@úçë+_x0012_g]@WN2cÿ`@oK³_x0011_áÏX@®Êjas¶]@×=&gt;&gt;_x0004_æ^@`Ù6±õ`@/_x0017__x001A_Gí\@B^gÖÈ_x0006_X@ÙÍós_x0002_j[@U_x0015__x0015_Ò"[@¦5 áò}\@/od8_x0013_·\@ãgd!ÔY@pP'_x0001__x0002_Í5a@¸"ì_x0002_(¥c@uiàT&gt;ø\@ÈyõÔZ}X@k`ë¿F¶Z@¡¶¢©¥_x0004_`@ð(´ãT@²¤©[_x0019__x0006_X@Úú -k°b@÷à/ARº`@îÅ"»;\@è_x000B_uïpa@'SÅ­rc@²_x0014_HR9b@_x0010_ÀbÔa@_x0006__x0011_n_x0015_&lt;_x0012_X@_x0006__x0006_ûÍxçT@é[ÿæ#^^@áü~Yx_x001C_Z@ûRß_@À.gÙ§Z@MnÅ³_x000D__x001C_c@ú8_x001B_äHhd@XHcQ@I!ë_x0016_Û_x001F_^@ _x001E_®o»W@ùM_x0015__x0019_'_x0013_[@t2ð+Î_@_x001E_Yj,_x000F_)b@_x0010_RÿN&gt;Ðb@_x000E_	k$ä[@ÜÕU­p[@_x0002__x0003_m4ÔHSëZ@îÑÝ)K^@4%p(x]S@_x000C_ÉÉó-`@-ã_x000F_UXÀ[@	º.5ÂY@¦W_x0017_T!a@fÓ²ÃºÊZ@$O)_x0019_!ÅU@ÂÇaæW@__x000B_JO,Æc@Î·ªÅ±í`@ '0EâV@¥ë_x000B_^_x0001_X@l¯_x001A_ö_x0007_d@ínÐ/9a@ZÛ#Äb@1¿i»_@_x0019__x0013_ô Dç^@_x0013_ÉõR2a@w_tªéb@µ28ºÞ\@+×&amp;öÄÇY@ÜPZÖ%_x001C__@j_x0008_ÊÖsÛh@õïÔß¤\@¨O"_x0013_¹zc@?íÕw_x0008_a@I¾}ýµ_x0004_Z@¨VWÖÎNX@Õ&gt;w¼!_@ô]³Î_x0002__x0008_'c@£+UXï³e@ä;&lt;_x0012_YðY@ø_x0010_T1ô[@Ê¦._x0013_¹$]@g²Û\q_x0017__@Y²³@ì \@JÌª«hb@wÎÊ\R_@ò_x0015_Áy\@6U_x001F_RoØc@÷£è&lt;`@¸(¡©M]@½Ûa_x0005_X@7ÀÕÞ©ë`@[_x0008_/¾ÉW@Äh_x0012_\ja@Û´_x0019_ð\@^_x001B_Ó4_x0007_5Y@GË_x001C_'{P]@nì_x0002__x0006_5W@_x0001_¤_x0003_ãyÚZ@±â_x0008__x0014_§¯]@:iÓ&lt;À_x0001_^@ýkÒ_x0006__x0003_%_@&lt;i_x001C_C_x0018_D\@^ö_x001F__x0019_õå_@&amp;}7'b@áf:¿ [@àSÜZ@ê|_x0004_	ÂX@8ª±c@_x0003__x0005_²ô~ålØX@S·YWê·Z@å+CÝ÷HW@_x000E_v~1î`@ÀQ¤_x0014_5W@Ä_x0001_µû~[@d°¢I^@ÉæÚÆUea@ôi_x0019_®Ü[@áz~¯äb@²0îöV@r¢ìnØ^@h©\ìû`@Þ¯uî,©`@3í`J¤¸b@FVGÿ¸T@ÜéïàY!a@,ð¾ Ö¹`@Ké7ÞUdb@F._x0010_°BY@ ­_x0011_cY@ bX_x0013_ob@N¦°_x0019_fa@ìúÜpt/_@_x0002_Bî	_x0015_,\@ñ±ä¾TQ@Þ_x0012_ÏØ¥_@_x0002_­d=Á!R@71æ5Ka@^o3_x0006_5{^@_x0004_{õE_x0004_á\@ôò_x0001__x0002_fýX@_x0016_@_iLV@36½péÿ[@Ò_x0007_1»[@µe]Î `@ûö]ksr[@\ï _x0006_¯Q@7sxM	c@ jnò	b@_x001B_[i&lt;ÑV@L_x0016__x0016_w£s[@tÝß_x0012_2\@¶Â3ë_@ôµJsÂrZ@ÜÍ_x0010_¿_\@ û}ëm_@­ª£&amp;¥8\@×?¬Øà[@¸óíB_x000C_]@Ù=X8õX@Vª"%C¶X@Ô±ðÍ[@bÜm(WO@nqÛåÐLb@æW w_x001A_Z@S¿Wo{o^@!M_x000C_mÑ^@åWªX±_@ºÞÖ_x001E_`@¦¡y)7[@ìêE-¾9a@-=EKR¹a@_x0003__x0005_EDÉpF¯T@~*\ú|Z@eñA_x001F_äçY@Xö3KkX^@jõzl(CX@¥ãkø_x0001_o^@ãºô^õÀ\@_x0014_7_x0018_kÚêY@þotûUÖS@ßKz_x000B_c@°çBïX@¼aÌ_x0019__x0006_ÕZ@\²_x000C_;LZ@Á]Äm(T@Wçò.°&amp;_@¹2_x0007_[@ï/³)0]@{_x0006_¨@ga[@Ûão_x000D__x0005_a@_x000B_Äb°[`@¤èÆâa@Nãh_x0002_ûQY@h(_x0004_ l]@À}_x0013__x0018_i_x0011_a@ú;Äu_x0012_^@câÞëçY@'¬í¤WL[@»0_x0006_Ä¸ª[@Ã:¢_x000C_Ý[@ãRÀ_x001C_aKX@úà_x0011_£y_@~§&lt;_x0001__x0002_nnb@ÑÐR³*^Y@¥Bä½h[@_x000C_h_x000B_+]@HßÇÛ Y@6i(_x001E_Øk]@ªúÌüZ@hÐ}¤_Y@UÓ+qdÙc@_x0014_=¯`@mqº_x000B_¶æP@_x0002_d*Rd@¼23tõX@@$ýa«ã\@B_x0002_lÅ_x0016_Éa@MyÙþ_x0006_=Y@!É»uç_x001D_`@mtÿ_x001B_b@ª{¶°,[@ò,WÃØPc@ã_x0010_ms_x0019_°[@'ßèTj©^@Øä{-v[@£T_x0005_r-pX@_x0003_gñyî_@¦Ä½V?3P@3_x0010_	íû¾a@_x0019_¾yµ`@|wä  a@A¶_x001A_KÛ^@ó£_x0002_ã^@¦_x0004_éa@_x0002__x0006_úÛ»??[@_x001B_U_x000C_ò_@äüçË^@Ns_x0014_Àz#e@'ØvGZ@ó°³-g_@)dq^}í`@Q_x0016_¾_x0005__x000F__x001B_`@Ðý.ôiU@_x0014_Åì_x000C_Ì	`@Õ&gt;_x0006_®6¦`@_x0004_J³&lt;[e@H-|_x0016_-Å[@®h¸.Z@î{gFF_x0006_`@Í¯S[c@®f_x000C_1_x0005__x0011_a@X×@óÛa@J×èø	Z@î­¦·k`@ÌÏ_x0003_´Ë]@Þ9_x0001_&gt;\@&gt;ú/=oÿ[@1Þ¬HÊT@-zEëë\a@ø ËwÜ`@ -}_x0019_US@üd¨×µþd@@-ù_x0005_2W]@Á»á»ÔQ]@yl³_x0003_ýZ@r¢_x0001__x0005_i:c@Éê_x000E_ê·^@6&gt;ñj\s_@2_x0017_ï´Ã_@5Kâû	^@¾5Ã&gt;Ñ_x001E_^@%Üs_x0014__x0003_b@ÅaÊ­ï·Z@Ç{_x001E_«=^@#XQ_x0001_Í¿Q@¶Í_x001B_ä½b@æLuj#1a@m0Ü6_x000B_¸\@´,¨Í8_@#)~ÚÌì`@+ñÄIæ_@cq´å_x0012_Y@[T¨ XUa@D_x0007_Ç_x0013_³Y@0ç,ÛJ7U@çWO§@]@8ÿ÷_x0004__x001D_[`@áÎ­X@@_x0019_("S@²I*Ûe@_x000F_&amp;8_x0014_à_x0006_]@_x0001__x0002_(I=_x001D_[@=¨+vm^@ïp«/Pca@ìï_x0002_ü_x0019_ìY@^I_x0015_Ã^@k_x001A_ !(^@_x0001__x0002_¹Ëb±$[[@ÔÒ_x0003_+i\@»&amp;_@_x0011_öN:vN[@¼bÓèR]@z8_x0017_¤a@©ü_x0010_¯n ^@Õ·Ô_x001D_a@þ$ð_x0003__x0005__x000F_`@_x0016_#5ZcÇZ@ð¿ãWü\@`÷ú»Ü_x000E_W@ÞÜ_x0012_ànT@h}_x0014_b°'b@_x0014_£QÖ}`@JiÛ_x000F_^@3×5á_x0010__x000C_V@ÚFÅ	æa@¦NEâ}W@öÚ_x0011__²[@;EY»ðU@*W_x0018_´¤Ó`@NÉµ^b@²_x0014_Á_x001F_ôc@ûâgÑð&lt;d@kø: ´b@³üQÌ^aS@_x0006_èLN½^@ªjMø]@½Ö}gÃSd@Á_x001A_]/\@ø¦_x0006__x0007__x0017_Ö`@.Þ_x0016_¡¼ÂX@_x001A__x0004_[`@è«üç)ä^@¸ô÷_x0014_|Y@øÁ*³¸¾]@ZnCdÄ`@_x0011_-êK3öY@0Ä_x0016_Ñ»]@ æjÔý%\@°r@1Z@º_x000D_û_x0006_'_x0013_W@_x001F_p_x000D_oOW@_x001C_à.BK+X@l¿tÊ+w[@à@7æ|M`@ºí_x0017_¡Z@_x0001_Æ_x0002_i b@BSeù/XY@_x0015_mÏ&gt;8_@É[ÑxA_x0017_Z@*_x001A_ã@ËÄ\@µ]lIÊ[@Âp§ËOa@V_x0002_ä¢[X@ÆO¤^@u:Õo*V@cóÞÌ`U@èÆÒ_x000E_ö^@Öç_x0003_Þ_x0005_ß^@ÈVjã.Oe@Ð=ä¹Cª^@_x0002__x0006_:¿ÞíÃ¢[@&gt;_x0003_©+y=]@B_x0010_!_x000F__x0012_X@Ë´Ñæy_@Ú¾å_x001E__x0005_§[@N´_x0015_M4#X@s©X½!^@±®_x000D_,úie@ËK}_x001E_Ñ[@|_x0004__x0019_Þ½V@·*}­ ýa@¬_x000D_{ÚgS@©l7^Ä¾\@_x0012_2zqn»^@¹\!+n_x000C_X@D_x0013_;H®ïb@,GÓVp_@5ð)°5ê^@DBÖA§_x0017_Y@»É4U-dX@_x000F_Å x.éU@¯þ£pÉV@[þ_x000C_5_x0003__@Áïf)*Z@_x0001_[mÐ8v\@_x000D_?_x001F_×ÁJ^@_x0011_¸Å2dd@c?|_x0011_µ\@¯]R£±X@&amp;Sg×a@_x000C__x0013_Ûf¢2Y@_x0003_¦_x0004_É_x0001__x0003_1£U@r_x0018__XÃ¶_@eÎ_x001A_ÏMæV@Åb¨_x0016_¼Ý]@ÄÄÄÀ1j_@agö_x0018_£b@_x000F__x0002_ÁSß_x0012_^@_x0018_èß.Ob@{¦l_x0002__x0012_ØX@_x000D_¢!§Ç[@Ô_x0008_?ó®R[@!c­j¢O[@¿_x0002__x0013_²^@nê¾_x0002_Q^@ìÿ%_x0017_[äZ@R[qtoB]@ú_x0003__x0015_%ñp`@Þh!¥á`@¬	|Pè\@@Ãl·ÁZ_@ ;òTÚ_x0007_b@;`9Ùc@¦òÚ_x000B_Ëî^@fyþîbîX@"Ø'_x001D_c@û_x001A_Ìý5b@_x0019_ì¢Tçc@_x000C_dK3_x0004_;c@)_x0018_¼%Y@ÍÑì×_x000F__x001C_a@°h_x0012_1Ï	Z@X_x0001_ñ_x001D_ÃQb@_x0002__x0003_±C¾ºY@yAgÔ¦%`@_x001F_³1Z`@*ó_x0004_¾Û]@ñ'MfwW@LÁZíhÌ\@ô]·h¢[@&gt;&lt;!´c@ÝÈ1ò[@¯_x0006__x0003_§M`@9_x0001_ºà_x000B_¸^@Ç¯_x0013_+å£a@ð_x0017_JîÖ`@!`¨ÍçöZ@_x0014__x0012_n]ÿÀ\@Í®_x000E_#g[@0Î¶PH`_@L/4¼_x0010_]@,_x001C_ÏF/ò`@¾_x0006_êÝoà]@¶àÝS¡@b@g_x0008_qÇÖ(b@mi_x001F_dù^@éCg\V@Ë*«9Ë_x0015_c@®bÛÀä`@¥_x0007_|_x0001_iQ[@§ÖMY@q&gt;p_x0013_/pV@~FøÆË\@b_x001F_n5]td@t_x001E_)_x0019__x0001__x0002_¬ÛX@ò_è×5ßZ@_x0010_R_x001C_XQ[@_x001E_RwP­[@:Kúòa@õè.VT@¸DF_x001C_üáb@2ÔÞ]@¬ß_x0006_]\@×ugF_x0010_GX@ó¡._x0013_J§W@®ÙX±Ü³X@¦!Æ]VZ[@u_x0017_?`@ a@ÐókEbd@SI_x0012_·ºa@è×å_x001A_d[@åïx_x001D_¼Z@"OjI3`@ÛðW_x0019_ÅY@Æ ­ò_x0002_Åa@¶"O±$7^@@_x0016_êÛÝ§b@¬_x001E_ö^u/V@¿v/â_x0016_+\@üôi2a@YTî5_x0003_\@sÖAlîX@C¢¾¡¾_x0011_X@èÖfèd@Ñ$ÞÜ_x001A_X@_x0002_rÃö,íZ@_x0001__x0002_$ÓG½ãQf@q	$\@`@V½xËJ_x0017_\@9LApÄV@Ð_x001B_ãA_x0006_[@gÏÐ??Y@ykªú=ô_@½K;_x0014_ÑU@Ò=4Ê_x0019__@ÁHñ¢uà_@ã?©_x0004_c@C_x000E_#èû__@Àëî$X@3)vMí_x0008_c@üð_x001D__x0019_e¨`@_x000B_ãLK_x0008__x0012_X@=mÃ!Ha@*1¶¦]@¹¨]ñÜ_x0005_Y@ÙOkXb@Ø_x001D_L®0[@%¡©¦_x0001_`@ÀüÚ¹éY@_x001D_½ýµô_x0007_[@&amp;àÙ*]@0b_x0013__x000C_±&gt;Y@æð±_x001D_P]@G1xÿ_x0003_Ña@6äºGi_x0005_a@_x0006_|j7­_x0010_Y@/¢}¢ `@&gt;A_x001D_ _x0004__x0007_giU@¹_x0001__x0007_=x_@]ôã=×[@pe,+_x0002_`@dSÝðhý_@Ü6Mv]\@½äã½V@_x0018_{H×ôkZ@6NgÛùZ@?ø_x0006_U-d@·Â_x0005_Î`\@Yd³Öþ?a@~]å}_x001B_X@¶­ÇEZ@9³_x0016_aß_x001F_`@_x0003_røN¾V@_x001A_znlßU@Èµïãc@Ø=äù_x0002_b@·ò9cÉS@¬ZFÀ[[@õaªV_x0017_Sa@¾9ZOÑ\@wòà¯?_x001A__@qÏîÆt¨`@jÓVãWbb@,-X©o;b@=0R¿·/`@p_x0004_÷ö%V@`dr­Z@þ_x0015_7W_x0010__x0006_^@(g`øSV@_x0001__x0002_ÆÊ¦ Í«Y@XXÞoÕkW@JÅjRÚa@jÌ_x0011_l,¡X@sÈ³CY@*]&amp;_x0002_{Y@_x0008_Í-Pä|d@_^ºÈ_x0007_y\@èÄÛ_x0001_c[@Á_x0014_z×Ü`@_x0012_¿ßúØ_x001F_b@_x001C_Ï÷·ù¿c@ïëg¯£ÑX@_x001B__x0012_µ¡c@ðÛÏu9[@´_x0002_c3¡[@_x0013_D°5½b@^1üWäÎ[@¥°_x0010_÷Q@¯|{nÜ`@ôý_x0013_tÙd@l6_x0019__x0001__x0008_`@z¡i7jc@ÆÝ_x0003_Oûõ`@×IfÁ6t^@¡ÇÞ?c@òEV´*Ëb@e&amp; ®Ænb@½[ãS=a@ *¤ÅÇ_x001E_]@Õ&gt;»¹Ì×`@ÉÜK_x001E__x0001__x0003_^x`@^?á?±`@ó^5Una@fèºÒKa@Ú^ToP^@·_x000C_zÛa@ã¤5ªø¯a@ì$	+*a@ð93Ê^_x001B_`@Â\Æ5@X@_x0016_éA3_x0011_Z@`Ë¬ÑéZ@_x000F__x001E_1ßÊo[@SÜÛ[Ñð`@)·õä&amp;ÓV@=±ÿ	[@Û?_x0007_{aY@m_x0006_ãuïVb@²&gt;Æ_x0001__x0001_%a@»}Ë_x000E_Ûd^@Nf_x0018_Âa@qa_x0012_5ZO]@VÀ?`@_x001E_Ò_x0012_~0b@âèü½0[@à±NaÒT@ûM_x0019__x0011_i^@Älªx(c@_x0002__x0008_³A»`@Gßÿ¦^@_x0007_ÚfÈX@w^³É_@_x0003__x0005__x0010_­9ºókY@ÍÑGAÁZ@±_x0015_D~§Â]@_x000E_å2Ê±Db@7_x000B_@¬Y@@ì«êÄ¤b@@_x000B_ #égZ@G£æ½Aa@&lt;¦¨8Y]@ì1_x0014_.õ_x0001_Y@ºÏYíf@_x0005_*[P}P@{_x0008__x0003_bºÖa@n?£ËIÐZ@ó§º^@_x0019_¥wD"ùb@UÜ±_x0002_W@Æ_x0008_(_x001D_y¸`@VåU_x001D_4_x0008_`@Í²íûd@_x0006_WÒ£[@jRà_x0004__x0007_U@_x001C_T!ô	 `@+´·§¹¡\@U_x0016_]_x001B_¤Z@t`®8&lt;b@±ËIa"ùZ@j×_x000E_ðïW@Ã± `_x001E__x000F_]@Ô_x000B__x0002_+7§]@Þ2³_x000B_×a@PÐ_x0001__x0003_g¼a@_x0017__x0001__x0014_rp^@¡¬$¸_x0004__x000C_P@T_x0014_èbÚ`@_x0018_ÏÐWóz`@B¶	ÑÌW@_x000D_*4XÎ[@ê|sÚ¥Ñ^@ÏÄ©¿4`@$Ø_x0011_gÏ_@ç¨/IÏ\@ý¾È}`@Ùæ®wY@_x0014_¶ò_x000C_kN[@_x001E_IH_x0016_Z@Ö^Ô^_x0001__@þÆy_x000D_a_@µ`sp_x000D_"`@EaâW@m/ÏZ?`@aÀ,F_x000B_\@ÔGq_x0011_Í_@{ÆÂ}¨Å\@©S6ª-£Y@_x0018_%_x0002_^ÏgZ@_x001E_U_x000D__x000F__x0019_U@rµOÊ½?a@Kë_x0014_nU`@Ò½Áß¥åX@Ãh_x0004__x000E_!\@ÌÖ¹ô_x001E_Z@\_&lt;öq`]@_x0001__x0003_ÒÂçz Ja@+iÄG_@FZ}_x001F_/Ã_@6Pé(_x001D_([@&amp;&lt;&gt;aQ@ç_x0006_ÆÐ`@¯_x0003_´Ú²a@8&lt;Ô%_x0014_¾_@_x0017_lDlÍa@Â_x000F_jÌ_x001D__x001C_Z@Z8%_x0018_XÕ^@þQÊÂV\@_x001E_þåBS`@bP©øch@_x000F_©_x000B_çð^@_x0005_Iæòqb@w¤u_x001F_ _x001B__@?ÇJÍöY@Fç=b[@¤h¸»6E^@q_x0002_´¬_x0018_W@_x000E_/:Z@é_x0014__°¹p^@¶£óáÕ²W@_x0006_Ubj^@äÇ{¡_x000B_þX@koÇ?³Y@¹ßÌ_x001B_þb@Q+íòòFY@ÈP_x000B_0Û[@_x0002_SðR_x0007_a@m£º_x0002__x0005_ìgX@´¢Vz_x0003_Ä[@ù_x0002__x0004_¬º_@H{ÕéiÀ]@Wª4mQ+b@V^£ìX@|_x001C_uÄ6\@é£_x001B_Da@µ¯_x0010_[l_x000F_\@Å$_x0011__x0001__@1-_x0002_Gxd@*""vàãX@k²bkñZ@Ø¾_x0011_=uc]@Á§w=Üc]@x_x001C_õ_x0015_88`@ý/g&gt;Û2`@ÀÒ¼Rêg]@Õ_x0006_,j_x0004_a@Æ4^9,Z@%kñé\â^@(c_x0010_@U@ÜQ_x0019_ã`V@·ÇÖÚÆ_@_x0007__x0003__x0010_¡ùO_@Ê_x000F_{1Tb@(~z[+A`@Îõ_¶ê¦`@Ï1jw@£`@P_x0010_}_x001C_ò_@¹ÂwÖ¼¨W@Ä#¦lg`@_x0002__x0006_`Ë(_x001A_m`@ª_x0019_êBû_x0001_b@eh7Ú+s`@è_x001C_\ÞMW@_x0012_úsgÛZ\@_x0008_Ì"_x0019_Pø`@_x0017_Âå¿^@5©¡$å``@_x001E_9$ppÏ^@D»£_x0013_/¯Q@?§Q¢;g_@ù¦¼_x0004__x0005_b@tA¯8&gt;_@õ_x0016__x0015_,c@_x001F_¸ñ_x0002_»wV@|_x0016_@YýQ@p'Å«±*b@m©_x0003__^@EªÒ6_x0005_­`@Uþ_x0014_j¥V@eã6Ûº[@_x0007_¿ÐAÈ`@ó2:qê¤Q@çi=F1_x0008_a@kð|D]@¨ì Ôÿc@ý¶Ã"K\@m0_x0018_%_x0003_¶b@:v_x0015_âa@_x000E_ó&lt;a¤+]@_x0019_ÉÐRÊL\@½·Rs_x0001__x0002_´ú^@_x0010_ú_x0010_Ý_x001E_]@l»L2yb@ùÕâ_x0008_½a@¨¼¸V\@_x001A_¡Ò40]W@ËX-+¢\@ÜÚ`à_x0008__@_x0013_ÀÆ¿4Y@Îç2ùh^@_x0012_àÔ0s£a@ÛæþJód@oÆu|5ÉV@_x0016_;k%ãa@_x000D_,a?aX@CÒOÕF_x0007__@8_x0005_Ç$c`@$õîÑìÑY@²_x000C_P¢÷X@	n_x000D_ø_x001A_V@_x000E_æÈ_x0004_÷c@çóÀ5`@ Æ_x0019_»÷`]@µzÀéZ[@78æ":`@_x0006_c«_x001B_æga@9DwyÅ½]@ùòÀ#Uv]@ÑA·Q£©_@N~±%¹÷_@tØhÐtîa@_x001C_Ê×_x0006_A¢^@_x0002__x0003_~ÎÛ^@CëöÅ6Sa@Éª_x0012_ùL^@áó_x0010_ì_x0017_h`@ _x001A_Ú_x000C_9`@a_©Ãæ_x0017_X@jí_x0001_'Äa@g´×ÛJT@Ã#_x001B_8!\@äböÚ|\@Ïû7!Z@Ä5¹C§9W@;=Ö©ÿ°Z@Ç_x000E_W´ôî_@¿ïç0þú^@£Þ²Uê4]@»×E¼_x0016_Â[@¶ê_x0002_ +0a@_x0011_ìfBÞ`@iNN~_x0014_Ãa@©­×o]@ëWö_x001A_TÆ]@Ô_x0003_¦ÛR`@Ýdâû¡Ë_@¶yò¸X@_x000C_j¯ÂtI`@ùU©Ë_x0013_\@lÙ¿w_x000E_½^@É¡Ô÷6Y@!J_x0019_~q[@ÆJ\_x0002_-ÝX@³_x000F_öÊ_x0002__x0005_éZ@yÅsRma@í\")_x0006_`@å÷Tq_x000D_ð`@íò_x0001_2VO`@_x0004_î_`´\@\³ÎØ.`@_x0008_ñÞ_x0012_ÕV@ø&lt;0GÏgZ@¾õ_x0002_Þ;±^@6´a_x000E_ýö^@Þ-è_x0007_1kX@¡_x0014_jQ_x001D_ú_@_x0010_VÖ'1&amp;[@_x0005_PX¯C¡\@¯_Ý;ÈY@£"Ü_x0003_ê]@ÞýQ_x000E_®¶Y@§Â¢2ca@7_x0007_Cï@`@©åÝ@_x000D_W[@_x000E_lt¯/U@Z¹­²Z@Æ£ê¨VW@¢ÿH_x000B_Ãa@wq\HÐ\@×µ8´µú`@ñCÅ_x001A_D]@_x001F_ë\a!s^@­¯¯¯Z@-_x0013__x0004_BìQ@_x0013_q+Æ_x000D__x001E_Y@_x0001__x0003_ØÎ9ò_@¼Èl_x001E_§æS@_x0006_\Òè^@¨À'_@¦o~5_x0007_c\@_x001F_¸¾NbW@_x0019__x001B_Í«Ø_x0002_b@`t_x0008_1pyZ@GÒ¼a@'ísû]$c@Pf1_x001C_-\@â¬`_x0014_Ó³b@ß å~ïOc@ x0tgZ@_x0016_t¾¸_x001F_ý]@P~HUUS@ÀêF	ÄJZ@xÞ_x0003_ÅjèV@%%ÌãCY@n_x0006_&amp;7YLU@ôâ{'_x001B_n^@_x0014_pNAVZ@³¯_x0018_ZFa@_x0001_âuî_x000D_Fa@Wì_x000B_"_x0002_\@_x001D_ÿ&lt;Æúù`@rÒ]#V@_x0006_`§Ì _x000D_Y@Atu8ÝUa@¯Ù|ðPS@6y¿NY@±|8x_x0002__x0003_ê!Z@jrcÖXY@á¤mô]Z@_x0010_ÄÂa@IÏìUfÑ`@VÛèê¼å]@_x0013_b»«-c^@X_x001F__x0011_!Þ_x0006_]@a2zÓûT@Ô_x0016_]f´_@_x0001_L~Ø¾`@_x0005_ÛWeq_x0015_b@Ò¥Õ¡ðÇY@r_x0013_ãk²Qd@ÈØ!&lt;M]@´@L_x001D__x000C__@E&amp;g_x0001_(^@À2SØða@x(R_x0001_]_x0018_]@	:ÌÃj5G@gÈ-h¶_@Dý	Ñõ``@:C®_rl`@_x000B_|C_x0005__x0008_ga@b_x000C_'h_x001D_¾_@b/P_x0018_L_@À ±a@;·{¸â\@_x000D_+Ük:@Y@ø$²ß_@_x0012_}Vmµ=[@Ç_x001F_@²Ã]@_x0001__x0002__x000C_ÉÛÌyr\@¨ª_x000F_ }¶b@àA¤óNd@F_Â³Ú_x001C_c@¨IÖà_x0011_¢\@4øÁ£¥^@àÊ¼7bb@J3;#\@f3¡ob@à{Îè¹^@¬¬®ýÃ_@õq&amp;ª±U@_x000C_Ô_x000C__x0001_R¦d@=¹A¡gô_@_x0002_Ë#ìÏ	^@êdÂÚZa@Õ._x000D_-HXa@G_x001C_ÊV@QUµT_x001A_]@_x001E_(-Ë»fU@³ÝFG_x0016_`@_x0001_%é^c@­Ý3Õ[Y@÷.[=ÁX@c_x0008_4uêb@Àâ½¤Õ_x0010_]@¦XU«û]@4a¨&amp;:^@ «ÕÄ_@äÌ%­§3\@_x0012__x0019_0_x0019__x0007__x0004_Y@Núh&lt;_x0002__x0003__x001B_è`@Þu_x0004_!«FV@ñRIþ¤[@°[YCQ0T@_x0001_ö_x0007_ÚkÐY@_x001C_Èó¬óÐ]@D²:tÕ_x0008_^@´-EòñZ@_x0006_ü3j3ÖZ@`ìÆ9î`@IÅ¾P8a@Xí·_x0018_RZ@&amp;â½¹ñ+_@¶:¸)&gt;Ác@ø;_x0002_}&amp;ÔZ@ÄnûQU@MÜÆ]_x0008__x000F_c@_x0001__x0018__x0013_Úu_x0016_a@15É_x001E_¹c@õ ØKÕã_@Jee5ðÕT@¤Âz7S_x000B_e@Î®,I`÷a@¤ÊÆ_x0019_¿¡Y@AJÐ_x0003_^@ ÀFÝòH`@hÄkavS@_x0011_]DÕ_x0007_B\@ÿ÷íp«íb@Ñ&lt;_x000C_âb@äO_x0011_©_x0018_:K@ÄMW¿;T@_x0002__x000D_Øë9ÈÿT@_x0007__x0003_Õ_x0004__x0005_½X@üwý÷\@´(³ùTZ@Åm5 Ýb@È¦¤ýEèc@o&gt;»Èe@_x000C__x0003_Ü«`@Yõx#_x0001_U@ÿ_x001D_V_x0001__x0003_e@¬Äà_x000B__x0003_	Z@÷/_x001C_vÒýU@-¸XMÏ¨b@¬	6/_x0003_Ð\@»ï_x0014_,Àc@®®­_x001D_¸Z@n´_x001D_ÿ6é_@P_x0013_£_x0013_Y@(_(®@òX@_x0017__x0010_~Aú,W@Â_x001E_}7_x0015_z^@'º5EH»^@é©_x000F_Þè°W@ò_x0001_)ø}]@æKôM_x0008_a@&gt;¡ÿy§Y@_x0006_Y¾|$`@_x001D__x0006_ Ä_x0001_íX@_x000F_ÃË}@b@8Íêzu]@³ÅÈâß[@á:_x0008_+_x0006__x0007_u^@P_x0011__x0003_AûX@ãañ¬_x0017_Z@ßle£[@(=_x001B_!w\b@}2£6®)c@c_x0005_\ü®`@?ëICZü]@_x0004_g¦È[ÀY@t²ÍÑÀz[@Îv#­hq`@¡G)tY@¢óô¨´V@éîkùe°a@Ö_x001A_Ú~jc@_x0012__x0002_u&gt;j`@T½åG¡W@w_x0011__x0008_a@i_x0008__x001A_R`DZ@2ª6õ¯\@f&gt;_x001A_3_x001C_W@¸µ,ö_x0012_ùb@Ú9)£_x0007_2`@g§!!ùW@ù®·kt]@fgI8Úäc@Á_x0017_n_x001D_Q@_x0001_TÒ¤Ñ_@xõB2¹U@©_x0017_Â]_x0011_Z@=ï&amp;Îïî`@_x001C_ Ir `\@_x0001__x0004_]_x0002_×ªåY@Q³¨ñÊYY@û¿e\ú_x000E_c@S_x0002__x0008_îY@¼Cû_x001A_&lt;ëW@krQp`b@fèØþkc@_x0012_·_x0003_^@ÇÚC_x0004_½ð^@¦Döl_x000F__@áª¨0·_x0010_\@Ñc	_x0006_E_x000B_c@U :Ì Ùe@ä?"dDî]@_x0001_êî¢Ú(W@U±_x0007_ì_x0005_d@7ì_x0004_ó-c@¸Äm_x0005__x0012_`@l_x0018__x0019_î_x0013_¿`@ì¾¬Ó'i_@s_x0004_ÃòÑ`@ÅMÔ_x0003_âÏW@:_x0004_õ`¨ya@¬]_x001C_u_x0014_±\@-h!_x001A_Ce@.D5ë^@1A¸l2[@ñÞam¡¥a@ðÊ8[@`@}Ù¸&gt;(]@­_x0015_¥Lãb@_x001D_Û½T_x0001__x0002__x0019_óa@Jáæñô]@°_ï¨kBe@)þÙ`@6^3v#b@xú­J_x000F_\@9;³à]@nCDPø:M@êöÃ_x001B_ÐQX@_x000E_I!_x000C_ L\@à_ì²Ä©Q@hüÎá_x0016__x001E_[@Bøó9ªzZ@ZäÿÏõO[@½2Í#Ü]@Gzh^°]@ß1½Ä_x0007_Ìa@Û~ÍÙ ³Z@Èwv]_x0005_]@*ç«(Õb@_x000F_ÛÇé[@Ù`|AáûT@°_x000D_@U[]@Bo_x0008_K¦`@ýÍ*+Ñ`@-Jöd#Y\@Þ"JØÿZ@"²í'G`@¸_x000D_MÎ¥Y@C,«j\@ _x0010_Ûîè_@_x0016_;´u_x0011__x000D_a@_x0001__x0004_»aúl_@¤6,,e@8Tkô[@_x0005_øãýýÝa@¨a_x0002__x0019_Ãó]@¸_x0014_Ën_x0016_a@_x0007__x0010__x0002__x0016_^@_x001C_Ë£®IS@¯/loK_x0005_[@Yõ_x001E_î±Ã\@õß*CLb`@PÒõ¢óub@cyÌ~ôZ@&amp;nÇìêï`@_x0003_ð¦ïô`@­ú©«êUd@0QøaIµa@ô_x0015_ÈêQ@d»ö9W@=ß"s¬X]@ÔôÚ_x0017__x001C_a@bò_x001A_«?V@é_x0003_õF3F`@R!ïêH¨^@_x0012__x000F_Ý`@¤ÀÉ¥[@²I_x0019_£_x001C_7_@4§3_x0014__x0011_ê]@úã|_x001F_zY@,h§Î8Õ[@X6-[_f@NË§_x0001__x0003_Ü_@ÞU_x0019_H¶]@é_qZ_x001B_B^@ÄÔq_x0003_ø[@_x0016_U×rÄ*X@_x000E_Ö_x000D_¼Ä[@pÏ7ïèÅa@SS~_x001A_\@ÕÅi?	È]@S_x000C_&lt;\@¤Ö¹¬&gt;^@Ç$x£ãW@ßÎ å_x000F_¸Y@@;_x0011__x0001__x001B__x001B_\@¯{77T@f¶Cù»­_@¦h_x0007_Ö,\@'`æÓ¸[@ëÞ·nê[@U³²_x000C_~¿`@0_x001F__x0007_~(´]@æ±8.²X@F´_x000B_ù`@/¾wh;_x0002_]@_x0014_ý×ßOW@r¥Lä]@«e×kkd@¶Â½d6`@¾_x001A_&lt;÷áÁY@&gt;H_x0014_æÝ^@´ál_x0005_b@_x001D_[Úô_x0003_ÔY@_x0002__x0004_,$"_x0008_J@i¥/¿b@¡ÝµßA`@*P_x001A_¦-W@ºu }s¦]@®_x001B_ð}®]@_x0008_î_x0010_jU@ÔÕµX#$\@©îÉ_x000B_¯W@w_x0002_ûÝùa@v_x0014_¼^@b¥âZ^@"{ë»Úb@_x0013_Àh_æ	a@M_x0007_M3)]@¬ÒÈ;âXa@Tfn_x0003_L}Y@_x0001_°Ôß²V@°Øó_x0006_ÓZ@×_x0014_½ e­Z@Fva¢_x0011_`@ô%%kâÊ]@[_x0006_ð/+xY@Ò· è¨B`@÷ç$®X@´¹Î_x0019_7º`@H_x0002_-_x0011_Í{b@}*iswµ^@õWÈ(^@»á¼à©a^@Óånq7Z@A~'û_x0002__x0005__x0017_q`@7_x000F_Â_x001E_­]@y:ÏKa]@§õ|]+¡_@&lt;Ú_x0006_KÃÝX@_x001E__x001B_4 _x0001__x0004_^@}ÄÑ6³]@æÖWõôÊ[@&lt;{uè/bT@,­:¾X@ü9¢bè_x0002_^@_x0001_­£Ë\@Gd¢_x001B_´_x0004_`@¥N_{ÂÔb@LÄ¼ÀrÇY@_x0011_x}ó_sV@^©A£"U@¿bÃÔ"V@_x0001_;~_x0001_ä_x001A_Y@F]GP²¶[@_x0015_ÉgÝeð^@ú12_x001A_Æc@]_x0011_^k_x0006_\@_x0012_¨{_x0007_Mõ\@K)QGõ^@JUÎ_x0018_®Nd@_x0013_§ê]@ý¬x¼¨:a@kjó_x001D_½`@m÷dÇ¤_x0003_c@=.õ_x0001_b@+Ëj_x0013_g^@_x0001__x0006_{½é_x0003__x0013_Y@qD%Kß^@Z_x0011_u_x0005_2½X@_x0018_7Z_x000D_V÷`@ªµþ`@ÆþU¥÷\@p_x0010_soFñb@_x001C_£i_x0011_8c@(IíèRRZ@Y_x0008_N_x0003_à¨`@Po]BB_x0005_]@Ü_x001C_uË8_x0012_]@l_x000D_w_x001D_a@}å¨_x0002_[TZ@f«ÝTÑE^@~k=Q¿vQ@ÈUiÞ×ZY@îï_x000C_ä]@ÖÝ¡_x0006_9cR@*y¸$e@Båz+¼Y@_x0008_¡Âc9^@$±p9Ö[@&lt;(	Ëb@(_x0004_@Å_x001B_Þd@rÒKDçX@è_x000D_0¬[@:ÈÛÊã8\@83Ô»È\@£_x0010_¼TNvd@Õ=Ç_x001A_0`@»SUU_x0001__x0002_Ää^@oÓ/V@P£_x001B_äÚ­^@l÷21`@z78DO]@ÅÈ_x0008_Øa`@_x0006_¶_x0014_s´_x000E_a@&lt;_x0018__ÛßZ_@©_x0016_ìD¿[X@LÇÉá2Öb@°jïè`_x001C_W@µ½sc[@!æÄâÕd@pÓ_x0017_N¢X@¸'¾e5`@j¶Ñ_x0016_S@ÄµØ_x0018_²ee@ð\£2na@¡_x0001_lwx`@U.À5RPT@²_x000C_bÕ±Ê`@âK_x0019_^`@C:µkü_x0003_^@Q°Kà4"\@íÚ­dZ@þ=ïcÎY@ÝyT¸*`@bþ_x0010_Û4ÅY@³OÌ_x0013_é)_@'-_x0019_ìÔ»`@0wDQÚ_@J_x001F_`­^èZ@_x0001__x0002_jË£_? _@Té,_x0006_\@2Îh6Y@N½;v³T@8÷uháÉZ@ÈZ_x001A_¯²[@Û401Zè\@_x0006_Þh8³V@¤ZÒÈ_x000D_W@ô;¸°]@Ê}I&amp;Ýb@þU´ëø÷V@Jöö_x0014_gëQ@M1&amp;Æ¶_x001C_b@l=[låõa@-§_x0001_]@¥  2o&lt;_@_x0015_4_x0017_O°Ý_@_x0015_þÐ_x0016_§_x0018_Y@_x001A_£_x0004_¶Å`@½_x000E_u®Z4]@(Î¾Ìf@t_x000E_t´-W@¼ôp`²a@ï;pÛÌ_x0001_[@fâ¢_x0006_	\@)z_x0011_ßÅ]@*Ö_x000C_d:úM@ª_x000E_¬E_x0016_Ê]@¾í_x0012_¡Z@º_x0001_kú_x000B__x0015_[@×Jä_x0002__x0003_¦§d@âÃ|MbNd@ß®*79a@_x0018_Q_x0014_ÞõW@Uc__x001C_÷.`@tN_x000F__x0014_ÑI[@YÙÑa@Z@î_x0002_°_x001D__x0006_ÒX@_x000D__x0018_²Ás_@Ù¼:5`@e9Û¹HüZ@_x0001_ØãÎ_x000C_]@Öõ¦j½ì]@­ìÞõ$`@¨_x0006_ '¹Å[@¬þÄ2p\@Äk­æ$`X@Æi_x0019__x001D_Ö]@Ä_x0010_ÚiA2W@7ÊFÎk[@]_x0010_è4ý`@+-J`r#S@.4©¸Øu`@Êfjºÿèc@~IV]²`@&gt;×ór[@UÜ'ëÎT@uVªû¶|a@_x0012__x0019_uû'd@BÃæ_x0005__x001B_]@dD³_x0014_lY@;3Ñ_x000E_x_x0018_Y@_x0001__x0002_QÂ+ [@ðEµcPv[@_x0006__x001F_!¸µda@óÙî\_x0007_±U@÷V_x001B_Úçua@æòïaí³`@ËÁ_x0007_]T]@¤_x0007_¹~÷}b@o§¯Æyd@_x001C_ÏaI«[@ûx.¨w `@Ô_x001F_ëú~¼W@\%:Ó.ý[@j2á]}ÛX@e´ÒuÈ+`@m¹_x0015_ÉüS@Éã¬tæZ@1¡ä¡jT@bf_x000C_oñëa@#²F­4b@_x0017_ü,Ñb_x001D_Y@Îè!¨Ë`@V"¦´°{\@/¥4#ß[@É_x0013_µÏeZ@ó_x0001_q_x0015_ôU@J¬S_x0011_ý^@_x000C_pù¡íøH@é_x0004_ÒG3b@k?«®å[@¤Ñ_x0006_-_x0018_]@äu;H_x0002__x0003_3__@`Ìì_x0004_Í\@Ô0P«]@;zªÄø(Y@_x000E_D7º_x000C_üW@Ú/_x000F_Eyï`@"UØè\@{°CÈß^@GV_x001F_ÖÞó^@D£º.YY@_x0001_&lt;(/éY@EÀ"iV@µl°?`¢`@ôz°_x000B_N4b@c(ÊèÍ_@Hî?(«S@õ_x000E_lÖµfa@Z9ÿ_x0006_&lt;wY@M²§%¬b@Ðº#\@&amp;Ò\ìO_@Å*_x0012_È_x0013__@ß%Dã\@27Qª~_x0014_b@Ô;è"Í^@LêÏDSY@à7_x0006_àÃ\@_x0018__x0003_(_x001D_Ì¬]@¢Z ì§X@_x0013_3¸¸_x001F_b@À´_x0003_õ:3]@2_x000F_Cd¶mc@_x0001__x0004_6&gt;J_x001E_(ý\@A&lt;çÃû]@¯³lH:´`@Ë×¸4ÒÎ[@Ñ¼TóÈî^@aþ:B_x0006_a@xäf!ô _@vÏ_x0011_gz_\@ûÉâÌF^@ªà_x0018_+b@^´@»^eY@Ò¸Ö y^@÷§ZrÆ^@#þÏ_x000E_Y@ÞÙa@ÞÇ_x0013_Éã[@"D_x000B_Ù_x0017_`@¤xw_x000B_÷`@ìº¯þ_x0016_ÂW@2º-C_x0007_U@Â÷Y{+1]@ªìNB³]@_x001A_B\Ø9Þa@ì×¿ÉR_x000D_`@êË,Û_@ÌÂ_x001F_×_x000F_\@Er&lt;_x0010_kW@-_x001A__x0002_ëa@X_x0001__x001A_9O`@_x001F_/úP`@Ð_x0008_u×¦Âb@_x0003_Âé _x0003__x0004_à\@´ú_x000D_Ü¦R@¿&gt;?_x001D_áá^@_x001F_²&gt;_x0015_^@#í&lt;wçË^@%UpJ¤]@_x001B_®y_x0005_Õ·a@2$ù%ÿ1]@É_x001B_µ:nÎ[@_x0003_Iñ_x001B_Ùr`@Ó_x001F_(v½h`@_x0011_ík{8S@KW\¹cTc@ªó_x001D_(Äb@Y¶gC;_x001E_c@ ³_x0005_­W4]@T3¨&amp;û_x000B_W@õSDo%i]@h_x0012_Q_x001C__x0011_÷a@ìÐ	§S]@+ÛÛ7_x0007_º^@_x001D_÷clå_x0001__@ò_OEØY@3å_x0002_hqb@ú_x000F__x0002_Är_x0018_a@E(È:&gt;"\@ÚÚ¬W@8üóU@©ÖBxè&gt;]@Ó½Qá6S@;á5Dùµ`@_x001B_-®+9·_@_x0005_	X_x0014_{i`ú`@1êfEl{_@ªÿ_x0010__x001D_ã]@¢¦=I÷`@p_x000B_&lt;g¤_x0003_V@å_x0004_Ìæð¾d@¯O%¯_x0002_]@*xø_x0001_ª]@FG_x000F_¼ã\@+1Ü6c@_x0002_ï«_x0006_?`@|¹¥5·b@k9_x001E_íh¯`@¾q¸&amp;¯\@#¼Þ¿ÌüZ@_x001D_©á@sY@çò$èçá_@ì¡Ï_x0005_ñã^@ÒÊEÆ_x000B_X@~pýÙ^^@mD6ADa@ _x000D_ÎRà[@=ù6]@¼$ ÈåZ@ê_x0008_Ê_x0018__x0001_N\@²A_x0004_yí^@	ýÁWt®V@¾©¶&gt;¡&gt;`@f_x0007_ê)eÿ`@¹?æ]@ ;#_x001C_v	_@«_x001A_:_x0002__x0004__x0004_c_@HPÓQ?dd@wÁ_x000B_ÿZ@_x001B_§î_x0003_J¹_@_x001D_ÛÉD1cR@}ó_©a@Aº_x0018_àëa@;X´n+c@ÁQ¢­·éZ@Ô _x0015_ Ìea@wkºÃWe@V»ïR_x0001__x0017_W@è½_x000D_üL`@_x000B_wþ¶Wja@?ùq6^µY@í?,Oñm^@ý_x0015_­_x0015_»r`@pI'Ì¿]b@_x0012_8_x0001_ î\@u®ô^@Q_x0005_ÒÎ `@_x0008_;'Æb@F.ù4_R@_x0018__x0010_ü!,d@-DÒÙ_x000E__@mU`1W@:3_x0016_D|Ò^@¾®_x000E_,s[@´ÍÒv^@K7Ú_x0002_Y@_ä#Nc@´ÕY;+Z@_x0001__x0003_9iSZ@_x0008_j}_x001C_ôÆ[@Z°_x000F_Ë¢o_@F£¼Þ:$f@:ÀN¾_¤X@¼R©ÛZ&gt;^@:%À*&gt;]@3víh_@Ô»¤ó_x0005_©b@ÁÑò­×_x0002_\@«¾c&amp;)]@_x001F_/Ò½?b@Î!Íbµ^b@µ8³ÉÎ]@ÔD_x000F_ãEb@-"_x0012_XÀ_@{¿4-ÛK]@_x0017__x000F_Tµc@ã_x000E_ýïAÞd@Ýqf]_@IÅùï_x0004_æc@Yò_x0002_ÈäZ@JPlÚX@Ê	ê£Ð`@_x0013_ö¿U_x0006_âa@&amp;]}ë6BT@S_x0019_èùyb@½&amp;äN_x0011_a@¹_x0014_H²Öû]@9_x0018_OGc@f~s7¦C`@(_x0012_Qå_x0001__x0002_R	[@Í_x0019__x0014_ZÞY@»¡^@ÌiAg!yR@F_x0002_tÒÙ»]@Vëå¨ÄX@Ñ]×_Ì°X@=sQûH	`@é[_x0018_ÎÒU@úì¥tW@´ÌPU-Ka@_x000F_S³Ùþúa@{o_x0016_ðÆ`@ÁPÄ¶,^@ä¹Å6Y@Öédb@qN Z@jÿA3Q@Á_x001A_K¾¬[@7¿MbÒìb@ûþz·×)b@®X³Ã_x0004_L]@ÁþËL_x000F_W@Ds4~´_x0001_`@w4Ð_x0004_¬c]@;¿¨_x0010_Ú[@_x001E_vò_x001E_a@yØÂÖ_x0016__@AÚ¢_x0016__x0014_b@½Ê°v¬^d@_ÖÖõ¨OS@#_x0010_û1|`@_x0001__x0003_â«x_x0013_i_x0019__@câ »ú`@_x0005_ÁñüÞd@ì_x001B_s¥_x0005_V@Fv²àA²W@_x0005_`_x0006_)UT_@Ò5qz[a@à²ûçx\@ø¿¿,_x001C__x0002_T@7_x0012_{¯-1_@5H1²_@ÒÎ'ú1c@ £L6-¥^@ùzù%_x0014_*S@ÛxßrÖX@_x0015_ø øi\@ûòvxø9a@ËÖ_x000C_ÉS_x0017_Y@É)³ô§c^@]ÒVÛY@¦Òàå_a@}¨ù¡Ä&amp;_@_x000F_)]É¦[@9zàÚºb@noEt&lt;b@_x0001_ô_x0019_n*ÃT@_x000C_§­`@b_x0005_*èl`@Ò~Ü;_x0004_ö`@`5çR_x001E_ a@_x000D_m_x001D__x0013_CQ_@&lt;M«ö_x0001__x0002_M\@À$k¬nW@,±ïol^@Ú-Ù)'_x0012_^@6©§C)|]@¢0rÐV_x001C_`@%(h°[@_x0011_)Hõ^@|9PÂX@ÅU3ÁkL_@ì_x000F_¬2ÊàT@ P0hea@Y_x0015_þ±­1Z@_x001B_zZå{äX@³®_$_x0007__@»¹=AÎ`@¬³¬U:_@&lt;1æ@±«W@Õ¶)I©Íd@Ú1æfô`@7&lt;Fw`@_x000D_õfw0Q[@ÐX£íL7a@BÈl&gt;K§Z@£_x001D__x0011_0v\@Êj_x0015_X@ÿPYaìj_@½¬»sX@ó±Á=!ÚW@KÙ_x0008_þa@¡ïNWÞ%d@ÐFqi_x0014_[@_x0003__x0006_²¯_x0005__x000D_1¿]@}íX_x000F_/_x0004_W@_x0007_p!#[@®u»©Z@}OIS¤a@H~32øW@_x000F_y~_x0001_[]@¯_2rÉ_@_x0018_~,_x0003_íZ@:+ëô_x0010_X@Â_x0014__x0018__x000C_ÊS@è_çh&lt;W`@_x0007_¤ò¸W\@I'RÈc_@ñ_x000F_dh+RZ@Æ¤_x000C_Ë½S@C_x0012_ëy_x0002_X@·UÚ_x0001_nxX@_ØZmx´Y@Ï)¾§:d@)DÑaØR@µ_x0017_ñæ[@oSWF]@ó¿X-§\@&lt;N©©a@_x0012_Õ`^\@i£_x0008__x001B_s[@ð'~_x0007_Ya@A_x0001_Ã_x001D_º¡_@_x000B_n¬ì_x001C_þX@¬_x0007_¬Û0X@r._x0013_G_x0007__x000B_}a@£zö[@ðré£Îd@8w:J]õS@`^ÅB^`@_x0001_ÀA½Ga@Q|_x000D_ií`@_x001A_Ãìº1FY@_x0001_í_x0008_.%²_@£ú.+`@Xç_x0015_^@Üâ2[@2BgÏ^W@oFöÓ_x001B_W@ÕtMßÚ]@_x0003_5¢_x000E_Ã\@_x0006_0	ùúY@ë×ì_x000F_æ^@â-W¼|È_@{_x0018_5ü¸6`@þr»_x0005_.h[@æ¡Ðv&amp;b@_x001C_x	°É]@_x000E_[_x000E_Y)c@_x0004_ìåR_x0014__x000F_Z@ú_x001E_Tö¼_x0013_b@¿Û_x0011_{Sb@ô¹R°¼[@'B4)3\@S¼v0L_x0002_^@Óã¥_x001F_&gt;a@¸_x0008_&gt;=_x001E_b@_x0002__x0004__x0001_Ø0ô`@×å_x0019_YKâZ@_x000E_tsD¹ð`@¿(¡_x000C_	_x0013_b@_x0014__x000D_ hÄõa@M·©_x000C_'Ta@Þ¾_x0005_,a@~0_x0008_ÁÓZ@"ú¥_x0005_ÿP`@(½C®_x0011_}`@Ðí_x0008_þ²_x000C_V@íz¬ËV@%¹@¨]@6FR*Ôb@òÇq­_x0003__x0012_Q@_x0010_åæª_x001B_¡a@.­ÝGG`@	ÅW«¯º[@FÕÿèhzW@Q.x­a@ÎÌ9püM^@Xg½,0^@ú2;%%Y@XË_x001E_ËûY@W9¢;ó[@¨uÒU:a@W_x0005_*]b_@L_x0004__x0002__x0007_Nê^@ð²Küvc@ç^_x0003_Âêµa@ê*_x0001_\@_x0006_,Kï_x0001__x0007_VÄ\@x)Gá®a@_x0005_æRù)Éb@Vã1F_x000D_ÿ`@fãnô&gt;`@_x0010_è_x0014__x0014_rd@f}¸}_x0006_ÏY@_x000D_¶è9l_x001A_[@E´_x0010_,_x0012_b@ 6¹_x0015_^@ ØV(_x001A__x0001__@º_x0011_JÒ7Y@\Nì¯_x0003_Cc@T6K'B]@Ê¥¾6$ìb@ØäY@¾³&gt;_x0012_\@	:· Ã°[@_x0015_Âõ_x0016_]ãZ@_x0016__x0008_®B	r\@_x0002__x0018_s_x000C_©_x001D_\@*"]Ö=`@ér{_x001D_óa@VÒ.Ù¶^@$àÅp_x0005_`@©_x0002_µ_x001D_É`@è@,dÐ]@_x001C_[ZE?Nb@-¹£¼Å`@þä_x0012_RëV@ª4	p_x0004_[@±ÝÓ_x0016_ÌP@_x0001__x0003_Çã{_x0008__x0006_Y@»Çnn¢º]@Kí¼ËsZY@Ãl¦_x0002__x000F_V@VþC¡ºd_@$_x001F_GNa]@º#±âãIa@æ4S±êX@Yþ_x0006_ÏÍZ@Nq¿³c@e-_x0012__x0010_E¦\@_x0008_föõx_@3;x_x0004_ _x001B_`@_x0014_:cî_x0007__x0005__@`ÜQgY@u_x001C_i_x0013_:a@ª6"ývX@_x0003_°h£ûëc@ vÇ/*®a@þeÉëü£_@_x001B__x0010_©_x001A_%ØY@ôSy_x000E__@/_x0014_Ååð^@è&gt;4_x001E_W@stÁ§H]@rx¦³^@¶^H_x0019_´f`@*Ö±_x000C_zc@ vtJeý^@ÜC&amp;³ÁY@µÒ%þa¹W@_x0012_AüI_x0001__x0002__x0007_³\@@=Õ[i_x0015_X@ÀO.o_x0018_Gc@(uY_@©X¥:Eb@ð°U&gt;_x0001_b@pÐ(¶Y@_x0015_&amp;©8 Y@_x000B__x0017_í½Èë[@Æ_x0014_©%ä`@^îÍ_x0010_`@Z¾Ùò8î`@î_x0019_ßÊíYY@Æ_x000D__x0014_"_x0002_U@¾ï|EX@fãü:X@h ³i?_@I5Þß\@ÍW@_@­½ãê_x001C_]@_x0003_2¤ò¬Ì^@,v:é_x0018_U@]áfz/CV@_x0016_ÖÌÌZ@_x0016_iË(ù_@ë¤-û=^S@rÂ£&lt;¤Ýa@Wæiü`@¤_x001A_ú¿ò±W@_x0011_h_x0008_SuåV@ú5_x001D__x0011_Ê]@¦_x0010_«:Uð[@_x0004__x0006_H5LiC*`@¿_x0004_Û_x001A_©`@_x0012_ÀûýiX@»ê¶)ãWc@üîT¿_x0005_a@&lt;-d#ëY@Nx_x0015_å_x001E_»Y@¤pp§._x0011_V@f_x000D_ù&lt;\@ÊÉ&gt;x_x0011_S@øL'83*`@Ñ ¼*Ï)^@a"o`@_x0014_Ëaë3_x0002_`@q·_x0006_M¤3d@^_x0014_ai:c@©yFç2[@W¿P°X@Å_s38^@¸|B_x0011_Y@TÈ Ô×¦Z@Akô3&lt;sV@£_x0019_a{ö!X@xíASDW@£1ðía@d_x001A_B_x0010_U/Y@`vÈÕØá\@_x0011_ï~úûv]@ew}Ê_x0003__@áyZéjÏW@èkò¦ù_x0001_]@YÔ"_x0002__x0006_ÜæQ@ÎÀ²_x0007_O`@®¦¤»Ð(`@Ü(¿Âa^@ô7Dl_x0003_`@«u_x001F__x0011_°_@&amp;·_x000B_uqW@_x001B_ôjÓ&lt;`@)Y¾^@+öî_x000B_ta@Ô¨éãßáX@¶i&amp;î¥Z@&lt;A¡'c@_x0019_c&lt;ða@pârð@Vc@L~TÔF_x000E_a@_x001D_Ö³!]@sæ}}´c@ÁÐ_x0003_²i%a@_x000C__x001F__x001B__x0001_ÎPY@7É¼û*^@Æð£ÜÞ_x0005_S@qS·¤Ð^@_x0001_L_x0004_4_x001C_[@D_%_x0014_&lt;\@_x000F_}[RñZ@eO¥¾y`@eÏéz_x0004_øa@àÜ_x001E_*N[@k_x001B_¬y_x001E_ó_@?_x0003__x0015_×ira@_x0012_äVcÊ`@</t>
  </si>
  <si>
    <t>69c2a2ef7891c8d2d2b700dc9f618a24_x0001__x0002__x0013_süg_x001E_Ë`@£_x001E_xN	®Z@|+sé]_x0013_Y@_x001E_K_x001D_·3Q@_x0014__x0010__x0010_¬u[@dSc@67]@Æ¶ïY]@z®¾þHÊ`@¼±Öÿ¼b@áÙ_x0006_®ùf\@AA`Âÿ_x0013_W@ø1Õ,Å_x0003_V@;=ÄÖ2O`@Ç0«gw_x001C_b@ì.Ù|_x0007_ùW@Ë§&amp;GoLY@Òç¦Uò`@_x0011_ê[@)q&gt;D4¡a@Ëñ_x0016__x0003_UVY@*¯Ú:	ÀX@_x0004_qÍ¤¸]@`£C_x000B_q\@_x0012_)Ý6_x0002_b@Lr(_x0015_F[@÷9_x0001_ÓrdZ@pè3C;]@³ul¶M[@Ê_x0012_^äÅ³Z@¤?öf=å[@EDvç§T@Ú_x0016_P0_x0002_	/¾_@_x0014_Æ+ÙßLe@?þ3YUE`@,ÿ¹D&gt;¯]@ñ_x0016__x001E__x0014_\{[@­_x0001_g9ÿ_x001C_`@3DQ_x0006_5_@fGd_x0003_]_x000D_Y@·)ØúU3b@µ0_x0007_Nña@ò_x0014_Z}@m`@ÝUð¤r&gt;c@l£_x001C_A9\@i_x0005_úÛÁ`@º_x0008_éâX@îYqxU@/Ï,%¬^@P`1OØa@RJö«NaZ@B cKÅ_x0008_a@?_x0017__x0007_dnc@\c_x0018_J£_@_x0013_¡û~ûPY@8£_x001A_SZ@4	_x0004_-ÏZ@À_x000B_â.Ð ^@÷_x0013_³Ø´G`@FI_x001C_kZ@'gú¦]@_x001F_óS&amp;Õ°`@]_x0008__x0010_âe@Ù_x0013_Fë_x0015_\@_x0001__x0002_ÔôïPV@¹_x0006_½Zµa@ÞmNzïZ@Ýô=ûä¢\@BX×¡ØZ@ÕB_x000E_¶_x000E_Ù^@ã_x0008_ c W@-¹EÂª`@*oëwd_x001A_c@i&amp;1ÎªÓ_@Ë­ðÎ¡­[@n¢c?[@ª8ì«±_@è_x0003_ÐoûY@"É¿zìZ@ìí¡Uî]@Hßt]h«d@¤yfÌ_x0016_äY@zq_x001E_/¦·Z@;u¦g¢¯V@#_x0004_£3[e@5_x000F_åj¦U@Ù°(õ^@W"¿{qäb@_x0004_¡9¾~Y@ö_x000C_	{2W@òzx&amp;k`@pÌ ¸¡ëa@Â_x0008__x0010__x001A_Yàd@Jáµ_x0016_ðr]@pÿ`¯4Æ_@_x001E_ëh_x0014__x0001__x0005__x0014_^@¥aê_x000D__x001F_a@¬pö¥jH^@_x0016_õÕä[@b«ö_x000C_ª[@r~ÀÌ²c@ÍFò¬_x001F_{a@:JÙ_x0002__x0004_¯X@¢SrÆkZ@¸ª ¨÷W@öôÂÃa@Åðò7"_x0007_]@ËÚôHÃ\@ß&amp;w_x0012_ç`@î&gt;J_x0014_p`@y]¬|-J]@£Çú%RY@JÞö²Í_x001B_a@$_x000B_[ÉË]@ò¨_x0010__x000F_Q³W@_x000C_h8f&gt;Y@IlãównX@Þ² ß]@=\Í¥­û[@P÷Ò,W@~_x0008_2_x0003_w_x000B_[@_x001C_c`8[e@ÞóDÚ_x001C_Æ`@_x001D__x0019_Ë°£ÖY@DÆÀõ_x0007_`@@Y.Ë_x001A_a@ulm_x0002_~Ýb@_x0001__x0005_X·_x0004_KY@ÀQEla@Lûû+_x001D_R]@0dæpÆb@3í×ûQ&lt;c@9:äu_@_x0017__x000D_uÌS_x0004_[@¸_x001D__x0002_ÂF|_@_x0008_A¬Ía@Âº|_x0019_ö%]@µÌ°oÃa@zdõ5_x0018_a@yúÈ2:W@Ó¾û_x000C_µ¬^@$_x000E_Î`@OZ_x001D_a~c@ÅOµl2/a@Ñd|U@_x0003_uºÂá]@ÔÊh÷^ha@äv_x0006__x000D_Ý_x0005_`@»_x0015_Ga£[@_x0001_ý£Ó4_x0015_d@yò|Q`@7Ò&gt;_x0003_ù`@¢g`¯»\@&lt;ÓsÀ&gt;b@ª_x0010__x0002__x001D_¢X@ì	ÅOÖ_x000E_X@é_x0018_¼Âeg]@_x0008_tÜEP V@Jjè_x0018__x0001__x0006_B`@îTÇº_x0007_\@³Êÿk`_x001F_W@T©òûéY@«_x000E_?ê,Y@OÂ&gt;õlX@_x0015_-'}»b@ò_x0016_xªY@àZ_x0012_B_x0011_4b@mÔöËZ@züâ_x0005_¹_x001C_`@Áï_x0016_e¯,a@ÄsèÑµp]@ºk°1_x001F_Y@9Ç:ÂT[@_x0019_s#_x0013_bÁ[@á_x0011__x0008_àa@5«»}®V@Vüå£S@_x001E_ú_x001E__x001D_¤¾`@\_x001A_Îºu\b@EoL"¢_x001D_`@ÒÇ8_x0005_áta@_x0019_@íý_x0004_Úc@¾S_x001C__x0002__x001D_´`@u¤Da@(òY_x0005_[@o=_x0006_Ü_x0003_a@ÈÀ{±[_@l7¨k·^@_x0005_VuD)`@i_x0002_wd¨gU@_x0002__x0003_2y_x0005_BÒ`@¿oõ÷»J_@½_x001C_;·ç_x001A_^@sß·&amp;I`@®¦@\[@_x001A_öGMFÉ\@¨óÑË2ìa@½]øÍèc@§R_x0013_&lt;bê^@úvp5_x001C_Q@²ðt3]_@*¸jÉçU@Çò°ë]@_x001D_Õ_x0001_tÞ¼`@¼jj±Ô/`@¯ÂóÿÕ[@_x001E_Ä¬÷G_@_x0019_þc^_x0014_³\@Ê_x000E_¨Ëc@;8å_x000D_õ½`@©¹-³ù`@daÉ_x001B_9]@k_x0012_6óf[@OÊö_x001F_b@_x0010_/4¸%X@&gt;" _x0002_&lt;^@_x001F_tR|"\@Ðå]Ùì`@k_x001E_3ýv_x0003_]@_¥_x0010_Ú,[@_x001A_o*µ^@¶$áÕ_x0005__x0007_X'^@Wþ~r°Y@üþé&amp;§vY@No¢Í_x0006_|]@_x0001_®pbZ@È¯8¥_x0003_¦Y@_x0006_&gt;Âr_x0008_çN@_x001C_'¾ª_Ï]@_x0011_j§âxR@Rü6­R\@¶Ò-Ý3_@_x0006_ ÆýhW@&gt;{ì;(åa@ @;ý(W@Yì×èÐ_x001C_`@_x001B_~WÐ¦Àc@¡¹ý_x0008_^ýU@|ã_x0004_U_x001F__@UÎ_x0018_µ(a@Gé(Å?3b@_x001C_:Ó_x000D_­X@^ÏX^@àØ¶)º]@ðÉéT@E05_x0006_)_x0010_X@¨!_x000F_Äa@ñÈ`Ïí[@ª?C_x0015_j`@T«t_x0018_a@_x0003_îÞRç[@'ôbpÛµ\@_x0002_/_x001F_rB]@89}:Ù®&amp;ØU@å@ä_x0013_Å^@[t»Õ£*`@òÙ§è_x0006_P`@_x0001__x0001_88_x0002__x0001_88_x0003__x0001_88_x0004__x0001_88_x0005__x0001_88_x0006__x0001_88_x0007__x0001_88_x0008__x0001_88	_x0001_889_x0001_88_x000B__x0001_88_x000C__x0001_88_x000D__x0001_88_x000E__x0001_88_x000F__x0001_88_x0010__x0001_88_x0011__x0001_88_x0012__x0001_88_x0013__x0001_88_x0014__x0001_88_x0015__x0001_88_x0016__x0001_88_x0017__x0001_88_x0018__x0001_88_x0019__x0001_88_x001A__x0001_88_x001B__x0001_88_x001C__x0001_88_x001D__x0001_88_x001E__x0001_88_x001F__x0001_88 _x0001_88!_x0001_88"_x0001_88#_x0001_88$_x0001_88%_x0001_88&amp;_x0001_88'_x0001_88(_x0001_88)_x0001_88*_x0001_88+_x0001_88,_x0001_88-_x0001_88._x0001_88/_x0001_880_x0001_881_x0001_882_x0001_883_x0001_884_x0001_885_x0001_886_x0001_887_x0001_88_x0002__x0003_8_x0001__x0002__x0002_9_x0001__x0002__x0002_:_x0001__x0002__x0002_;_x0001__x0002__x0002_&lt;_x0001__x0002__x0002_=_x0001__x0002__x0002_&gt;_x0001__x0002__x0002_?_x0001__x0002__x0002_@_x0001__x0002__x0002_A_x0001__x0002__x0002_B_x0001__x0002__x0002_C_x0001__x0002__x0002_D_x0001__x0002__x0002_E_x0001__x0002__x0002_F_x0001__x0002__x0002_G_x0001__x0002__x0002_H_x0001__x0002__x0002_I_x0001__x0002__x0002_J_x0001__x0002__x0002_K_x0001__x0002__x0002_L_x0001__x0002__x0002_M_x0001__x0002__x0002_N_x0001__x0002__x0002_O_x0001__x0002__x0002_P_x0001__x0002__x0002_Q_x0001__x0002__x0002_R_x0001__x0002__x0002_S_x0001__x0002__x0002_T_x0001__x0002__x0002_U_x0001__x0002__x0002_V_x0001__x0002__x0002_W_x0001__x0002__x0002_X_x0001__x0002__x0002_Y_x0001__x0002__x0002_Z_x0001__x0002__x0002_[_x0001__x0002__x0002_\_x0001__x0002__x0002_]_x0001__x0002__x0002_^_x0001__x0002__x0002___x0001__x0002__x0002_`_x0001__x0002__x0002_a_x0001__x0002__x0002_b_x0001__x0002__x0002_c_x0001__x0002__x0002_d_x0001__x0002__x0002_e_x0001__x0002__x0002_f_x0001__x0002__x0002_g_x0001__x0002__x0002_h_x0001__x0002__x0002_i_x0001__x0002__x0002_j_x0001__x0002__x0002_k_x0001__x0002__x0002_l_x0001__x0002__x0002_m_x0001__x0002__x0002_n_x0001__x0002__x0002_o_x0001__x0002__x0002_p_x0001__x0002__x0002_q_x0001__x0002__x0002_r_x0001__x0002__x0002_s_x0001__x0002__x0002_t_x0001__x0002__x0002_u_x0001__x0002__x0002_v_x0001__x0002__x0002__x0003__x0007_w_x0001__x0003__x0003_x_x0001__x0003__x0003_y_x0001__x0003__x0003_z_x0001__x0003__x0003_{_x0001__x0003__x0003_|_x0001__x0003__x0003_~_x0001__x0003__x0003_ýÿÿÿ_x0001__x0003__x0003__x0001__x0003__x0003_vï¹i_x001E_í_@$[ßfÖW@k"°èJò\@íððH½`@ûwH_x0004_ó)]@³Ð°I\@Y_x001E_§¹Z@3PX@6åWÌ^@KU_x0014_½¸_@äd%ý_x0015_[@_x000D_5O=Úë`@ãbî_x0008_[@\z_x000F_k8¹Z@óõ=Þw_x0003_`@¾_x0019_òýr_@ÞTûî×u`@XôÝ'lØU@cü¥à_x0011__\@8öÒÑ_x0006_b@Éª_x000C_º_x0012_S@Ø_x001A_¤;Ã`@×0?_x0005_ßc@Þ©_x001D_â¿R@fïÏ*_x0002_^@dp¦¥ÒÛb@Ü½fÆ_x0001__x0002_0ÐV@Ý÷³_x001F_\@ûajI_x001C_¥X@_x0019_;Ãí_x000B__x001A_a@®_x0008__x000F_sÉ`^@I7ë'ÖDY@.îË¶Û\@so§|ñ[@_x001B_&lt;¡¦æw^@Î Ãï_x0004_ÉV@/r4Å_x000B_[@Ã_x001C_¥_x000E_0t\@D|Vïþ_@ÇgK·'b@5edØò\@3Ö%åÍZ@õÇmÔ\@òüÖÄBÊ_@Ô?Ñü_x0010_Òa@_x000B_'å½0F]@D_x0006_{k*``@Tµ"V\o_@~\_7¼Ã_@äÊFÁó\@ÁUpuQ|a@ï¥8ÓP-[@ÖXÐrÃ÷Y@¾à3é¶­^@O$øÎÊÛb@ßÙ`à`@áì'=åÎZ@ºKî;+ãc@_x0001__x0002__x0001_Ã_x0012_Uïfa@ÐVÏ)8a@_x0017_Mc_x0005_^@_x001D_²Txøc@[_x001E_ÉØ}Èa@ø¸c«î`@;_x001B_½Oe^@}üQ_x0008_NZ\@·ÈÎ½_x0010_)\@`i¢æv_@ª&amp;FÎ^¡e@ÐqdG»¡R@g&lt;±tÁBa@ïSz ¿a@ »672_X@äÎ¶YýÀ]@´_x0011_â9ý`@H³gG_x0001_b@r`_x000E_&gt;U_a@³"HðF^@B_x0016_û_x001E_S@±_x0005_äCõ+`@÷¶52_x000E_¦a@äv;ÔF×Z@~K_x0018_®_ÅW@½$¹@¨_x000C_W@jPì7zZ@ú(DJ_x0004_^@z_x0005_³fõ[@_x0007_w%_x0014_±[@µÌ"7_x0018_[`@T=_x0003__x0007_8`@Îw&lt;ª¶T@_x0005_E¬Ê`@hÂ÷Þ#Y@¸_x0019_m&lt;_x001E_Z@÷.å¥_x0015_c@ê³ïU@_x0008_U&gt;_x000F_MY@ë4¥§_x0007_ÜT@H_x0014_²ÃNb@¥íÊqa@_x000D_cd_x001E_·_@îN) ¾ñW@_x0008_ÿæª_x001D_°c@Î_x000D_~%_x001D__@»øÜìò®Z@ñÀ/_x0019_~ØY@Dªg«_x0004_q_@tWßìÄa@h¯çrCua@$Ù;X¶ÕZ@u´/ß-Z@®?Bo_x0010_Ób@_x0010__x0013_°_x0016_F[@_x001C_f_x0002_ÜX@_x0003_®_x0001_(b@f®ÍiÅV@XÍ¼_x0006_`@_x0007_û·û_x0013_U@*ZL`÷a@¢.ÅIÆ|`@:þÓ_x0002_H]@_x0001__x0004_äXª-õZ@,e"_x0017_W@èuÏñb@A#_x0002_¢áV@bë70×\@Z_x0014_#³_x0002_Z@åV?¯_x0017_£b@q³´_x0002_Yk]@¬8äyL[@_x0007__x0017_ÓÖ\@EvÞñ_x0006_2b@ÊBR_x0003_©X@3äö_x0004_{_x0004_a@z^ø"ð¯\@Ñ_x0019_úq?@c@kN+ß!_@çë~ýNX@,Hå_x001A_äìZ@_Q\L=_@/èàXU@*áS_x0011_Y@ì-9½Y@1_x0011_ÅÀVSa@¢#ñ¾ÉZ@¹ó_x0008__x0006__x0007_àa@á9Haßa@Ê_x000B_!¤_x001D_\@ê_x000B_n']U@·lÈ©FW@O¶væM[@eçv_x0012_Ïò[@_x0019_hâ__x0003__x0004_tN\@ºÎ_x0019_ë¶_x001F_^@ð_x0012_r®ba@c­ósS@,õ©ÞX@_x000F_Â±Ð*`@Àz_x0010_0Î`@âv¶_x000C_½¨^@~õ_x0006_ì_x0016_X@=¼_x0017_-3[@ëTãµµX@ö7_x0004_kW@µ@_x0019_|?^[@wÇvË§»_@éYØãT[@°jâ&lt;÷¿a@ðÎOjb@Ír	À¢`@²à_x0012_¶§aV@ú6 :âV@ÞÍæ_x0010__x000D_a@éïéÑþ_x0001__@PX_x0002_çµ"W@êä._x0001__@&lt;NzÕY_x0004_[@_x0017__x001C_{p6[Y@$'Í]XW@y_x001C_ºb@¦L_x000D_ïláZ@_x000B_Âü:Vä]@ã1T¿a@&lt;Ò¯xIÉ\@_x0001__x0002__jxSW^@èºÚ³lb@;IÙpa%[@:-xY­W@_x0002_«SÍT@|dOxÑ9b@à_x000D_v!ió\@¹,~EMY@_x0012_&lt;±(´X@àþr_x0013_[@Ð¸h_x0018_ Ô]@åÙ_x0007_Èì)d@Y_x0011_ÄøZ@_x0001_þpÙ_x0007_[@ùaj-W^@SÅ¯Êñ]@&gt;;%å©a@_x000E__x0011_\@_x0014__x000F_Ñ ÀJ[@ëç	íâ^@/6µ_x0017_WV@¹_x0015_ñ`@?ft·Aaa@eÝ×À#W`@_x0004_mëG§W@¢iä[_x001F__x000D__@|_x001E__x0015_Ù¼çY@½Ð&amp;«M[@a'mÖ5X@_x0004__x001B_ÿ=¡_x001A_`@"&lt;:&gt;_x000F__@/_x001A__x000C_â_x0002__x0003_ora@QÄ¹[^@¨&lt;BåÃáZ@_x0004__x0001_Ö&gt;$Z@ýßÓ5X@_x000B__x0014__x0010__x0019_Ù_x0003_b@hd)$_x000D__x0001_d@ºpê«íÝ`@ST_x0008_m_x001B_Q@¥2ëÌ"M\@&lt;7w kc@¡¡]vlc@axå-pc@ù1V?¼^]@XT­ÌL^@_x001C_ëIðè_x001F_\@_x0012_Â_x0004_}l^@X_x0012_ÇüV@tí!ÁNZ@vËw/¡`@ÄQ_x0018_SX@lP\5¥_@_x000C_°	NÚR^@õôÈ¸Ï^@Ô;ÚYÇb@B_x0001_Å\_x0011_\@*ò]_x0001_#úb@Û¤]õ4ü[@_x000F_YÈ¼Ý]@®Ù_x0013_,'_@±!³Ä*éa@ø6xÐ\@_x0004__x0006_Úª_x0014_dÃQ@óËÔ)Vb@øi0j«b@åÅ&lt;Ì^@M_x000E__x0018_T_x001E_­Z@ßÈd¢"Ìa@DF7$@Y@õùøb@H9dj3eY@X K½c_x0010_a@ÄÏ2Ï¢\@ã:XËÿZ@	¼¦¾0Q@6¤£1®C\@k¥%¬_x0001_·[@ÎR._x0017__x0016_^@_x0002_`(É¶_x001B_Z@QiÀ_x0003_§È]@_x0004_I|ÞÙ8\@oöß#[@tè¸¥_x0005_Z@þïV¡TZ[@Ò¸õÍ_x0017_e@@ÞQ©_x001F_Y@:_x000E__x000B__x000E_c*\@®xb:/]@Wh_x0015_®_x0011_.`@°Í¦Åþ[@Z_x0017_P5ç\@ª§ËÛ%ð[@Öá.?¹òc@ty¼_x0001__x0006_í_@ôG_x0003_"_x0006_Ì^@_x0008_úÈRÅX@Ì9à¥4ðW@ÈT_x000D_ö!_x0002_P@¢ç÷ äºb@ü@ÍÚ¬Îa@°ù¬m_x0012_®b@_eJÆQlb@³'AË;X@§_x0004_÷üb@óçb.JÓ_@Ñ¤¡ë_x001B_Y`@»Ð_x0007__x000C_øN@4*~Ýt]@5Ù*Z@&amp;»Úñïb@*_x0019_DË0u_@uÙ6Ïña@t¶ýçs_x0004_R@DM¾%nZ@³u§w¤X@a%Ë_x0005_ìa@z_x001C_d^´Z@ë`d¹í[@Y^Ç!^|a@_x0018_HWA×_@jÆ¬TÅc@]¾÷O_x000E_r_@Dlo_x0011_T@)ì3ßd@@äl2ß`@_x0001__x0003_/Ú_x0004_·^a@_x000E_A$&amp;a@À&gt;%ÈQ\@f_x000B_©ð'c@iXÉtk^@kø|.)_@¤ß7ö"ûW@\_x001B_Ï S@ú1m_x000D_³Y@Ã}âé_x000B_a@Ì]Lb_x0018_î[@TÖÖ_x0014__x0019_*^@&amp;_x0014_ êu]@`òkb@*B\õ4_x0002_^@ù_¤orY@_x0008_d_x0004_?ùFa@Qñ_x001A_¹M_x0013_`@¸'Çx*X@·Åê/^`@_x001E_Çß_x0002_©a@Eß¾_x0016_H©`@[àj_x0012__X@áhE®[@¹_x0015_d_x0016_6áa@^Ug`@ªêGX9_x0004_c@JÆÚ°\@È_x001E__x0008_0àV@w¥&lt;=	=_@_x0018__x001D_³w	&lt;c@µ.½Ì_x0004__x0005_àY@Óüî_x0007_õôZ@:öo/_x0003_Ïc@_x0006_ßê"ob@~øzXÄX_@4c÷Íq¦^@ôKªy|]@x*_x0007_X¾lW@ÙX£Ã_@GFçº°G`@v_x001E__x000B_&amp;b@¢_x0006_á¥Ï `@éx_x0001_KÒèa@_x001C_òÏ^]@_x0008_Õ_x0018_v/_@L±EY@!ÖZ¨G`@?_x001E_P6³T@Ï´ìz±`@W_x000B__x001E_`@=a_x001A_r?]@¹ÜÈTsfX@)¢_x0019_M_x000C_¼X@]$jßld@¢ñÞÏªÏV@«¢_x001E_O_@Áv©µ|ù]@É*%_x0015_Thd@+-_x000B_¥Ed@,M¸×[¾Y@fÔ­·^@a-_x0002_]_x001F_p_@_x000B__x000C_Ìò_x0019_d1g_@uqÄ«ê\@Ð_x0006_`ö¤8V@Õx¼Ö@ÝY@§Æ¬ÄL\@Ìÿ(î2ne@`Õp¹¯^@¿_x000F_Ó_x0014__x0008_¡`@É_x0007_1òa@ªQ 3_x0017_Ñ`@°0BªÏ`@Îf_x0008_Ð£c@[)Glc@ÓzÝ*?_@"_x0003_Íüd'Y@ýg2ê§Ê^@ûà_x0007_az_@	øFua@~_x0007_i_x000D_hR@¼õR¸d@O {_x0002_Åb@¿(°á9]@Üô_x0001_iÂ©`@Ø¼ã#_x0004_¢`@t@+Ee_x0006__@R©H_x0005_rU@F¼'0¼^@½üøJÉÃQ@\óï#_x0019_`@vJÚfX@[pï&amp;ÉT@42Ä@_x0002__x0003_¯&lt;\@µ+@~Y¾Y@öY_x001D_hÆ`@0_x0012__x001C_ÀRc@­7ª¦Þ^@Ö_x001E__x0005_4_x001B_ça@»?¢O_x0011_^@ú&gt;*ÒûÝ^@ÉJ\'ÀÚa@¾ø1ó6_V@´¢±ÀW@PD_x0019_°_x0006__@r5¥¡I=b@Þô;Þý^@Hþ_x0003_g_x000B_O`@Fð_x0013__x0003__x0004_¦T@KÃó]ka@_x001D_5b{|[@ò}7{hÆZ@2¯_x0008__x0008_´_x0010_`@n° _x0002_ª6b@mFÆöla@Ý_x0012_Ö7³b@+L-_x001A_8¿U@\ÛX?_x0018_^@º_x0018_Âq×]@Â_x0001_è~B°b@¿Nk bb@I&lt;éïV@.¡=rH&lt;b@Øál¥Ü`@¹[Ã[LZ`@_x0002__x0003_$4,_x0014_ì`@úÌ¨íDR@]ìûû_@$^KXk_@Yâ_x0015_üôOf@â@{'¸Y@Æ©üyG@r2í}_x0004_3Z@5|WÕ@ê]@&amp;¬{_x0012_r_@ÿndÎ_x0008_|X@£A"wãY@¬ÉF©pÍR@ËÎøÄJÀb@4&lt;Èª_x0002_Z@¸Ú_x000F_'ë»`@L½_x001B_4l[@XC«ÿà9\@LEçoV@û~_x000E_~_@¾Y_x000B_Ri_x0005_b@@AýgX@MÆví^@Ê@Ù_x001A_æ£Z@GºïdErZ@`_x0006_§è_x001B_^@+°È÷_x0001_C[@åK_x001D_ëûÝ]@ò¸k_x0002_B\@H_x001D_¼é°ÆU@*ë_x0017_`·â^@&lt;}Ýb_x0001__x0005_Ü¥\@'"*R'Z@@Á_x0005_ßÛûZ@g#¿ÝÇV@_x0017_Ã_x0002_v`@ÌðÀE_x001E_ T@e3_x0010__x0015_}­`@Ý_x0004__pÿW@ÉJá{Þ\@©/P_x0018_¶a@_x0008_¯ïtÞ_x000D_S@}6R,c@0º´¿_x0010_Üb@L\'pº\@U*á5`@S×_x0005_ÖÆ[@Fõåd_x0004_[@&lt;Æ_x0015_®ëì\@_x0006_Ñ_x0001_j¿Ô`@qÖ_x0003_Øc[@ã_x0003__x0013_`¤ST@"Ó°MCT@èw_i_x000B_­e@à91oU`@¹T_x001A_ÕºY@_x000E_ô0l_x000F_)V@òß_x0015_ÐW@'_x000D_`+þR^@	À¦4ëZ@¿*Û©_x000D_^@`³Ãë¿\c@â" _x0003__x0013_§`@_x0001__x0002_¶s 7_x0010__x001A_]@ç¯^oMå_@¬GdS_x0006__x001D_W@ Þ=ä{\@ªCia§ºa@úc­_x0014_L²Y@YÓð_x000D_\@_x0015_OX_x000B__x0019__@ãØwÔþ¼\@Æ»uè_x000F_\@_x0001_Ã-O¶`@	_x0011_ÍêQ\@áê%½Ó_x000D_e@$^_x000E_òaZ@'I&gt;®ajc@°ú:oI_x001D_`@ØÑ"dg`@Ç²{¿¡Ça@Ñ}97ÿ]@{îoS@ygÿ·c@1nÑ¦°W@_x000F_øáÎ±V@'ÍéWab@_x000C_éDo_x0018_þ_@_x001B_sÐBMQ^@¶ÔûÐ­¦a@×_x0017__x0017__x001A__x0011_Ó^@Ð¥bã_@%¾âÑ²XZ@f£çß_x0008_`@ÍK¸_x000C__x0002__x0003_Üb@_x001F_5_x0011__x000D_ËCY@%r!&amp;_x0006_a@Í*ZÆc^@0_x0013__x001F_ã\[X@ïUä%@°_@¸_x001D_}±3c]@~®Òá%a@ò`­×ò[@4ðZÔV``@¸óSa@t¢0h_x001F_{^@Êæ_x001F_5í\@Ð³3¥ªëX@!ù|Já_x0017_a@À={=¹]@Mµ_x0018_Ò_x0002_b@.É¹ÑÔ`@Èôa_x001B_\@_x0017_:_x0004_?èR^@¯Hæ_x0006_áZ@_x0004_ª![_x0010__x000E_W@åóÃJÉ_`@_x001B_+BöY@ëò*ÍyÓb@8W0Üa@_Ô®5mLZ@_x001D_±_x0001_Nu]@_x0016_jaþz&gt;a@_x0007_Ün_x0001_Ób@_x001B_f_x0011__x0017_fUa@U/Â_x0001__x000E_³V@_x0001__x0002_b_x0002_ibÅW@Xófÿøc@Íóy"¥_x001E_]@1{o1â³]@Øï¤þyÆ^@¼_x0017__x0016_{W@ØÿºøMd@[¹Ç&amp;ð_x000F_V@µNCcå^d@ª_x0008__x0002__x0004_Úÿ^@ê×FNY@¸'Ø(ÆF^@_ÒÍÐÂDa@¿ L_x0018_ê^@	ðËg&lt;#`@Fº_x0013_¨¿\@_x001E_àWÃºb@o_x001B_f#¨D[@cüV¡LÁa@xÅËªØ]@&amp;uñîÍY@Ê_x0006__x001F_MµW@xh5_x0015_ÎØ`@Ô_x0016_	§:,_@r¥_x001C__x0014_°á\@#JV_x000E_|Ý_@}æn'O-c@É _]_x000E_£b@ÿëú£X@À&gt;ìëe"b@_x001D__x0001_5*ñ]@ÚVí¬_x0002__x0004_^ÔY@ÛzõT¥k`@â_x0004__x0003_k^@.ßåEM9Y@t}çU_x0007_BZ@#(ó,&gt;c@3á_x0001_ÿ2·^@ýi6G_x0016_ð]@æwa&gt;áY@8`S¹wì_@_x0011_'ä ï³W@Óõ%ùJZ@ÄüºzmÙV@&lt;¢_x001A___x0001_Z@'ZoP®_@â_x0018_±}Y@.¿²áäÔa@9s&gt;_x0015_î_x0004_`@_x001D_Ì&lt;¢_x0011_¸`@	f_x0010_{_x0012_¶^@[®_x0007_ºDHb@ -0_x001B__x001A_b@dÎ_ÈN^@D¨É_x0010_ÚjY@L%%ôúW@d¬hR@fzåþâ©a@%²[_x001B_U[@4Ø3¿lR@ûïH¿JâW@]2OlJç]@X-&lt;ãæÙ_@_x0001__x0004_þ±_x0014_¸é[@Eá8þ÷V@`ÕDý|_x0003_d@ÇV_x001F_hw`@GÍ	Yba@Ïoî_Ç_x0016_\@º.=z3_@i6YäälW@_x0018__x0002_ Äb@ûå«YßX@Uáúìéºb@sp_x0005__x000C_È:^@®GA'_x001A__@TËv8ÐÙU@Ñ_x0017_½ÒÌ[@_x0008_ÝÞÅ_x001A_X@ÀV&gt;¤ùT@ô)J³|_@õW_x001C_Ckka@³ç7.RÎ_@p_x0006_´p.ka@_x0014_¤½Gqc@2_x000E_\_x0016__x0018_`@W!¶a+_x0015_Y@X4P95&amp;\@,_x0002_Ô_x0002_Ã¢\@p?_x000F_¾_Z^@¿Â¯¿-`@Ð»¥¤2_x0002_[@_x001B_´+_x000D_s?b@ÆCû-`1W@Z_x0007_èõ_x0002__x0003_»Q_@_ÁZy:^\@_x001D_Ûw_x001C_\@!NÚáb@¹i×_@ºR±#¸|S@S¢É_x0014_!ô[@dÀ)ê"LW@êPÈÅ/W@»ü7ó[]@'Y@Ì¢Y@'MÞÚcd@dzµÿ÷_x0019_b@}³Zc»`@$÷ -UïW@&amp;ÜbÂ_x001C_X@3ÓûM`@&lt;°_x000F_¨êD_@cõ|_x0001_Z@_x001C_ÝÚ{b@M_x000C_Åþt]@K:jO¾¾R@±Æ1´£»O@TLhw]b@kñºï]X@©S¢$é_x0012_]@ú/ðb@äAÐ_x001C_×mU@C_x0004_¥Ê]Y^@"-úï~_x0005_c@Ì0Ï¤&lt;[@l\©_x0018_`@_x0001__x0002_Ü²:7\ L@G_x001D_§íuZ@_x001E_Ú?ÇtP@¼åýpsú]@y:ÛøX@³üô­À_@_x001C_Ûj¦ø_Z@òø®Aô£a@¢³¤ïOc_@jÂÝCGÊ^@Ffª&gt;Ø_@ û:å_x000F_Ç`@B_x0007_BPQZ@p_x0016_¤'ü]@Éª²_x000D_FjU@Ljfl±¯U@-ðáz7ìY@;nCx_x000F_b@¡´íié[@udQU®_@s	û__x0016_]@ûbS_x0008__x0006_M`@&lt;_x0015_REX@òv4_@pNºÂÄ[@¦µ«÷g_@*ÏªWPU@ÈÙ)@®Èa@±ÿ=¯8\@/:ö 1j^@/¨]Ý\@.q·ó_x0001__x0003_2ÒU@&amp;_x0013_,ò`@{_x0007__x000F_2Èoc@_x000C__x0003_wª`@õ¿Ý4X@Ln&amp;ê6]@¡_x0006_¾ÀA_x0001_c@kDB_x0010_¦b@þ£4M!·b@hå_x0014__x001E__x001F_Y@_x000B_ªO¾`@-óÙj¨_x000E_`@äY&lt;$s`@0Ív_x0011_Ü°W@Yl&amp;k_x0003_Ë[@Íç%@ÌõY@+­I*_x001F_Z@V±ÂÂNè_@ÅA8;_x0017__x0019_`@ÜÂ_x000D_ìK`@Hm¿_x0013_db@_x0010__x0018_È!a@HöeÉLa@¹8ùcZ@!©Hjc@Nî¦!a@_x001E__x000D__x0014_&gt;ä]@ômX3G\@j_x0002__x0019_,ßYX@ '2Ú_x001B_Øa@+_x001A_*Ãtù_@zaÇw°Z@_x0002__x0007_â_x0006_Ó,&lt;Å`@_x0006_ÛðØÏÓ[@.WfV§Z@n!u¨Ða@¢n_x0007_lU@GRQ(_x0005_ja@nksUÚ©`@­mûé]@aàÇÿ¢_x001D_T@°çZ-_x0010__x0010_^@Ù¥É_x0013_OÉ\@_x0012_¦_x0016_[_x0003_]@Ù_x0001_Ý²6_x0008_`@BÓ_x001A_\ÜÔa@Ç»n_x001C_Sô[@Íð_x001E_oþØW@êìªl_x0014_u[@%_x0004_þÎ|¨\@Zª¸^Ø\@ð®Ì²ÈÂ[@ua¿½1_Z@´bpþÝdZ@M¹t½w_@-¹ýùnÏ]@-þÂøa@lò _x001F_c@_x0015_[ä+id@%Ì _x0012_×_@Àl	Ã_x0015_`@å'=ò_x0012_ó]@T8_x0018_q_x000F__@É§qù_x0002__x0003_¥âZ@W!_x0014_Ð,Ýb@ÿÂ._x0001_¨`@"áD_x0014_c@¥wç§³!`@£ÀàúAT@TÈö_x001A_èÉ`@ðY6%çY@vDiw6W@ÕUß~%X@ÿV_x0004_kGÇ^@A»_[_x0010_M[@Ìf{¦:[@@=_x0018_~(Vb@4PFò^¼Y@cÍå±ÂV@îl¼cÎT@þ-_x0012__x0001_T@±G¨Ã²_x0002_Z@áö»_x0001__x0014_]@Hdµ9ÚZ@#}5ãU	`@Mí/^a@_x0014_Êºx_x0001_e@@ÕL_x0011__x0012_\@LaÊìP@­ÀA½Gd@à-wI/`@¢I_x0007_jø[@â±_x0012_Èv^@Èo1Í¤`@ß©¯Ìì.[@_x0002__x0004_TÞT¿°b`@!5äÓ_x0015_^@è_x0014_@t_x000F_Z@"ÚÓ%êS@(KøVY\@Ée	_x000F_´[@|~½tâZ@`ù_x001F_¼rEZ@e;_x001F_[Q&gt;d@õ³ßÃób@&amp;ä5%×´[@âåNñgYb@W¥Éøº\@(8i_x0006__x0017__@Æ&gt;ý'§N@©Ñ_x0017_/6Í[@LiÐi_x0001_òa@\_x0004_PMý\@|]SÔ_x0008__x000C_\@A_x000C_r¬¬ða@|I=_x001E_âç^@~uJä:b@¿Ähÿ_x0003_Û`@Ü0NÇ{ØQ@:2©+`[@34¯¯V_x000D_[@_x001D_Áçü6.X@vÚ,å×`@+D·{ÖX@©g``@:ÍÛÂ¹üb@u_¢_x001C__x0003__x0004_IµY@Jeen÷»Y@Ëº¬À^@À¹_§äX@_x001A_&gt;Ð±xa@#@ÿî]@®¶ÔXm_x0012_b@ÇO_x0004_êo\@w¿y$`@ÚÆÆ_x000F_YîY@fµVñµ§_@ôÆºæ0Y@½úr2Òa@k¡w_x0017_þ[@*?_x0014_0x§_@w¤¾æ^@_x0019_ ´Õò"`@ZÄ«_x0001_ÁÔ[@v,\_ÙµY@Nåÿ_x0018_Å²f@RD(_x0008_Ñb@_x0008_[@çªáZQ[@|hø°_x0007_]@_x0008_%hÜ9\c@\fÎU!S\@?þ=îZ@ê#Òdý¦[@\UÖ­Y¡a@ ¦_x0002_Îb@¯^¤ùè_x0007_[@áÓ_x000D_õä]@_x0003__x0004_ÚxÛÙY\@_x0007_q_x0019_P_x0004_d@á_x000E_Á3OV\@aÛ]_x0011_N\@s_x0015_TäÒc`@¤FràL[@þÙ&amp;yv_x001E_\@_x001A_4È8h^@_x0001_ÏóÄI§\@_x0019__x0011_O¿¬`@Õ­;ä¦ôa@_x000C_½_x001F_Á\@jX³_x001C_­]@è_x000C_Æ*Ïa@ªàD×²&lt;_@Cªù_x0017_a@W·M¼{ì_@÷¶é_x0007_9c`@6Ê¦_x0017_tãa@wl6¬_x0017_b@ RÝ_x0005_IÛa@ÀjúºW@+}/_x0003_[@_x0004_8ñ_x0013_h_x000C_X@¹v]|l½]@_x0007_ê9Ýô\@´Ë+Ä§S@_x0007_§òpÍ`a@_x000E_@~ÔZ@&amp;ÁW_x0002_/;c@ÒÓ_x0001__x001F_)d@_x000E_Ü_x0001__x0002__x0004_©^@ÚàmëÉb@ºè=Ûp[@õ]¢ú;`@o¶kbf@?ë@÷±^@àuã¡_x001A__x0013_S@_x0012_Ã*ïèT@4_x001E_ò_x0013_V@.ïw:Ld@9dß_x001F_àZ@-×ð_x001B_hþV@_x0011_¾~G?ìb@_x0017_ôÈe4ÌW@?eêê6^@³_x0008_¢v_x0018_a@Ïâ°&gt;a@å·._x001A__x0019_\@½·¿_ï*d@b@SvÏ[@ÞüóÆ&lt;ûc@®µ5ò_x0004_W@|%"¼ûc@`nT×;e@Cþo²Z@_x0008_Õè¼àb@9QS,_x0012__x0002_`@ná!ÑX@C|wrÛY@Ï_x001D_rSf«`@ÁQñ_x0007_Ýb@Ð%~¢_x001A_[@_x0001__x0004_¥GOóÏQ^@ S+Léèc@_x0010_:º0åJR@Ú_x001F_ØO[@XK×É_V@ 2Ê©a@¨TÌÆ_x0012__x001A_[@y_x0013_B&lt;]@_x0014_*Â¯_x0003__x0004_T@ÅÛã_x0006_5Ma@&lt;:Ä&lt;÷X@Å_x0002_ZD6½_@î±þOÁÉ`@ _x001F_ÅÄ&gt;¿Y@_x0008_)ÎJU@ò_x001E_è÷ó_x0015_]@ nf¡½vY@i_x0008_\@Á|èýñ_x0004__@_x0017_ùÉÞÍUa@i_x000F_eNZ@ÜÞS÷S²V@_x0005_Èzás_x0010_`@WXe_x001A_]@_x0013_Í÷]@_x0002_Å8NNãU@_x001D_qÜõ_x0007_^@_x0012_Ñ_ø^@¯ÚSñù_x001F_[@¶Ãd%&gt;`@Ø_x0016_»m_x0006_}Y@°_x0006_¼_x001C__x0001__x000C_	_x0017_b@_x0008__x0001_å_x0002_ôP@»ç´0_x000C_\@{Vh¹P_x0012_^@®._x0007_ñu^@d_x0005_©ÌÖ]@,ê´ ¤´Y@¢øõ£ýåd@&amp;4_x000B_,üca@U_x0004_ecOÛS@_x0002__x0003_WÉ_x000D_ÚX@6té§5Ê[@þc'ðÀ]@ýù-H2ÁZ@vj_x0002_Ð_x000B_Ä^@_}·7_x0001_U@$ô ¿ó±Q@Î×Æø	S@ _x0007_mõAc@«_òìA7]@Ôx¹_x001C_1Æ_@ÖU_x0011__x001C_'Mb@¡ç_x0008_¾Ì^@`_x0006_uÔáka@¯àØ°+tV@qÎ'©\^@G!ÀL¥b@kNnøÕV@»ÃK«^@_x0018__x001B_"³qa@+"Ðd]@ñ_x000C_Òá_x0018_©`@_x0001__x0002_Î1[	`@YÖ_x0004_³_x0019_Z@~,Ø_x0015_n.\@è¢G_x0013_ßX@¥ÑÅÞ_x0013_[@CW_x0015_`T¨]@Þ_x0018_ñk_x001E_ _@F=è{Y¶W@«¸_x001B_Äöb@NÒTÇèX@517úéb@Äõ]?Æ$`@å_E_x0013_ü6]@­ÉÄ_x001E_1^@Üó¾7_x0002_ÛQ@EÀ'_x0002_]@I_x0005_gcF`@ê¨7og_x001B_`@Ë8G~ï7W@ 'Þ_x0001_ã*Z@|_x001F_:÷_x0018_Z@2õ_x0002_¯àº`@_x0019_Ì_x001E_â'°b@,_ømàW@úÙz'ÅX@åRÞpN^@ñr Êóã[@£ÂÉh_x001A_b@ä)­ëmia@þ[_x0019__x001D_"Éc@èP&lt;ð¾_x0015_`@ù["_x0002__x0003_£ìU@_x0018_j)ìµY@j\pB_x0012_^@RßÏ=³f`@¤r³§½]@·u_x000B_}âa@¦þo¼O[`@_x0016__x0019_Ì_x0016_ó¨X@_x0008_EþÍq1_@Dí½¨_x001F_b@a¾ÃL5c@Ä×ÒØÍzY@}[yèuá^@ïº?çdd@_x0014_âÉÿ_x0002_\@û&gt;±_x000E_¾_x0007_b@_x000D_}5¥x@^@dÃËÝÈ^@b¾Iì\]@ %è4]@_x0001_~oäõ_@¶îd_x000C_rba@ø¤_x000F_¼^@m#§[@'úLÅÄb@þL¿¾ã9a@y_x000E__x001A_çb@×­[_x0005_ÛZ@0­dO­b@¦^¹·j`@ÈørÊ_x0011_W@âÄ"Ö]Í_@_x0004__x0008_¬? UÍvW@Î¨/é_x0001_V@õìÓ&amp;_x0013_A]@Âhå æ_x001B_`@}Þd@©TLoy_@_x000B_©ÚOY_x0015_Y@.^'eÔi]@_x000F_qÏ;_x0007_`@ó¦1Ìá\@9/k UW`@_x0007_{¥é»]@Qg/Ú_x0006_Ô[@Xm®_x001E_¬\@	Þ_x0014_×±}d@¨zæ1_x0014_Õ[@_x0004_ÏBÐh]@ï_x0002_rr_W@Üg_x0018_s_x0005_%b@àéà¨b@&amp;ÕÑY@î0_x0012_RÐ?[@&lt;_x0001_õð0_x000F_`@(vÌÄ_x0011_éa@Õû¥v¬Z@J_x001B_ÂÂûrd@_x0003_©úõ+.X@r/û_x0013__x000D_c@»_a@_x0013__x001B__x001D_§\@«©¶¡xÚ^@ùß_x001D__x0002__x0003_¬b]@_x001C_'úKÑIa@ûa3_x0010_¹^@l)Ã(_x001A_qa@èP_x0004_ñÞX@Ï2¦#Í_@Uð+[\ªX@¦÷èNVï`@¾¥_x0015_+^@Du*í_x0008_"_@nÖcobX@çrYc@ó_x0001_§Ý_x0003_fW@DHp÷_x001F_a@ôÊì_x0013_wë`@~Ý^(Òú]@n¸éñ¯cb@CNK_x0002_`@Åfl{_x0015_Z@8_x0001_]@s5k_x0010_U@_x000B__x000B_§ÆdZ@ò^þ&gt;U`@AMÖn [@a)EþCY@I}§_x000E_XòU@ÀGKR_x0003_;a@_x001A_xÅu}a@å¿ÇÆùY@Ý$¬~ÕgV@µ (l¿b@òEþö_x0005_-^@_x0001__x0003_4d&lt;Àd³Z@0^B`¶[@*&gt;_x000E__x0001_!uY@ÿ_x0016_;¢_x0013_X^@®SKcÛ\@5~9_x0008_9U@Vb¦_x0010_Rµc@^¬Cx`@\_x001E_øðLl`@ËN¢$#LW@³Fv»©a@¤_x001B_¿_x0003_©­\@rÔ¤ÒH]@_x0014__x000F__x000E_Ýd\@þ_x000D_Q_x0011_]@HCc¢ÔZ@ËÄh±Ð_x0002_`@_x0007__x0013_[Ö\[@2_x0008_@_x0006_/·_@çf_x001F_±_x0008_MY@ÅK_x0016_E³$Z@FAHGbZ@mùLJX@ÿxr¯¡ÆX@_x001B_í&gt;lza@ÚÅ_x000F_#-b@f	,ÒB^@úÁÖ¹Ü_x0005_^@J:F_x0013_.U@Xä)F `@,¦"àãbZ@ö¸_x0001_9_x0001__x0003_Ú±b@¶3ù#\@_x001A__x0011_Ø_x000D_åbY@FuõÖ_x001F_X@áH_x0012_ÓêËW@ð½?{¶ Z@°@Õ»K^@^ÿ´®»`@5_x0010_%éß~b@S7_x001F_TÞa@ü_x0002_Â_x001D_-X@Úáw$]@_x0003_ÉÓÈ]@wsIÅÿa@£¸ÂKÇN@_x0001_÷÷+10_@%.§f\@)_x0006_ë_x001E_]@ùå-Qv½^@ÕKKõ`@_x0019_£¢Ök~^@_x000F_2Cû_@où_x0017_¶_x0014_Hc@_:#xyY@!#b@ã"ó_x0017_b@_x000E_Þ~î§x\@H~øl_x0001_Y@:aýEW@á«`¢^@Q_x0001_Î_x0018_óS@4_x001C__x000B_³[¨`@_x0004__x0005_®¹_x0002_ÁU@;ÞíP\@_x0006_#w_x0002_Q[@¼Îþ$q]@À¢JW@_x001D_tÈ¸á_x0010_X@ÈI3ÿ_x0014__x000F_c@¢C_x000B_=l}a@ÖØ#:@°_@_x001B_±vºX@.4ax0Z@éO_x0017_è³^@ÃÁÛõ,\@ßÈk'ÐÑ]@ãVz©,aV@_x0003_[q:	1a@¬8Àÿ_@¡5È[@ò_x001B_ßÔ-U@uPÐ&lt;_x0011_ U@xnÈ]@=l55rGX@LÝ°_x0016_½u^@ê_x0007__x0006_ÔQg`@Ì¡FEÎY@_x0001_ÚìNóY@}l8=_x0006_ÑZ@­º_x0003__x001F_¥E]@"Ï_x0015_M^@hñqú±®c@W;uÀÇ®^@Ä_x0015_d¤_x0002__x0004_;)X@ZÛ_x001A_¯Å_@jÈ¯`@g³_x0001_¹Ok`@ü0dÅ²a@#ªPÀ]@FK_x0003_fÝYa@øM7ä'_x0016_^@_x0018_sRìüa@5½aöS@§Zïo_x0019_^@*L$ü\@òGÈ_x0005_È\@X=(_x0018_÷FV@W_x0016_~n´`@ø[_x001E__x000C_áÔa@Î_x001A_£Ç]@¯_x001A_bÇSX@îD@'¨*_@Óá_x000C_øì\@ÐN×ät`@_x001E__x0003_·\Á®`@_x000F_¬æÛì]@7M`za@_x0010_j_x0012_GTVU@_x000B_·áæ×`@cáê×_@_^_x0005_ÐOº_@¿â*â­4`@ÇËFfí¥a@h_x0015_¼!_x0004_`@6ÐT¼t`@_x0001__x0002_Eø±µ	øV@_x001A_Çw_x0008_±Q`@ Ê_x0008_9¹`@Ú¶&gt;ìôã\@ç«lØY@©7}}áa@:%ÿ[h[@_x001A_âËE`@XO&gt;üâZ@¸Gßc©`@äRÄe Z@_x0015_ïòË`@6_x0003__x0016__x000F_`@¿³_x000F_cW@$eI_g_x0003_^@	±­fV@E"ÉôR¯_@_x000D_l¶&amp;V@_x0002_.e _x0011_]@(¦àÁfþ_@&amp;_x0014_I}vtY@¨XÃû­Ñb@_x0012_gÐÈÊ b@ñß`@ l^Ð_x0006_\@_x000E_7áj³a@V¿ÚÒ_x0014_[@vîbÎñ ]@Y WbáOe@ÙYtð_x0001_µ`@5[_x0002_P_x0004_^@5n¶¦_x0002__x0003_^Éb@ó"geqX@_x0002__x0017__x0014_~Ø`@fÉÉÈÉ`@+¹Îâj_x001D_\@ç_x0016_H$_x0016_`@_x0011_S^Ìº^@2£/^@â_x001A_âÜq$`@_x0013_÷Æ [b@U0ÂÇY@_x0010_Q:Gø ^@t¬´ºaoU@6N½_x0004_\@U@ìzE[@ëâ_x0003_XË[@ç¼¸_x0013_ªM@vöª_x0015__x0016_^@&gt;8Å	W@Ðñüµxée@uæÂÛÚ_x001D_]@ÿÑ_x0019__x000C_NyS@_x0011_Q_x0017_÷Í&gt;d@_x0006_*_x0001_ú7[@Êr6è6øZ@Ò­Ó²äe[@¶jñóI]@á×Wµÿªa@õB²W;_@vé_x0011_dùXc@ãÞ&lt;v§òZ@Ï4`»K¬Y@_x0001__x0002_º(z¦é]@1J1z_x0011_']@ìE/åZ@è_x0013_²_x0007_%[@òÅ(	nßa@¬_x0011__x0013__x0004_ºÍa@_x0010_&gt;_x000C_ÿ­a@_x0002_c|ùG+^@Q:i Ï×Z@û_x000C_t¿$hb@k¦?oéY@­aK~_x0012_`@vÇæÛÜ'c@wzrÎø^@ä¡È¬d[@¶ód_x0013_0c@[V_x001B_Ø©]@_x000E_hGÄÔzc@{î?`^@Å»óÕH_x000F_a@ôÚþ^ëu]@­×éR.®]@m 5î_@i¬)/Nja@£_x0011_`+®W@Ü)_x0013_b@¥_x0012_(Ïêae@_x0013_NäD}!V@Ý0iN_x001C_]@'¼£Î_x0011_Ac@ÐËjoØ!^@;qB_x0002__x0003_ºÂ`@_x0008_v53q]@9x16_x0003_c@_x001C_ô¨Ê]@,]_x0005_sa@Á_x0003_i&gt;Y@ÂLtÓ_x001B__@Ô9®W?aX@¶VßC_x001C_`@	ûÜpóW@kÛ.tO@(&lt;)pq_@_x0006_è \@ò«âËZ@_x000D_û×TµY@ð s»e@½È4=_x001A__x0004_Y@8³ÄsY@®´l§7X@0'í¼_x000E_ø_@1_x0017_iÒ£xb@×¬_x0010_ýw»V@*§@ë_x001C_^@_x0001_2"_x0017_9]@@ºùÄëÛa@8³¬àa@ò¥òç_x000C_Y@ô¦èý[@ Ü1_x001E_è_x0005_b@±t#é_x000B_e@y6K_x0015_ª[@¦ÑCª_x0011_`@_x0002__x0003_)~\R_x0019_=Z@E&gt;_x0014_n[@_ejìa@cÎoÉV@4¢WæÂ`@HJ%Ça@¦«_x000C__x000D_Ç·^@¯Ê8A\@õ ÎÅwj]@æëyÖZ@?kÛ_·Z@_x001C_Ö4b@*µ}Ã&gt;\@L%ÉMÏQ`@ßTx `@îYBïI`@Õ¯¨_x0018_©`@U5å	^@6B_x001B_ÿ³ÊS@£Ês&amp;¼_x0019_X@¬¿_x0001_Ê1V_@³ë_x001F_È&lt;_x0019_`@cËõ±YüR@ö3_x001D_±lq`@o·è`UHV@õË1_x0008_ç_@ÿS©F¶Ãb@ÑÌ5êxc@ñ ÖJ_x000D_c@µ_x000B_°_x001E_°[@#h°:ä^@.Ä_x0016_¿_x0002__x0005_ü`@½¾Ø°_x000E_Z@Àc_x0007_è»X@yQó_x0012__x0003_X@á_x0016_ÉµO_@\ n(tc`@ÕÞëVg´^@RãNØáW@ÌE÷ùu^@gC²`§Ý[@á¼´Rf`@F_x001E_ê§×7`@øD¸´¦_@º¬:Ýfº`@JnÕGÎ4c@Í!¨»ÆX@`Ûõ×¤\@&gt;_x0003_Á_x0010_]@¸X_x0004_{r~`@_x0010_§­T_x0012_Îb@X¶s_ÁV@¦_x0018_»?Fa@_x000C_Ìw»*`@xpÊ¹`@î_x0001_³\:b@	qÙó3_x001D_Z@cÛ@'vÓ_@[¯«í±ªa@MvoÁÙRb@Ùf-±Ñ«^@¥)y0MP@ö¼»_x000C_ÕV@_x0001__x0003_u1gfe»V@~Ìn_x0002_ò]@ÔpÇ0¢X@_x0002_É_x0004_­.`@â'¶Æ0U@ÛÔ«å£,]@\ÁCE O]@ÿ_x0011_y¶¹Y@d@-ãÖÆb@¿l._x000D_Ç*b@1Æ\@?E0-Ô`@H· ôa@þ¸4$l_@_x001B_wj_x0005_)_@Tsë¾]@{@ÈÀW]@_x0012_ös0x`@._x0012_$_x0016__x0002_^@»Sn_x001E_Òûa@~_x001B_ãÕ|À^@xQ$_x001F_CW@äk)Ê2Z@&amp;´PB_x001C_Y@ÎÆk&lt;¡ù[@VÞñá5Y@8_x001D_ò¶6 U@¶¢ãçmö`@7Ç_x0007_©(U@ø`Ü_x0001_k_x0014_]@öªJøÊa@kÿÿ_x0002__x0004_RV@Jb®£¨Õ[@(ÀwGÎ¾N@\»º`@:÷ñx_x001B_a@$SÀUW.R@å&lt;WÔÛi[@qï"àGb@:_ø_x0018_å_x0005_`@Äy¸»ù^@Ë¡êBÅ(b@_x0008__x0003_b¿º[@_x0013_Bõô9_x0013_Y@ùm:Ï*W@F0_x0001_¼sc@+_x001E_Ñª_¾\@'}Rã`@ÕÔ¶úûb^@_x0001_&amp;DX@)ß_x0004_Y@2}	\`U@ÐO\=ßo[@jÖ&amp;a@óR Ñ]@ýßÇ[º§\@O&amp;ì@f^@ô&gt;ÐécX@âÉµc@_x0003_Ö S_x001C_a@Æ|Àûy_@· _x001B_åªY@ø_x000C_ó_x0014_x^@_x0001__x0002_Èý	Í_x0017_d\@ëQv\_x001D_¸`@gÉå{`@pÀ_x0018__x0008__x0015__x001A_[@¢­ê7Qb@LaÉi_@Eö*½ÈY@._x0002_Rrªì\@9Zr;éó`@ÕHB¿äl_@î¤ñÊÍV@{©XÓªW@èè_x001E_iÂa@c_ÌÔß]@?Xàï =W@çàû¬8_@\_x0006_%Î×_@ô:GÌÊZ@#`)±_x0017_Kc@&amp;Á{f÷S@_)Ü¤9^@Ýðñ­Z@¡úª^`@è©Þ_x000E_1_x000B_[@_x001A_lG¶L¤]@l8ÂÎ_x001A_a@_x000D_7_x0002_kTZ@ú9rnÒ|\@)R_x0018_­_x0008_¹]@Ü¤÷_x000D__@"É¡W_x0016_]@©¤Gp_x0001__x0005_ëxb@wúi»wwX@_x0003__x001C_Á_x0011__x0012_b@P!ÀÐ$Ea@_x0004_ÄËÑz÷a@"1Ò_x001D_¡\@Òû¥_x0003__x0012_b@Bd'Qª[@ Ä_x0011_ ?_x0018_b@Í#_x0012_8-]@O&amp;mq}la@Ç¦,È]`@=&amp;¶hÅù^@8_x001E_S_x0016_Ína@pã.Y@­@_x0014_9_x000D_f`@´¥ýÿuc@¤_x0012_m£Z_x000D_a@_x0002_ètÕ^@²SÙ_x0010_´_x001A_`@ Gµ¦Mb@eÙß)à²`@~úõã~Íb@×ÿð_x001C__x000D_^@jl³}U@xjã 5a@D(á0ýa@ÂÐµ2¼È]@_x0012__x0011__x0005__x001D_¾T@_x0018_M&amp;Èîm_@DE_x0019__x000B_¡\@¨RÝ'aV@_x0001__x0002_%DÀÿ®c@õÄV&gt;_x001F_T[@áÕß_x0018__x0007_]@à{äË*`@®ïß ¿ça@_x001F_r&amp;a@ø	aàÕ^@_x0016_nÛ¼B]@CB;v_x0003_2_@S_x001F_õ¹nd^@ÐF]Fb@_x0013_Iév^@¦¤"sM«a@Ï­¯Ó[@ÏOrþÊY@%Hn²\_@ð´íé_x0003_a@¤3zûð[@abéCL`@ÂiR½N`@k_x001D_ó_x001A_ÃY@&lt;,"³d@_x000B_OÕc]@a_x0018_±#¹ò[@¬A&gt;?Ha@Ñh_x000D_wÒX@*H¾mú¿\@¡³ÖjTT@«ÚÄW7b@_x0008_&gt;:"H\@Ä©÷¬·xb@ÛÞÄ_x0003__x0004__x0015_U@¡²ºµ_x0013__x000F__@1fÕwÒ\@õ¿_x0002_àò`@Ë]_x0008__x0006_[@ú2ìî`[@Â©#Î'_x0018_a@_x0011_¾Ì_x0010_±9\@`o-¼d]@æ¥^¤0O]@z§×Â:§a@¯ÒZÁ Z@!×8_x001F_]@3æ¹B_x0005_jb@mF3íÊU@	_x000B_"»&lt;w_@õ_x0011__x0007_FZ@_x0001_¢_x0010__x001A_ýùX@§8»_x0005_­¯\@ÂQÕð£ö]@pú'#Ã[U@_x001D_qQ_x001C_¼Y@SGXãB`@j_x0007_^_x0018__x000F_a@_x0010_&lt;8ìò_@(øBåRdU@_x001E_;_x001F_3_x0019_ b@__x001D_¼J`@´Mé:§®a@0IBDZx^@õªód¹ÔX@N_x0006_ÞE__x001C_[@_x0002__x0003_N^Êq¸Àc@t_x000B_G_x000C_bÆY@²_x001D_æ_x0006_c@Ð_x0012_4&lt;Ôþ_@!Z¾aYG]@zßÐç_x001F_WU@d´@_x0013__x0001_ïa@ÉÔP×¢ª^@Ã3B+03X@=aÙ_x001F_ub@_x0005_!Ü_x0013_ä_@!o_x0015_	Õ_@)_x0008_~ð¤_x0016_b@+»ÎoYa@Ãc_x000B_Ó]Z@åj_x0005_JR@Ç_x001A_jôpa@_x000E_×8wÇÒ]@_x000C_ú¶÷Ôa@ä]x_x0010_TK_@ðÞë½Ï``@ëÜu¯Ùa@^Bìî²\@F!kµ×Y@Æ_x0004_®ü&amp;£_@M¤õ]@j¥ùöd@zWM_x001A_­^@{¦¥õ?´]@ß wÉÂ¦Y@b¯rèY@Uö_x001D_a_x0001__x0003__x0002_]@¡¬M×]@¾B_x000F__x0016_¢T@¬û¼qÜ^@oy_x0014_Å¿¿`@Ð{C4g_x0005_]@_x001C_e_x0005_x2Y@Âåä®]Z@Ô}_x0019_F®_@Î_x0008_~Õ4Êc@â_x0019_ä_x0016__x0010_\@_x0002_ÿêâu½Y@}@±à#a@F(aDGP@_x0017_â+OZ@p¿mêJa@ºC*_x000B_§_@þ3»fÄ^@öË_x0012_`@`&gt;&gt;0a@ï+_x000F_íj_x0017_b@Ýä¢ßv`@	@_x0019_[R`@'lÚçx_b@j¿ÅJT@BèX$þ_x000F_a@Ê[|ß¹_@_x001E_Nk_x0011_B4_@mÌ_x001D_%W@ºêõI_x0010_`@Äû2_x000E_G¿[@¬"\ôFc@_x0003__x0004__x000F__x0019__x0013_ãY@ g	P#`@±ã¢ÛBâ[@¶&lt;ýò"'^@¨é'tÓ&amp;\@ÕXÃ·_x0004_¯a@XÛ]º/Z@_x0004__Êf_x001A_V@g_x001D_â_x0008_²T@:aÆÅ	B]@Aw_x001A_ùh£^@nÙ®pÊa@_x0005_ZË_x000D_Py]@ç)âÈÚ[@_x0003__x0001_JýV@w_x0007_yOÚX@³Íþ0ô\@_x001A_¥äs`@¤A&lt;ÈÐ_x0004_a@ÇfÉÑß_@©ÚTn_x0002_·[@x=qéòOZ@_x001C_4 Gù_x001F_U@Ìùõ_x0006_W@{_x0008_[¾ëJ_@»÷mZÚÜ`@_x0019_ÿ©©;.a@%\çÒX@Ø_x0007_OO_x0002_«_@_x0002__x0001_G_x0016_âq\@tEÓ\äa@Û\^G_x0001__x0002_aáe@]ËPH_@"53z_x000B_a@{$k_x001F_[@(½zÉÐÒ`@d3ývCWZ@W^-0t#[@½µ_x0016_ë7d`@þøZ#ò]@¡_x0017_Ëiãÿ]@O¾Î-b@_x000C_jÀ&lt;º_@_x0015__x001F_Ü¼_a@ÔßÈ_x0008_±øV@Z_x0011_}ãÈÅa@¹òßÞ_@âo_x0003_zâ÷^@[ù¡_x000C_H¼_@0r_x0006_uÕZ@røÇÞoX@§s;	åV@:Ýð\ha@M`RÓò`@@_x0015_¾¹°_x000C_]@_x001D_þ"ÁcR@äø.÷9¾[@!&gt;áX@âx ÈÖmW@_x0007_eµ¦R@uTºËr1b@VNÜÐÍa@íÅpHËH^@_x0003__x0004_q¡`ÈU@)Ç_x0005_õ¸&gt;Z@æ¬ç°UX@ÞamçÄ_@±Ðÿb¦V`@¼åë_x0007_-Z@'¸µ½µ]a@_x0013__x0001_Îå3ÏW@_x0012_OèqOb@p!ìMY@`PÛÕ8c@ÌØ½F^Ó[@PÝ~BÂZ@âLasÿ=^@o_x0004_&amp;¹§ª[@¥_x001F__x0018__x000E_Dc@7÷¡Ã¢[@ÍÚtå6c@"[LÊ©_x000E_a@:Á,]/ÊX@*'Û8b@Á_x000E__x0013_¬³a@^e_x0011_ì|_@W_x0006_½Û]@´_x000E__x0003_êça@wÂó®S\`@_x000E_y_x000E_«Õ^@_x0002_C·$­`@LÆ«wõáW@z_x0014_¯Íö_x001D_b@ª_x0016__x0008_ýõV@¯üù_x0001__x0002__x0017_4\@©¹lÿ_x0011_YZ@á½rc@¸hqp&gt;Y@_x001E_n(j|[@(_x001C_í_x0018_´Ñ`@2ÂÆa@t_x001E_)lOV@VùÏýkË[@Ä}ËQ0À\@_x000C_Æò9´\@fC6_x000B_b+Z@'_x001E_ÖK ¹W@ø*³6c¿\@~£öN_x0011_í]@­ê_x0007__x0015_ô]d@_x001A_SþòÌ_@_x0013_£EÊ·#M@¾´Ó¡ôc@kz¡Z6`@_x0012_p_x0014_½°_@ûÉ³c@_x000C__x0008_Þë¨8Y@kµt¾å¦Z@ä}©+*a@¨¯&amp;_x0015_a@ñáËòË_x0007_`@î~_x0014_ÄmÿW@_x0011_FIÀGËY@íS´ã%[@äGO_x001E_½V@;ùjE0[@_x0001__x0004_·Õ¡_x001E_`@IXñhÚqb@èò_x0018_Ø2V@ú½_x0018_OO]@T§äv_x001F__x0003_^@¤£Ì=Ø­c@8A_x000D__x000B_"S@~Kzhëz^@ÇAkÝ_x000F_ö\@äê[@?S+iXfa@%êôÊâ\@ã,V×_x0002_b@B_x0006_È]@H_x000C_º_x001E_Za@=£_x000D_Ââ_W@ªÂGÒ\@ö_x0001_àBS@BL-Õ'`@¥_x001A_¶Y_x001A_b@Çà8µÛU@,`ì_x0018_ñb@ivw"4^e@P1c!k[^@õ!ê®yº^@_x000E_°+R[@ó`Ñ¢A]@Î8áñà«a@»Ï#(Ta@oÌ¶?é(`@íµçj:^@nÞ_x0012__x0004__x0005_UÃX@W_x0017__x001E_¹&gt;`@i_x001C_ÛÔÏ-^@Ôn÷_x000C_S@_x001D_¹Ö7Oè`@3Ì&gt;iiX@ì¨\_x0001_Æf`@zTÞÐ½©`@ôü_x0007_X@X°ë§bV@yj7!_x000C_(Z@S¿j_x0006_e@8®ÞÃüm]@Ûd|¬#X@k\X_x0016_`@bc_x0016_ÑzÚb@ìTÚ)`a@Æ¨æjÞ_x0005_Y@"!ÝÀ7_x001B_a@âNJþhâ[@fÞýÖ[@´_x000F_¨!^c@è_x0004_À_x0014_b@¤7rMÞ#Z@fzüA_x0019_?`@êHµ*È[c@¦_x0003_ØFç/]@«MuFb`@_x0002_g	eûóa@¥ºÚuøÞX@_x0007_kWB35[@	øÙºkõd@_x0001__x0002_{-tÍTI`@Î|+²d@_x000D_îÆQ©º^@}ók_x0013_oYW@_x001F_àª¤.r^@³nÒ©ñ]@[Æ_x0005_Ju?Z@ÝsA*Hªb@¾ª3$ûZ@Ð|}`\@Ý¨_x001C_÷-U^@¥¿`ãÏ_@_x001C_ï»23_@¢pËÒ³,U@cË_x0010_G&amp;a[@-¿Ä¬.S@Ô7U´_x0002_ÂV@×Fu'_x0005_`@½¯»_x0013_³X@.4ì. \@L_x000D_l1XaW@Ã_x001E_ëô'ÅZ@¡I4Íê]@ÿ_x0010_/ªM`@ïâzc1Õb@T_x0008_5eíV@Eä ÝðüX@:`Îry`@!.BÂY@AJ#P@àÖc_x0012_5Õ[@ÜxÒ_x0005__x0008_F-]@_x000F_Í{Ìùaa@º31à'7\@=_þ_x0001_ÝÌU@&gt;ìeMÀ`@m¦Ü_µ^@IÊÐ_x0006_\@²s¨iZ@_x0007_h_x001E_J`@_x000D_¡U&lt;ë\@/§_x001D_×µ^@	_x000F_²_x0005_Y@êk,ÃÜa@nÀ.úß-V@r_x000E_ì)a@Ó·_x0015_Ô_x0006_£a@¨ç¼µñ¯W@Óþ$#ä`@U_x0003_\_x0013_³Ñ`@ @=_x0002__x001E_Y@_x001C_Uvf-©_@è_x0004_XÞÙP@[|_x0014_7e@.â¿&amp;W@VM¶x°]@JRÀ°&gt;h`@+=)ÔT@]_x0018_ö¾+\@dt4}S]@Ë~xKÁ_@`ú3!ålZ@üÒ:©`@_x0003__x0004_Êv°@)÷\@/_x001A_®Íï_x0007_^@×ìÐï¯Z@_x001D_oNÜ3]@«´|ñb_x0002_b@¬_x0004_úRs_@8ÔHèý*S@ï·m&gt;ÞÐ_@I_x001A__x000B_¯7Ó\@&lt;Èñg_Y@_x0002_9Ú/£a@þ_x0003_E×ª®W@_4(®üTY@_x001B_ÂP/Ç_x0016_\@&amp;Í\:ÚF\@íqê	Æ^@Ç_x000B_,àa@QÂNá_x0001_®U@2_x000F_(_x0019_ÃË`@9!»"ì*[@&gt;_x001A_{iñ°^@õ¸³_x0001__@_x0007_nÕº´T@U~ÔE%}`@÷5­§OM\@É¢c_x0013_Áõ[@ã¾ù(ÊË]@±SþýN^@çgáÛ!¼^@ [Ü_x0016_·ÓZ@f/!£¨a@_x0002__x0005_öò_x0001__x0002_jAc@ø_x0004_ìã_x000C_c]@)ÉHô`@zë_x0001_s_@_x000B_J_x0001__x000F_°_x0015_X@ì_x0017_Ã_x000C_3a@÷ø®¶@_x0013_a@Ý;40\@_x0003_}X°´ÇZ@I_x0008_¬qO@_x000B_U4Øï,c@ä!ÎÇ-_@þ=F_x001E__x0001_[@_x000B__x0015_¶X0^@ó½M|_x0007_ý]@2&lt;«¿_x0011__x000D__@~aùrfªY@è	ÏxúZ@ D²_@sèÖ_x000E_Øîc@bRå}_x0018_h`@yìï;Áa@±ÐS;nZ@?z`Â_x0012_\@_x0018_Áï_x0017_Í¶Z@ÙdçAï_x001B_[@_x0016_§J'\@Ì¡nÙ¾j]@Ø.ñÑo%^@±¸y)Å_x0010_^@À8_x001E__x0002_ï^@Î¦_x000B_Ù_V@_x0002__x0004_Ø,x_x0014_ÑQ[@Ô½dmK^@CÜ_x0008_üëáa@''àO`@q_x001A_4L_x0008_b@E%ûÓ¸É\@_x000D_H_ÏÚÙR@ C±Ç_x000B_\@TM©h_x001E_b@-__x001C_÷_x0005_[@n=u=ëO_@¢_@Mc_@K5ÖTÎV@f½×Ha@§_x001C_9ò_x001B_a@¾sá_x0003_\@ñwÒ¼ÕV@Ñ@ã_x0006_Â_x0001_Y@_x001C_ýK4'$^@ð_x001A_£Ï¶M`@Ò)vö¯[@×}Ù@y;a@-)	ô_x0007_X@ µÌwþ]@D¢ú²þd\@õæ_x0014_çg_x0004_V@ç÷et+®b@¼®V°þ [@ÁîcE]@ë²ç8_@/CNM[@Lë®_x0001__x0005_&gt;]c@q_x0015__x0019__x0011_nZ@Ê¢iòæ[a@7Á ÝÒ]@v±ÊA+c@_x001D_}Ï}_x0003_FY@Ód®mR^@#³_x0005_â,3`@_x0006_Ðÿ-ð^@7¦=cx¥\@Îº_Ú1-a@_x001E_F-_x0006_î-Z@âXj:M6e@5â_x0013_\_x000F_]@&amp;ðYFqZ@Fõ`j_x000B_b@ôBé5oà_@Ï n`ó\`@Ípÿ¤ò`@_x0013_}]íV#_@2goñ¹±P@·yËc@ì7PBkY@}nXª%t`@_x0002__x0003_íÙ0X@*åç_x001A_]@uÛfs\1a@æ _x0007_#üGU@ª­_x0011__x001A_7`@ZðÔTYZ@_x0004_OÈu%¾`@1lÛÀ'_x0018_X@_x0001__x0002_cÓyàh¼\@!]¨_x0016_öã^@N¢_x0014_Ð_x000E_I[@Ö§ØÎ[@³«=¾W@M¾_x000D_*Ò^@{Ä×2(ä`@LaáÕ`@_x0002__x0018_h_x0011__@æF¼nX@["Ùpc.a@0_x0011_Xo{8b@q_x001C_Ü_x0016_Ú`@_x000E_3_x001E_FªaZ@4t7Í!Í\@_x0012_ùVñ^@&gt;_x0016___x0016__x001E_ÑY@Muý::d@3¹¹_x0017_X@ïm¸µâ^Y@êY§3¹_x000B_b@¤Iü_x0018_]@_x0019__x0010_¿	W`@|Õö_x0006_¾M@ï}õÁ_x0013_Öd@¸Ì´`_@×ß_uF_x0008_`@¶Æ|_x0012_ÙY@+æõDª_@7_x001A_±¯|_x0007_`@ö3fp¨Ð[@×§-z_x0001__x0002_V`@ÒL^¨_x0011_V@Ä rÓ£-]@g&gt;Â}Û`@ª_x0008_®\¥ËX@ÒR»¤¬2\@HÊw_x000B__x001A_b@ÔAWwÉ_@gåÆc«Ôa@\U_x000B_è?ú^@aU±_x0015_Ï£X@yø G.`@_x001F_Ç0z_x001A_P@ii&lt;(¤Z@^ñÐ_x0010_`@ñ3X¿aZ@¤_x0015_¿£ÔçU@{oÙµW[@'HÕÒ1ic@K&amp;C­væ]@²ß®&amp;Á+Z@Zè¡¢©`@"_x0006_µ/Õ&gt;b@õ%U5 `@¢`y_x001D__@ÛÝé9¾`@XI±^&lt;[@|à}¸V@ _x0001_ÒIX]@U¡ßjZ@3F*â_@¬3_KZ@_x0001__x0002_½ÚFÛ«q^@ôÑæ¶lZ@_x0003_TÑGS]@ôû´ì_x000F_,[@×`¸ÉV@,ØÂº	x\@Ý&lt;Ò&gt;s3`@ùrò!Y@¡º=Ãç_@_x0015_|¸`@$¢6gK]@¦ÕäV@d]@¬_x0012__x000C_¯Çç\@5MYìZ@ÿdæ8	]@K³p_@:óSVêa@É_x001A__x0004__x0008_Ó·c@´ÇùðCNY@LKnÔ_x0013_Y@S_x0001__x000E_Ñ-\@_x001F_k=*_x000F_`@O×\S^a@}5zAêXb@Ú_x0003_kØM#X@s6_x001C_î§ºS@Rð´KU@ç_x001C_ÚiÒX]@ÒAmÕ_x000B_ò_@_x0019__x001D_*¾q`@ÈÑIOÓÔc@&gt;"ß­_x0001__x0002__x001E_vb@ô_x000C_[¶¼}\@±fÁâV©]@`_x0006_óï_x0010_ta@äz_x0011_Ðå[@÷D_x0017_úûb@*_x0017_Û_x0003_³U@ðIj+±`@³Üb^@A-rª2ÍV@¡³ñÔ¬&gt;X@ØC³_x000F_¦_@³_x001C__x0003_³êW@_x0014_nßa _a@àcxpÙ_@µæL³a@`ª&amp;9_x000E_a@_x0018_:ªP½a@_ð?L«a@B4å`Ó`@vÒ0¨áR@SÐ¥jñ\@d¯:E¼-V@®}Þö`@{×oS×úY@dÓK	Z@tãQ[@2¶p¬Ê c@c_x0011_DáÈ_x0004_]@Óî6ìZ®Z@-| ["_x0007_b@µ3_x001F_öyg]@_x0001__x0003_êÓ¶Gâ^@,jÿ½î_x0002_W@´_x0014_a#ÑW@_x0017__x0004_W_x0008_F~Z@ãýYä¤IW@¨É§_x0019_àvd@]@ßPñOW@´±¡§[@Ã8òdpY@ä¨YÅÜ©[@ÁòÒ«ãT@Êv ³²HW@_x0003_Uì¥l_x0013_]@a¨!õ `@sÜ¤µ{§X@ï0[êb@@_x0001__x0013_µ²I`@X§_x0008_»a@ÞK_x0006_°¹!X@Ü¦_x001C_9m,`@¥ÚSÏla@µåÕ÷}e@ô=:Å§_@°J¡$ÝNX@_x0014_j_x0008__x001F_^@ø%Ây\@_x000D_ùi_x0013_d@otd,Ö`@k9]Ù$7Z@&gt;@k­³¤]@Úw§lçÇW@yù7_x0002__x0005_5üa@^á_x0018_Ü±kV@_x001E_Ó* _x0004_h[@µÝÒp¥[@læ\Àßa@Öa_x0019__x000D_]_x0004_c@ù^(iØ_@å_x001A_ ûOa@Fû	Õ`@ç4r_a@úí'5_x0016_Z@&amp;Up¨ß_x0006_V@½k½ÿûX@yP*%(Ía@bEï_x0005__x0004_a\@f¾ïºõwZ@ØxýzX@_x0008_\Dº_x0017_Z@Rwç¢_x0013_8c@äòTr2X@tT	_x0003_±V@üß.Y	×^@_x001C__x0001_µ_x0011__`@_x0002_£Ç_x000C_D_@àæ_x000F_uU@©_x001B_åÿ«4a@LÜÅF-b@_x0004_Çª_x0003_o/S@_x000C_wÓmßÈ[@b_x0006_Ô$u_@_x001F_hP^Þü[@Õ½£@,Ñb@_x0001__x0002_.`Þé¾_x001C_^@'5ªÔµ=^@Ör7.Y`@_x0006_HK_x0004_Û\@û_x0004_e¨R«f@ià_x0015_e_x001F_\Z@Îüb×t$b@­´ôôÌX@ãV¦c_x0010_ `@×ÔÅ_x0006_?Ï\@:ê_x000D_B-\@ÇäÇXï¿Z@ØÙØxÿ]@s_x0007_®l»"a@4ð·tsc@MÄòµ¿Ô^@×~ÓJ"`@÷kmÜj0`@¢änð¼_x001A_c@È¨°yS\@ùßh_x001B_A}b@3£K4^@RØ|Cøa@x¾F´Ï¬a@ìÊh¤X@®lvA?\@_x0002_Jñr_@+ç×I_x0012_9Y@±dæ6Y@`ºX«Äa@;($ëDSY@¤^_x0014__x0002__x0003__x001A_%X@ü_x0006_3_x0019_³'^@_x0016__x0015_¦¸_x0005_`@*é|èÁ^Q@_x000C__x0004_&amp;_x0008_Z@À¶_x000E_ÃâY@MD_x000D_pá]@«_x0013_K¹l¬[@P_x000D_ËHp_x000D_Y@ükIÖ¾`@rôì¥_@¹ÍpxÕ·c@@çeF3_@_x0002_î_x0005_Q_x001A_5Q@úÒIÆea@;¶}'ÚZ@pzÒ±üÃV@_x0005__x000C_Ðý@]@Æ,_x001F_°Ü_x0003_c@P_x001D_ÿ^í[@_x0010_jcå_x0001_¥b@V5e¨_x000C_`@`úZ«C^@OPÁÉ#`@òôÌ+_x000D_ßW@ða Ó[@ãGIFLî[@/bü­p`@]¯Un38]@_x000D_º,_x0016_Æc@÷fù¸ØãU@__§{&gt;LZ@_x0005__x0007_A&amp;	¾û^@[·ÞýÄ.d@_x0004_Fy¯\Z@4tvuÏ_x0002_X@ j_x001D__x0006__x0016_\@±§_x000D_Ùä`]@l°ÈÔÚð^@W«Ùj5~]@y5TOy}_@"çgOì`@3ð÷"P_x000F_[@_x0019_¾Áª\@ ë@X+_x001F_Q@oä_x0001__x0006_ÑÈY@_x000B__x001E_ù³k_x0017_[@`)®_x0013_]@¤_x001B__x001E_]EZ@ù ãõÃ¾a@V(ìQûAa@V;ïKla@zÇt*à1^@Ìx[_x0008_ëSb@(GkXoJ[@,Ì_x0010_[J`@x_x000D_ÊE:\`@^j®z¶îa@grP«p¹^@¼Ór8þT@_x0003_*ÊK_x000D__x000B_Z@_x0015_9è@áb@x_x0014_Íí	DV@^Û3Ñ_x0002__x0003_=Æ`@zp$ñZ@`_x0016_\÷Lñ[@RZQé`@yÁg	È[@KéeLç\@VMÄ_x0001_Z@$ïwá%c@_x0013_J _x0012_ _x0005_]@ðºp©ü[@ïqÖ]Z]@_x0012_DV_x0001_NY@Ç_x001C_Ç=Øþc@9_x0014_ËÏúùV@Ì_x0003_%&amp;!`@ºÕ7]@k$æ®db@aÜê	Me@²_x0004_ÃwÆS\@_x001C__x0003__x0013_ÓR_x0019_`@§[Ö.Å/_@Ê§Ü&amp;¥c@Û9.%íZ@áü+¦g¥c@_x0006_y6Ä_x0016_d@($ë6Z@Úi§_x001C_Y@&gt;X/»àºc@à2yÉÛc@ÿ_x0003__x0011_þ_x000D_ác@¿§_x0004_Øá_x000E_U@_x0005_à_x001E_g_x000F_ÛZ@_x0002__x0003_Ü,_x0011_¾3_@ _x0015__x0016_þáMb@~~gEZ@bL_x0013_ú~`@¬±äBC^a@u,áÁa@¦GoyÆc@_x001C_Þ*_x0003_V%`@îë{e+¦]@wS4eÈW@bèz_x001E_jâ^@È-ÂûX`R@rß¿_x0012_½]@_x001A_x_x001B_Yq_@OF]#öV@ñ£&lt;¡¸oa@ÊÜ"¦	\@§ma]@Å,B&lt;_x0007_\@_x001E_\opøa@§_Wj_x0014_]@ç)y§U@ê`'_&lt;Ra@Ã²¡	¬a@LÂOpÕÙY@_x0001__x0005__x0006_ÿ_x001C_R@F¢L¸]X@_x001D_H;UÀKa@ÄÞÙ¼ß`@ððÖ¢µ_@ózïÕ;£a@_x000F_á_x0018__x0001__x0002_ê`@KÆÆ`Z@:4i½_x001E_O[@_x000F_Ó¡J=_x001B_a@ÒpR_x001E_Yo]@þ&lt;à_x001C_b@!ÉùÈ5£c@J_x0013_Cáª9U@w_x001C_GX]@®hó_x0006_ý.a@·ÍZøYBa@*B_x0013_.&lt;e@XÞ¶Þ;Q@Ìuó&lt;!z_@M£Oa[@ JÄ`@2"½LIö^@~_x0011_X_x0013_DX@e¬:ÖB;Z@_x0014_"8b_x001B_ñ\@¸7_x0019_'d@_x0018_É	)õ`@ &gt;·¡¹U@_x001D_åIªøZ@&gt;Â-3ýU@Ö_x0011_Ï!^@%ªlÛY°`@`{pÒ¸^@ª_x0012_ÐYéR@"_x001B_ã;ÚZ@5"³ñ#0\@7ôþàýÏ`@_x0001__x0003_ø·ðªr2`@T_x001F_T_x0008__x0018_Ñ\@C¾#@ÕY@n_x000D__x0002__x001F_«_@c¨Ó®yU^@_x000D_×Õ-`@Úv_x0012_bW@YgæBb@Ä4{_x0002_eñZ@Hq"}0_x0004_^@®¯bÝL!d@â_x0012_%÷_x0007_Ì[@õMbÍ_x001E_×Y@NJ_x0018_í_x000D_^@ÍÚé¤2`@¾_x0019_MÎ@V@S_x000F_Ý û_@Æ¶½£Ê]@ÎaV@ÆþÝt&amp;§b@¸_x0007_^uµ¢V@±_x0011_gýY@²I &lt;µa@¢t6ï#»Z@-¨ý]#\@i_x0012_`@stÚ²b@_x001F_;i[Z@_x0014_A_x0002__x000C__x0011_Y@Yè[Ã`_x000E_[@io®åo`@ÝU_x0001__x0004_!a[@Hþ_x0016_W@c¬céqZ@_x0008_¤Èç¨sY@»TdZ@_x0002_1äW@&gt;d©_x0015_ña@Ì¡ª	Ó_@_x0003_ñÝfM,`@rj_x0015_ _x001E_Z@mÊ_x0007_`@ì0K"ÈY@9}#õúZ@l´6Úñ^@&amp;¡N¿a@o»Üð'p^@40ç_x000B__x001C__x001C_c@Ærº&lt;ÍÂa@êü/Ï _@Ë¾_x000D__x0017__@Ã¸öQQÃ\@æpußrX@J_x001F_4©7_x0006_^@~øì½Ä{`@_x0006_bý.*Y@û@Ümpa@]ëDr%^@OèT&gt;\@Çãa ya@®ÁØ_x0018_ÖÉV@_x0012_Ñ-_x0015_ÇË]@ Xýõpa@_x0005__x0007_0Is©?^@|_x0016_w£ÊÖ^@ìÓ²b_x001F_`@£ö»i(^@©Ë;gËa@ÞV®HD[@_x0004_AÁ_x001E_ÑW@]·}AÆ³^@p^w_x0003__x0012_MY@æ£_x0013_mð|X@îCd@0L_x0002_-_x0017_\@_x0002_4ÑòÉ^@_x001A_minÇÎZ@Nk_x000D_£ÞY@W_x001E_4÷RX[@fCÐ6ÔÖU@¶5Z9Wb@}]MÛ®ÂZ@H£%FÞY@á&lt;¾Þd:\@ÑV*³·rT@ð13ú{`@¯_x001F_Î5`@µ2Ð}_@o_Û_x0018_/a@AY¢_x0008__x0015__x0006_V@vtìÃ»]@ûAÌ¦d³\@liæXö\@RP_x0016_T_x0001_Â[@"Jó´_x0002__x0003_©r`@ÿ_x0015_Ï\ãJa@Jð²ð_x0013_@b@_x0002__x001A_]Ë!å[@ `N@O[@_x0019__x0005_Ë@X[@_x0010_`_3·^@±2Óæ-]@Þ°é_x001D_²b@µøüV%Te@©·&lt;ß(_x001C_[@RVºK*a@_x000F_¥_x0013_fK_x0001_a@y»¢&amp;áÅ`@s¹÷n`@_x001B_¦S_x0017_`@_x0005_XÀ\_x0017_Ð[@£__x001F_) ±a@Eé_x0013_k¦Â[@5[4gts`@ÑÞ+é¹_x000B_]@:_x001B_¨¿úY@_x0004__x0019_jÊÔ{e@÷_x0017_1X¹çW@4Î&gt;Ø)e@_x0004_CÒ_x0011_|¤]@_x0015_pñz_x001F_Z@å-ñ;_x0016_V@¼_x001D_Yì`.b@µý#Ä_x0011_a@_x0016_# q Õ]@/,ëÇ$z`@_x0001__x0005_Q	IÛ&lt;Î_@Ô6þ|_x0014_êU@WÆÜ°w@`@1ù_x0010_]\@[¯Xz\@ÒþAÀÍU@ggÇ£ç_x0016_b@X_x0005_Ú_x000F_^@_x0013_a/_x001F_`@_x001E_ÛÔH$\@N£ûËP%]@_x0004_Ò~_x0002_c@AÄã_x0003_]@¡&gt;»a@/(`²X@°X¼OÍ_X@ù%6|ac@-VE;«W@ë_x000D__å[Û]@¬£ÃQS@IU(ÝÀ)d@T'ßñ`]`@©PËv÷T@õö_x0003_ªkg\@»p_x0008_ý&lt;^@_x000F_¢óÄ_x0015_'Y@È_x001C__x000E_Ð_x001C_L`@@ÔØ:V@Ò_x001E_\_x0015_0«\@ºÚöé`\@ùAÅhÓÌZ@0`É¿_x0001__x0002_Õ`@Ås#¹A[`@÷Ä^RF`@_x000F__x001E__x0019_Cöç\@M_x0003_a=2ÿY@ë«j¶Sk^@ÖlÆCÖ;U@ú_x0006_c²ëu^@´Ë_x000F_µôZ@´¿øÆ_x0005_^@z25W×b`@.°pg[@O,Èj_x0005_ÇS@_x001F_¤è &amp;X@õð¨±xZ@äÊÀNd]@1õg]@è_x000F_*!0S@Ò`x_x0001__x000C_-a@¢ex_x0003_µF^@_x0011_K&lt;sX@_x0015_õ_x001D_èNáb@§uÈ¼É	_@_x001F_òv_x0004_x;]@Ü_x0008_Ú¼Vd@tQ×#.µU@{r´©uÞb@_x0018_ö£*_x0015_`@_x0008_eâ$A\@­¾ÿ{nZ@ÐÙþOc_x0006_`@¶J¹_x000C__x000C_æX@_x0001__x0002_c_x0012__x0013_P_x001F_V@(_x001A_Ý&lt;b@Ê±ä|¨_x0001_`@|¡ÛÐs|Z@K¤Êbµ`@f_x0013__x001D_«m£b@DCsP6ñ^@Û©l¨_x001A__x0018_Z@_x0006_)ûWJ_@D¬*±_x0003_`@_x000C_jÊF_x0005_$b@@_x0015_ºò7V@½40a@SÌ?¨Öb@ÅÅ_x0006_f?Y@ìÛ¿_x0019_ÕÂ[@ñ±v~]@Èz`Hç±\@oô_x001C_æéû`@»_x001C_Ã¯@@\@ÜlàR£ÑX@òfÓGÿV@_x0011_êÅn*ÍX@´Ë]WlX@Zl_x000E_[@gÅÞ[@löÀáb@}*½_x001B_\@]²_x0012_A_x0018_`@ÄN/_x0017_2ö]@_x000C__x0003_ä\'ôM@|IYþ_x0005__x0006_\pX@&lt;_x001B_7¡%b@î0½,_x0003_åU@_x001E_c_x000F_{`@©µ²Ó¸^@_x0006__x000B__x001F_çÏT@_x0016_¨ÍY§T@p_x0018__x0007_êT¸`@_x0017__x0002_8XXV@Âëýßb@_x0005_R~`@_x0013__x0012__x0004_/3^@æîüÀFc@;NÑd/4f@¿L_x0006_)Z@O~ìÿo8a@_x001C_AÇx#_x0017_^@Viò_x0014_¡_@Î[¾¯ÉY@öz2Ôð7a@ø¸Á¬1_x0001_Z@&lt;i±É_x0016_q_@_x000E_Ð@^døX@õ¯^X]@¼ÍïïëW`@_x0008_vÄ×_x0012__x0011_^@yøø_x001D_T@Íù¯ö©_x001E_\@¼_x000C_e3¡X@á³3Ä_x0018_õa@0¸§_x001B__x0008_Z@Æ_x0003_¦EÑ¬^@_x0004__x0008_ÊRcGX@°_x0014_îvã¬b@Ö-F­\@çúrñA_@Ù*%Öì]@6IÔÃ]@_x0015__x0010_Ú_x000C_BY@»_x000F_4ÑçæY@µÁE­_x0018_ú^@W*_x000E_½ûa@÷ÝóTV@_x0004_ª±_x001C_¡Ib@\ß»_x0006_Äb@_x0013__x001D_¼.æ_x000B_Y@ÜgÑY@_x0019__x001E_uß&amp;Y@î&amp;ÁS¦d_@L_x0011_¯_x000B_{=a@5Ó*_@gÍ_x0001__x0005_&lt;Y@ÁyA}^@°]ÖnK¶b@¦­ã'îb@/_x001A_BøQÐ`@Í _x0003_!Fb@rå_x0007_XZl`@I_x0004_S§µZ@)Ú\_x0010_ïiX@Î0¬qB´U@ô¿ÅÈ²)[@D¤ÄWfâa@Zg_x0002__x0001__x0002_"¢`@Lã©½=P_@_x0006_Ê`ü;æ[@|ÕQ*È&gt;a@_x001A__x0015__(ö0b@øÕkDY@å¨c«Ó`@sÆ_x0011_õ&amp;a@_x000F_æÒ¥q9\@ºá_x001E_|ây[@y2úh K[@¼¢_x0011_Ú*¢]@g=4Zæ_x001B_Z@PóÅÄ9$`@Ø(Ñ%=_x0014_]@_x001C_Éñ|^`@\ê1ynéY@_x001C__x0010_üJ7Ta@_x0004_Ò]s¿X@hEwÁ·a@_x0005_9AÛç]Z@¬_x0007_Ëïb@J_x0011_Iö&gt;Ý\@aÑ¾_x001A_ãZ@,K_x0007_ÈþáQ@­_x001C__x000D__x0013_uY@ð¯÷îÿ;U@ËÅ¡3#Lc@ÕíÊûÑZ@6Ýó2¦]@9_x001B_ù6G_@_µÌ&amp;+DZ@_x0001__x0002_êá=ÐFNa@n×_x0018_sG_x0015_Z@»hk `@ØþÁ­]@Xd_x0011_ûI.X@¦åÏu¹X@íÕ"á°_a@[_x0006_æCç£`@;ë²ÕGû`@ö¡»à¹~`@_x0005_T&gt;w2_x000E_b@_x0012__x0018_kôBb@J_x0018_=ö¦ð]@þ_x0001_¯{,µ^@CéSHY@3Õ­§è;Z@¶*³_x0001_»#c@ÊÓK&lt;_x0003__x001B_h@~Í*!vÆ`@_x0010_O_x0011_Î[@C|¬ûß_x000E_Z@ã^aÖâY\@ËX]\Â^@N&gt;ñ%©éX@hFâR¬_x0003_X@F_x0002_þ#Ù`@ã_x0005_'®_@ÉÕ_r_x0010_a@_x0018_í _x001D_ß_x000B_a@YüÍK&amp;É\@_x001E_øPºøL@(µÞ._x0001__x0002__x0012_ÝZ@UG;ô õ`@P¤E¾)X^@!»4U^@_x000E__x000E_úlÌåV@øm_x0011_Þ_x0005_oc@H&amp;ª_x001A_ [@èânH_g@9v$ô_x000B_Z@Ø_x000D_Af/Z@íãÃ&lt;vWe@Pöï0_x0008_ºX@l"tñ_x0008_W@4¸_x000F_¦¹`@²JJÒVòV@d_x0015_!-ù^@mOÝÔ`@_x0017_»àÕÖ^@ê° §ó2[@fê_x0003_ÊOHb@R_x000B_ow_x0007_ÆT@zTvñäG]@É_x0008__x000F_ [@¹X¬ÕJ_x0015_^@à¯sL\@|9_x001F_yù×c@_x001D_e¿ý_x0003_-\@jÓ¢_x0010_Á¸[@_x000E_þú_x001B_XX@O¾)_x000D_×¬`@»]WÔX@_x0004__x0003_{Ý_x0016_zc@_x0001__x0004_ßnZ 5Å\@+ÇEÃë\@d^è_x0002_§^@V&lt;_x0001_ëO»]@k_x001D_Àr|_x0004_c@¤_x0017_Ãù^b@-¯ÖÇr.a@ÙI%_x0003_ÍÈY@¤=õ2+T@Ös5Ñâ^@é~&lt;²û_@®P_x000C_~3@]@_x001B__x0011_Ä¾üX@t®È:,_x0017_a@Û¡ìN_x000E_d@P¾åvqÄ[@ÇWzU?Z@ò_x000E_©¥b@`ý__x000C_àË]@r@8![@ßL.là`@S:}ì3s_@¿&amp;ð_x001D_ùz`@2S_x0014_\[@"_x001D_¬Ò_x000B_b@ÞR9Å.§_@_x0017_ ÖK_x0013_°W@.?¶Þ^@=_x0011_yüKÏX@_x000F_%¾EL	V@ïhÏh¹a@]Õ_x000D__x0001__x0004_otY@_x0004_¦Ëb_x0001__x0002_`@4ðc$6[@|+E¸Ëf@S¼}±L`@ï$oþºûV@_x0012__x001E__x000E_ÉY[@köÕ³`@-&lt;A_x001D_yk_@_x0004_;ËS©ä\@$F_x0014_u![@¬_x0013_t¶Ý_@W¿Sésqb@¶©Æu_x0003_²c@ø_x0013_à`A_@n_x0011_º#v[@íXgÉ(å`@_x0018__x000F_ÚX­b@b_x0003_X]@¢©Ò1a@pícÏVsa@´M_x0001_¹_x000B_¤]@þ±ÊîuZ@PûOlf!`@îÉQË5£a@_x0001_l´_x0011__x001F_b@sö¼ªÄVY@áX6sW@tõZ©ôY@Lß_x0015_Lëº_@¯¼×_x0019_3Z@&gt;@Z!ïb@_x0003__x0004_ó#ô!_@þ_x001C_9À]@u·±°'iZ@&amp;møvE]@b=ð|¢b@ó¼+_x0001_:ÖV@ýCF[í5`@Wx¶dyV@Ãd_x0013_çæP\@)NW3-a@_x0011__x0018__x001A_.ÑU@ö_x000B_ÏH)a@©Oi\Á_x0018_a@8a_x001B_tï±R@_x0002__x0008_9ã_x000E_£b@dóÉ£pd@&lt;Ï:cZ@ºé¡§Ñ`@Ü7ªc³Ù^@_x0008_´jÁÅ`@¿óosäX@ö+Ù¾Â_x000D_[@[¸-ãkøV@[·/È_x0012_b@ÓàÏN&gt;ÿa@~w_x0018_o_x001A__x0013_b@ÂÙ|&amp;Ù_x000B_U@Ná¼ã/?^@Bo¯¿ÿR@ ¾z_x0013_d_x0019__@¯6¥8#c@3_x0015_u¯_x0002__x0006_Q6a@_x0012_ó&gt;fÊa@ _x0003_?Eq`@3û&amp;«ÎòU@_x0001_¥ûb@)Î!úó\@å_x0015__x0014__x001B_ãk\@×Ñ5ëb@Æ_x001B__x0008_ìÅR@_x0018_¡Fl¸(`@$=_x0003_jÝc@Ï_x0014_Ý"6a@Iê_x0016_	]@pö;ÌÅ´[@Î;ð;Kàa@.ûL¹`@6_x0013_·ûÍma@4_x0015_ëòÏ_@ÜI#$Ý³K@Þ_x0005_ù_x001F_qS@_x0018_l_x0005_K|Z@_x0010_M¸"+å`@YS_x0006_2u\Y@¤_x0007_KR'\@]T©_x0014_þQ@gáªaçð\@Êâöm°\@m£_x0018_|_x0011_ú^@2ëÆ{_x0019__@¨s_x001F__x0014__x0004_Ê^@&lt;ÔH:&gt;:X@©,¯ÿB`@_x0001__x0004_W»N×ÏAa@RÜ_x001A_¡Õ?S@Híý1çña@_x0011_·7_x000E_._x0006_`@_x000E_O¾Y@Mz_x0011_~_x0012_§`@_x001A_Oï2`@2+_x0002__Ó]@ß§ðÔ\@üä_x0003__x000D_R@³Zoù_x001D_CY@!W&gt;öÙ­V@_x000E_ó7ÑÆ_@gX_x0015_Y@N(ùEÉZ[@ÍÆY_x0007_Ac@Ëô_x0001_¹1W@²_x001F_ù^Á\@Ed7Ñ_x001E_Y@$&gt;fcå^@qü¦[q`@[Ly(®`P@dïÓU(¼X@æQ¦H_x0005_åc@þ_x0008__x0016__x0016_×qR@4ÿ®ñY@u_x0008_maØ_@ý_x001A_°_x0001_ø^@?z_x0008_³È_x0011_[@áë= µ`@ñºn Ù_x001E_\@¹¦¦_x0004__x0002__x0004_ÙýV@í»¿1ÕZ@ûã©LJa@_x0010_p¿ålb@r¥èãt_x000B__@¶±_x0003_^_x001E_ÿY@MÊ©ZÜÉ^@ûð2ÑW@_x001A_·ÆDO'W@ñ"÷±°.`@_x0006_$çX¦@^@eÓ7_x0017_þ`@Zb­Pÿ_x001C_\@@Éòç]@_x0003__x0002_AÔUX@¶¼_x001A_9&lt;éZ@Z_x000B__x000D_$Òa@ØÆFõË]@PÓî_x0001__x000E__x001D_Y@áøq _x0001_U@Sb4ó_x000C_Z@¥ÓùRD_x0011_Z@üüT§g\@hn}¦&lt;[@Ö_x0011_HËYÑ]@G()+	¥Y@ÊA8^åZ@ð._x000F_o4^@à_x000F_sÏF]@Û4Ë f8b@ú2ÖÖv_x001C_W@V£{\ø]@_x0001__x0002_F®ú6ìÜ]@._x0001_ç5Òxb@°bÊó±V@©TN_x0012_3n^@´Zã_x0007_"[@ª9,_x0011_a@Ó_x001E_¤_x000D_e@_x000B_þDùxÒ[@o¾÷sx;\@áÄêas_@mjSáµJ`@_x0001_\³Y\@Á#à¨¬[]@F8¢[Ö`@÷_x001B__x0019_æÉ^@OPÞX@Ê`««X@qÛU_x0001_¯8W@ø£=Z@­GÛ]@D³_x000D_BØ9`@=r&gt;_x0016_þO^@fþy±Ý_@ÌËV;'_^@RF1¼^@3ÜÙb`@?ÛGï"ØW@5_x000C_5ú_x0013_B`@£qÞ(Û~^@Í#ùU~W@·¦Ù¢O­a@ºY¤×_x0001__x0002__x0017_[@ÓG+¼«S@3ï_x0003_kE_x0002_^@wáêÔÎ×X@X_x001F_)G¦Èa@/2ºfÝ¨b@_x0010_&lt;YØ#Y@¡ýø3PH_@,L"íñGg@'_x0019_²$Ñ[@¬æ&amp;Wa@Ð_x001D_À_x0002_à©X@zÄ_x001F_/68W@ù4¨@td@Y;_x000E_&lt;¸^@UösA³a@{ç';¨[@Y{C$*]@¬_x001D_ÕR~i_@rh_x0018_U_x0006_X@ËU_x0005_ï)a@6Üë²­ic@Ï7áÄ»ò^@¥&amp;¶§²6Z@wáâYâÏ^@µ_x0018_ÍL2%`@_x001B_bÀªÖT@#Ç_x001D__x0003__x000E_`@§Ù&lt;æaS@¼ùùÍL`@Rë /`e@[_ÅÞoU@_x0001__x0007__x0003__x0014_Q¦ÛÙY@liµ_x001A_=^Q@béi1_x001B_`@ÙpBEJb@_x0006_§¸_x001C_|}Z@°¥X®&lt;ib@Ä-_x001C_³_x0007_n^@Ü&lt;_x0005_¸Ûc@÷_x0004_$ÀxcW@_x0004_üÖ_x000D_î_@òèsDW@+12&gt;®}X@n~ÐñªRa@éQÞ__x0010_m]@_x000E_U½S_x0002__x0013_W@ýÓ:_x000C_såX@Xí_x0006_zêæb@B©\U´Æ`@Kºïdka@/¤®CW@,åfãm`@*_x0016_}_x0014_HRc@F_x0003__x001F__x0001_ÿ\@%OË S]@íYq[@G!_x001C_p);]@ß_x0011_û·_x000C_É`@ã-ÒÂò`@j4SJj^@¿_x0013_´_x0017_æ¬^@_x0003_³ì¹b{Z@ú\)_x0002__x0003_äÅ[@_x0006_îhÖz]@*â°J^@éß_x0001_R©V]@!òKúÉ_x0013_\@ø¬Éè_x0017_]@X	)HçµZ@¨Å_x0002_jD_@_x001B__x0008_Ìz=V@«Â#_x000F__x0003_¶U@H_x0014_Ù*¦æ`@ûÔ¯s¹å^@/}µ#,ýX@_}ërF9V@üÝv_x0015_ôéb@iq_x0001_WÇa@(²ò_x0006_&gt;ü`@\ËtÂ%b@Ù¬µ_x001F_(DZ@¬owÖ´U@0J«Ð{f@²µp¸ñ_x000F_`@ns¥)ßd@_x0011_AA½Ô[P@ÿ"çÏÔô[@)õ¦ó]@=LP-VoZ@û¬_x000C_£)\@R¢£_x001B_©_x0003_W@ð¦vLpc@qy0^@_x0014_ _x0004__x0017_/_@_x0004__x0006_P¼Yi®_x0008_c@Thþ}ÅRb@_x0008_ª¶Ä¸^_@JXUÍ¶]@õ_x0012_£3-6W@ Y¾¾_x001B_I\@¦_x0008_RZÅ_x0011_]@_x0002_h¬Z`@ÌsÚß`@_x0015_¸ÁL_x001C_c@&lt;_	ó_x0019_Q@÷­w_x0005_fàW@­è_x0010_¸_@³s#Ó_x0003_C]@3¶è% a@ôÒ_x001B_¥_x001E_.`@.PwØvY@ÓF6VÝ~[@[_x001F_oñ¸X@"|LÎU@_x000B_Ò6_x0004__x000E_Q`@;j~'_x001D_¬X@_Zõ[_x000F_gb@ïÆs_x0014_ê`@ÐýkV.X@_x0012_É5&amp;¾ÌX@_x001B__x0018_^_x0007__x0017_3Q@&lt;¿«ñH¶_@uËÞn¼Ú`@&lt;Ç·_x000D_ÆêQ@x_x0002_Q¤_x0003_X@}¿v_x0001__x0001__x0002_rb@ã_x0001_÷ ¤]@lÈ.,Ï _@_/¢kd_@ðp§éY@_x001F_¤"ËÇî`@Y2NuÆ¬`@ø_x0003_z\	X@a5?_x001D_ñ_@êóÍ¥_x0010_øa@@¾íð\@9K_x0018_úrâ[@ &gt;Ì34gS@¥~zax\@×	ðr_x0019_ÆR@_x0013_ñãñ¯t`@jã_x0007__x0015_T@ÕÝ\î;ýd@=_x0014_yÑBW@oå_x001F_a@¢o#_x0012_^§^@Ú.aÃc$Y@¥*#_x0015_âV@~}¥¤(`@*âþ_x001A_ðP_@ì_x000F__x0001_¼ìò\@F2ôÈV@"`[·B4a@mabPcÖV@4ðÀí_x001B__x0016_d@=Î~¸Y@³¸js o`@_x0002__x0004_É¡0_x0017_m^@©¸»9]@,¤_x000B_ÁÚT@_x001A_-Ø¯_x0015_ T@hJÐ/ÜZ@.ùTC_x0008_^@_x0013_Ó[@B	&amp;û\@_x0014__x0016_{_x0007_ª¶a@cJÇx?a@¬Íl?-`@Ö6Q_x0001__x0013_´X@i§ØâÒö`@_x0011_OLë_x001A__@|êrûD=\@	_x0011_»r_x0003_µT@é­¸_x0006_Ê^@¹Á_¡[a@(_x001B_Ó_x0007_ù$e@_x0001_w&gt;=¯Ôb@d½º,s`@Þ»,8Õ\@1_x0001_#Ãú_@\îÉ!èc@_x000C_¯IßJ­W@4Îþpk^@ÈÚZ%yñ]@Ñ½+A\_x0001_]@(Ø_Ñ8c@^G]éa@L_x0017_9N»ü\@~æÍt_x0002__x0003_â`@T®»®F\@RÅºîá9W@y7h" M`@»_x000D_7³Ü8a@6¿_x0001_®i?`@Tã_x0012_S!¹`@oÓ 3¤^@Öb!%[@ü°_x001E_´_x0007_d@ñ³çl½_x0005_b@ñÜ²_x0011_)¶^@èsJ6ÂPZ@_x000C_ü]Y@Ý&lt;_x000D_]G&gt;a@;pï#¹^@lÉ_x000E_Ø_x0012_ßS@_x0002_µ=Ü¢#`@ ý_x001E_cP[@a&amp;vx;T@R/À=Û_x0012_^@@I{_x001F_u^@Æ[X³_x0002_U@úúï¸C;Z@_x000C__x0010_·_x0008_5O[@û_x0003_eTÊ`@ùEù5äa@ãtúg¶_x0018_\@p¢üfø²`@È*ýÂûV@¥Âî_x001C_&lt;Á`@CÐR"?a@_x0001__x0002__x001E_Çü18ÙX@¹o¼Ã½Q@»&gt;Yh_x001D_[@6)b¼Z@¦ÎÍa&amp;db@ÝÞÿ¤Bs`@_x0005_$vP_x0012_ä\@Ý}§X±ga@¬å^µß`@~íñú_x0004_a@²Y_x0015__x001B_³Z@%´ß\@ý_x000D_L¾½c@1.²_x0008_¡\@®_x001C_ÈDqa@Aèc@:ì_x001B_g&lt;_@ëB×Î¬c@:#5GV@_x0012_V½ Tv]@¹Lsé]@Ê4_x000E_#ø`@æ _x0014_»Y@«T¸3aq`@ßn_x0007_2÷a@ÏÊ_x0014_·K¸]@*_x001A_í4X_x001A_V@ZèkfO/X@_x0014_zlNVñY@pN_x0018_e_@{G`Ì`@_x0004_vV*_x0001__x0002__x0013__x0016_\@=·\_x000D_÷º[@_x0004_W%_x0019__x0015_ô]@b ü9Óc@T%Gù`@të¸m=Y@K_x0019__x000C_»ùÔg@&lt;«¬Øa@ý*{Ç4X@½ÝÂ¢m¦]@*_x0015_vá_Y@­t`°ë"a@_Lü_x000E_]üZ@V_x001F_ýé a@â¸m÷4~a@Ë)^1_x001A_éW@1üUèX@`.Æ³`@©o8¸_x0011_Z@Já3ÞÈ/]@?_x0016_¿ò¶æ`@§| n®c@_x001B__x001C_¶[@5_x001C_ZrM[@ð2ûK¨[@_x001F_9}F#uc@H/;#_x001A_QR@çqÔpÀïY@_x0018_1_x0005_OB)a@_x0011_9_x0007_¿ó\@_x001F_x¤-M]@ó]ÿ_x0016__x0010_¡_@_x0002__x0003_\"ÚÒÚ#`@e%_x0017_U_x0012_öb@^Vï¨]@k÷ïX@C_x001E_?6TCU@)ÒH6¼®Z@m_x000D__x001D_"o[@p7Àiù3[@¦rR_x0008__x001F_Z@Ê|¶¹Ýd@|ç_x000E_D;+d@¾J_x0008__x0001__x000F__x001D_Y@_x0011_×~Ã]@Üª¨_x001B_~ï_@;_x0002_³[_x0010_[]@¹Õ_x001D_4Üa@râë_x001B_b@;,h_x000B_´da@E_x0003_4¶`@uñð`\@2Ò(&lt;;Z@Vc_x001F_L¢Y@çÀÀÞàV@z¹ÓBU6b@¦eiQÅ³_@þªôú÷Û[@_x0017_®&lt;kºc@ãqH¬MX@Ò_x000B_ò¨ÔW@¦°_x001D_@öR@²`ãe@_x000D_¼c!_x0002__x0008_r¤X@´CrU@9Ä¸ð_@8«Ìr_x0019_d@#Ìq¦¾a@jÃ&amp;`@øåßu_x001A_c@k¯3·;`@Æjqe²b@[èW_x0011_4a@a}^MýâZ@mçzSæ_x001B_[@w_x0016_ÅÕ|a@¥Àê_x0005_Ód@»iiÝO_x000F__@_x001A_F_x0008_ûd@®_x001A_	¿§%a@e&gt;_x0007__x0008_°^@5¬|IV@¡î`e8]]@_x0001_&gt;Þcâa@Mu¾Qæ`@cWýß^@%ª_x0004_GèjY@_x0018_¨¸F_x000F_Z@Ôê;§\@_x001F_á³_x0006_ü£]@Vºë²ÊÑ`@'L_x000C_hØ4d@_x000D_t·Ý±\@¿·h_x000D_b@?ó_x0003_Xð_x0010_`@_x0005__x000D__x0019__x000C_Jz~_x0014_`@FëÜb|\@9õâ[»[@ê-¼îæFX@*j_x0015_ÁEÐ]@](JQËâ\@Z_x0002__x0004_=ù!Q@&amp;ÂÝl	pb@öÜnÄ_@H´_x0001_âI%^@]AO[Þ2a@-~õ_x000B_`@ô_x0012_ïÆ	^@¬ôç_x0006__x000D__x001E_c@ÛÄªDél`@ò&lt;s{ÿË`@5QÇNJ`@_x0007__x0007_PÉQ@_x0008_tÎæÒN[@P&lt;àÁª c@¤û§×edb@_x0012__x001D_R¾D]@`,JîS@_x0006_ªtË±_@_x000C_âÅ¾G*^@éA4àa@z×pÌ"#`@»'£Þ_x0016__x0018_a@?®ðq\&gt;_@ÿ$êÃÉb@c_x0002__x000B_Îÿ|Z@ô_x0003_V_x001A__x0002__x0003_&amp;`@B_x0012_Ö:òMY@²ÏQ#`@hC&gt;kýc@zÚ_x0004_ï½T@#ù_x001D_;¤^@ÁSU¼Å^@­+ü¯/`@$-=_x0001_r³b@)»U`@_x0007_pÄ¦c@.än_x0002_Ua@_x0005_qÒ_x001B__x0012_ñb@_x0013_ßËBLa@ýýà4»ÎS@_x0010__x001E_# &gt;C\@_x0015_ü4ÛaY@úí_x000E_.ð&gt;b@WR_x0015_àÞ[@»_x0007_ú¿bb@ûd¸$|S@£4å$_x001F_\a@¿ÍIª_x0011_â]@'ë/_x0002__x0011_²\@Ö×_x0010_Äc@¯þE£\@ÂÚYrFa@Ñ3õÃÛy_@L'eCâù`@fu!|vKT@6e_x001E__x0017_]@_x0014_|Wdû[@_x0001__x0002_	_x0014_¿_x0005_pR]@n¯_x0002_¹[@¡¶e'õ Y@^Ä°h_x0013_ã`@j+wZ@Z_x0013_IJV_x001A__@kÇ×_x001F__x001B_`@Iø=5_x001D_m[@_x001A_L_x000E_Ä³¢\@tÛ¢_x0018_c^@Ìì¯HdS@È/áKÑ^@ê_x001A_V$ÎïV@:vK _x001A_`@_x000B_M(9?[@_x0012_Ç_x0017__x0006_u_x0006_T@ü@øùqZ@ÂÆáÑX@=w TA_x0004_d@_x001F_üÎó®·b@e÷Ð×BS@-Îà´_x000E_\@S,Î¸^@¬¦R&amp;_x0018_`@¬Êçåó\@Dºî¶6\@XÇ££±úZ@µ×{&gt;ôÚS@¥w_x001A__x0015_iV@­sá5Ýðb@ªpz¨KW`@òá½_x0001__x0002_¹$Z@_x0011_JY¨¹`@ô_x0017_uXtX@_x0007_"ª_x0014_ÙV@xýÑÛä8`@ V§Iy`@ë_x0011__x0002_4ç_@¦â_x001D_¢ß_x001F_`@`V9Uq\@:P¯_x001E_b@¿2³ø¡[@aã ðõð\@_x0011__x001B_2y_x0016_b@(_x0016_gºóV@³¦V½~(`@´pck¿`@_x0016_P_x0001__x0013_®\@h_x0017_ Êµ_x0018_V@H3G§Û]@FcÂ_x000B__x0011_`@Úëúc»ib@cCUî_x0015_O@g½°¸\@ÖËØÀÌ_@0P·_x001E_¥ëW@Ê¿Íä\@»Ñbû BY@fê8nC_@¤hW,N6`@JJæÀ_x0011_åT@_x001B_2ÕÂ1.]@èÕ4tp]@_x0003__x0004__x0002_q]_x0001_CR@¬ëå¾`@åâ Å_x0011__x0019_c@Ç_x000E__x0014__x0011_)`@{iß¶OT@_x001B_C¾¢É[@!«_x0011_L\X@_x0012__x0001_*Ã`@\I_x0019_»_x001A_°]@£_x0008_V_x0005_&gt;Ü`@Â×.Î)`@¦#î_x000E_ya@_x0018_Gòøµ·Z@"ÐÃ[È¡[@$z à4Y@UÒK;'_x000F_^@ÊV_x0010_|ÆÿZ@C)Ó@nØc@EÉ¬,ÿW@_x0008_%ÏAË_x000E_c@_x0010__x0016__x0011_8ÁZ@hÑPwyec@Ðø´aÕÈX@ÂÍr_x0005_¢a@ìâÃÚö¿^@l»óÆé`b@;ÁEßU\@éoâeG_x0011_a@Dï;å_x0018__@I³_x0003_üD`@´¸©dõ3b@aÓP_x0001__x0007_{úc@$ìãÜÙ_x001D_e@xÅÌØ]@:FýÑçJc@+´d§ Åb@j+_x0003_è)ìa@z_x0005_'bÁb@#L¿oi`@i¯:_x001B__x0001_]@Ü\$òE`@¯æèOÙZ@}È[â"õ^@wY{vn_@Ì_x001E_=_x0002_"[@4K_x0004_óñúb@êH_x0019__x0003__x0005_¬S@QòÉ¼-¿e@eqd_x0012_`@À	)$°¨X@wî± ú[@bÝã*L]@Ã^%åkt\@»ò_x0004_Þ §]@p_x001A__x001D_¢bX@fC?¢ìX@n(#*`@^è´LZ£c@{5{Çü\@&lt;µq¤&lt;z]@u_x0008_Î_x0006__x0018_äS@°¦K_@ÉVëJãîa@_x0001__x0007_³_x0010_¯¥Z@7ñ¼C`@w_x0011_Hx3&lt;\@MÙßÉBc@*?P¦Ó*V@SÜu8§a@è"{×B_Y@xÂ¡æ¹Ç\@_x001D_Ð¥d_x0002_"c@ÒóU±U@½^ë³&amp;_@k2³_x0012_aWV@O_x0006_ûá[b@Ëhx#+\@À\u&gt;G`@ rñ#_@_x0018_p[dÔ_x0012__@Ns¯_x000E_¤^@+·Ä¿&lt;P`@½ _x0014_v&gt;]@æ*ºÇ_x001A_±_@_x0015_ò_x0005__x0010__x0004_a@Ç_x001D_6_x001D_Çø_@_x0012__x0003_£(_x0003_^@nP&amp;_x0014_`@H_x000E__x0010_Ì:\@£_x0005_í{´`@t°_x0011_hÌZ@Öèfúc_x0006_[@Õüì8Ä7V@÷)n`!Â]@jÄ&amp;ö_x0003__x0004_6ß[@´ÑÇE X@·ÒÛ¦B[@Õ©äT_x0002_`@"*&amp;7;_x000C_^@-è_x0007__x0008_S_x001B_`@{_x0016__x0003_ôe_x0019_a@nm_x0007_Û\@0öÆb_x0004_ÏY@;.Ä}ÿ°Z@RzÕ¦{b@4_x0008_(x]@Jùx_x000F_ÀZ`@_x0010_qÅªÀ_x0001_a@e7Û÷±^@õ0áoòW`@Ð_x0015_ïíã­a@Õ@R@ÏÇY@_x001F_Y$Âô¦`@Ó¬Aìx^@öÊ	iðªX@_x0002_ôZ,Y@òô_x000E_\ßB[@_x001C__x0017_aåñ|[@½9^_x0016_3W@N¨ï_x001A_¹¿`@²@/U´_x0007_`@_x0015_ß Ðüè]@ÆÑ¸ R`@t_x001D_Í(¼Ó[@ÇòYe­[\@_x0007_JSjxV@_x0001__x0004_¼äfB/ U@Ä$.ÃÄ`S@`r÷É¾`@B2µ_x0013_´×^@_x0010_q­º_BV@¼æû)bÅc@½"x´`@*1ÓPhÙZ@&gt;¡_x000C__x0013_­`@%_x0003_3óBc@Ì_x0014_Mu»_x001D_b@÷/Ñ#ð`@'õ(îæ¢\@²+.%¡`@m@¥_x0013_)ÑY@33(HÔX@ö§&amp;2÷v_@wQø¢æì^@_x0002_ÞSnc@?y:°ªÌ`@ §y_x0012_Áx[@Ù_x0008__x001B_uX@â#N§ÅW@më{ÃÖ[@¢{_x000D_BûÔd@· ýµ_x0018_Y@I®_x0001_Î?Æ`@ù|Ú_x000F_a@NIqf"­X@ /\BU@@ÆF_x000E_«u_@ýæ^]_x0001__x0002_xDR@ÖØU6v`@WdÜÛO+b@R×'~ðèZ@Ð5?:?a@_x0010_ÆO_x0012_«b@3É_x0019_¯øÑZ@_x000B__x0015_ä*3_x0017_^@'E©q_x000E_¡X@Lç~ÆsÈ]@ªNìVT@s"vC³oZ@Ï_x0012_Q¼ø¤Y@TÚºú¿£Z@dÃ®Æ²]@²5AäÅ`@Tku@d~]@tå_x0003_:vI]@_x000D_ß÷3GY@»U:`ªY@°AÇZ@oèý '!Y@v.¶ý$Ø^@hlÊZ@'8ÒÇq¬X@µ#ÔØsc@û_x000C_='`ú`@cÔÀ¥Æºd@ìÉÉÙìª`@ëææ:Y_x0008_]@ýÏ4,X@óâµâ^@</t>
  </si>
  <si>
    <t>f53116fdb604cb7b029bde22c3fbe0f2_x0001__x0002_döð_x0008_ê;[@uæáhl`@Õiy]@»vTzó_x0006_^@RÁýF]@tV¦_x0004_­_x000F_b@Qü7óÎ]@_x000F_U½»f]@mÂ,Ûb@ÇI®_x000B_èÖc@¯\ÇUza@_x0012_±­k¬Y@¯ã'výãb@Øq(_x0002_wU`@NiVýI_x0011_a@Nt¬&gt;§ôc@P_x0002_9Ýla@ÆãÜìF_@~ý¦Ýâ_@Ìý_x0007_TNa@_x000E_¨D&gt;Ö_x001E_\@_x001D_M,+õÚ]@_x000F_ð=×_x000F_|T@©öÑ®)Õ]@â_x0003_\_x0005__x0019_\@Bßeáa@_x000D_&amp;µu_x001E_¦^@faYêt`@Z_x0002_ñâë_x000D_X@à4qoÈ_@}®{hIa@þ_x001C_Uê_x0005__x0006_ë±[@!_x001D_þ	¬Ó\@gÝ½ì|\@_x0014_à_x0003_ñÈ]@ÿ­YI¸_x0007_V@Õ_x000F_¥Ì_x001F__x0008_a@ò_x0002_õÁ`@&lt;«¾æÖa@"3M9ñ[@®_x0001_À8Y^@Û{Nò¥_x0004_\@S¥ôwaé\@6Ï³pMNZ@f_x0014_B3_º`@?s_x0011_¶µÓb@Ð[ÖfZÛZ@Ã_x0015_pK¬¾Z@¦_x000F_:W22W@goXqX@|XdåTCb@ÀèÆÛ¶Y@gWà]ØÜ\@Ú­_x001D_Ò_@&amp;¯ÓIï«X@_x0010__x0013__x0013_OÆa@ë_x0011_IÈ¸T@S»YÛ_@ ÍtbF`@4Ò×°Q@ãÜ¡/ÊÔa@_x0014_|RÅüL`@³ûLJR)]@_x0001__x0003_Ö®mfA\@4þ¬AÇ`@R¶N79_x000C_c@ñ`@[ºXD)`@á_x000C_5DDþ_@_x0008_zÑ_x001D__x0003_\@Ö¥=ïZ@ #OqÞÆ`@¯øù_x000E_&lt;Õ`@w²Õ¤¾_x0016__@_x0018_¦W_x001C__x0008_"^@_x001E_møK[lZ@ÔtzôÌ®`@+øÐôÇ\@xÚ_x001C_X_@¾YëyY@4á[¶y_x0002_]@å/_x000F_hæ\@D¸áÒx_x0002_f@¤àÎêÊÿa@_x001F_Zå_x0008_+F`@X²µÕU@bÅ×¿_x0005__x0011_V@_x001F_&gt;Ø±þaU@fË¼ûBÎ[@bÞÁp\@þÑ_Ïl`@câ_x001A_µ]]@õÞì¦_x0019_a@øMu_x0002_¥b@Y9ÄÀ_x0004__x0008_¼·a@3_x0015_¿)ÉY@PÞ½*_x001D_f@_x0003__x000C_.PX@¬ÿèÙ_x0007_)]@O®_x001D__x0003_W^@_x0002_×g?â&lt;a@èQ	,i_@_x0008__x0005_ýÃ_x0016_]@[_x001F_j=!¥\@lWÎõú`@&lt;læqÙôX@­|QZ_x0011_^@¤GHmbÌ_@_x0017_Ë»h7Y@æÌ§øð_x0019_[@¬UFÀeÔ]@ñk¬_x0001__x0005_-_@å+-ED_x0003_\@ÔÎÌ9_x0008_±W@±|!KÉY@Zq}ÊPÝ[@ñ0U$¯T@_x0006_¨èºqb@#æ]syc@°øâ®=Y@Ý%ÉÝ\\@è_x001C_(^_x000F_a@^öÓ{·\@B 9¤Fy[@¡t&gt;¨ÓY@NþKÒöV@_x0001__x0007_6¯Q@2³\ 1`@¼¬6_x0005_[@h"%·|a@_x0011_iÝ;®Z@ÍHa@â_x0014_V_x001A_âb@iÉ±_x0012_Õ8Y@b_x001A_ÍIÐdU@XÑt_x001B_Î^@¢_x0002__x0008_çGF[@¸ý_x0008_Ï_x0003_&gt;[@sÝ}ºfX@Þï_x0003_}/a@îßUôzZ@_x0012_nÿÜbU@_x0018_=×$\@XMÕlÜ]@=*ØVcP@`d,&lt; `@g_x001A_·¦îTY@8Ã_x0007__x001E__x000C_\@ÙÁßYìa@BÝ£çª_x000D_X@Åb0_x0004_É\@y_x0008_ÉìµlV@¶_x001E_Bj_x0015_Ãc@Óâk-­W@ñLJéÕ[@Iãpja#Z@¢*_x0011_ge@}ó-_x0006__x0002__x0003_oRb@´«o6_\@~ÑmhiÈ]@__x0019_Ò}`@©øS_x001D__x0010_b@}Î&lt;©hÊb@_x001B_{Bf _x000D_X@N¿@­æY@½ÛÔs¢½`@Í2·3©_x0013_d@ ².ÂÈ`@Æ3±ÔÞb@ÎA57;Ía@_x000C_æu¥²ý\@p_x0013_)c«\@}_x0015_Å.ïÉb@ÀO¿÷wGa@âÃO_x0016_Áa@·2-¸\@_x0007_ý²ÍÇR^@'Ì½g\@_x001D_±_x0008_z"c@_x0017_bz_x0010_Þ_x0008_]@_x0019__x001B_cN_x0017_c@|¶_x000D_Du_@øçN;Û`@¿Gg_x0015__x`@jV_x0001_ªöZ@_x0005_x¤ìë_x000E_c@O_x0002_"ïz S@Í_x0003__x001D_f_x0013_t_@^/ù_x0017_&amp;Q@_x0004__x0006__x000F__x001F_ï·´&lt;X@®yR_x0018_p_@W(÷Õ¹S@2¹Á_x000D_÷`@_x0011_9¥J²Z@R·_x001E_þ_x001A_`@H3R_x0002_`@?ì]/_x001B_jb@ì¼Ã}_x001A_õc@©ä±3±+`@þ(Ì¨ÚZ\@¿$Ï}L^@ú¶¼][@j$Å_x0007_¶L@ñ-LÌÁ®Z@Ê*dpÃ`@)_x0005_xåÝa@ÿ½S_x000C_*_@Lí`¡:V@¼¿uÝÅ_x0018_a@1Ï&amp;Å¶_x0003_]@_x001D_bà5_x0001__x001B_`@ÿ§Z(W¹^@½¤^¼_@_x0014_dC8:¿[@ëPØZbGd@eja X@_x0001_Q_x0015_ëù]@ÐoÊ_x000F_ItV@P_x001E_É¤Ca@ávdpyc@üð«F_x0006_	1R@|_x0003_pÝN^@Á}RQÖúY@ua1_x0008_îb@Ïé_x001A_{ô]@0/3ä^X@»Ü+0_x0014_]@Øh_x0006_âýÃa@¯­¯Ó¼Äc@åÊ 9_x0012_Y@ÒÿÀÜz)N@Æ¬:Æý3[@£kBzhX@:_x0003__x000F_Åb@Àèº$õ`@?x¤aÎV_@Ë_x0011_A_x0006_Ô2T@Âª¼'__x0010_Z@ÌÕ`J*[@¢!ñÜ:`@ZKøRç]@]_x000C_âíWY@ÎÚ_x0013_é`bR@È_x0003_¾Þî^@_x0005__x0013_vP_x0002_^@Z7ðGÓU[@ÇaY?_x001E_åa@¾q|Xr:U@_x0010__x0010_Ý¡Î]@Ú}i­Q@â3_x0001_ö_x0004_tb@O?rÁs_x0007_^@_x0002__x0005_+?&gt;_x0012_ ]@d|ÿâbU@ÁRbÄf_x0013_\@É\'RQX@/O«ý2_@#;vÚ*Y@¢ÎOK&amp;R@_x0003_O_x001E_E `@ñ)P	ãX@8ã_x0014_£Ûn`@´LXvZ@_x001D_È_x0004_ÒY@¡¸×·_x0015_¯`@tDg_x0019_À`@.öÚ|_x0015_c@¹¤þ_x0001_ä-a@A_x000C_³ýS^@á ©EÇna@µ0ã ^@ÛÇNÕIb@ÿÃVò±a@_x0014_7³¶1a@à_x0012_}PF^@_O÷_x001A__x0015_æX@fP¨÷P@íË¥Ù_¬`@·]Èuìm`@I½_x0014_«^@âÈ$üÞú_@lài¼;`@¸W_x0010_#¡Y@ûY_x0008_Z_x0001__x0003_/a@_x0001_8é³osa@á_x0016_úýqW@¬OÙbÿZ@_x0005_u}_x0014_c`@ÇHÛ|_x0011_`@À¿+ÔV@*Aëû0a@y_x0004_¦àU_x0007__@_x0013_Ý@À^@d?_x0017__x001C_t_@·;n_x0019_·Ò[@ 0[ÓR@4ríä`@ìBÉ*Ã¶]@9|+]]a\@jö_x0017_qíFd@ü_x001D_Æ_x0014_DÔ^@E¹BU`@BÆo!q]@©_x0014_.ï_x0006_\@_x0002_ñZ_x0001_ »`@UpÑ_x000E_´X@º_x0005_:°ü^@­áðâze@" ;f¬Y@	àÍÌÜ[@¹°&amp;_x0010_«b@xRM¾Ì&gt;`@îÌ_x001E_âÛûb@sÕ_x0017_4{`@_x001E_0 }_x0001_6V@_x0001__x0006_\_x0004__x0007_ßå_x0003_Y@_x0012_Ç_x0008_~]@£ÞÒ&gt;é\@¬v_x0005_tØ,Y@	qµæPZ@Ô_x0010_Foýð`@võ1:e^@÷Où¢;a@­­_x0018_¬øY@¬aëïZ\@ðtp&lt;î_x000F_Y@1øêÎYd@_x000C_KÆÈY@_x0007_iX`]@ø²q¥_x0012_tW@}öÛLÖ^@5Æó&amp;VCa@«_x000E_Ú¿_x0008_9`@³ËñÞOÿW@quí}b@bÄ_x0003_¹_x0014_óV@fÓ@_x001E_²]@rúÕ1ÞjZ@_x0015_²ç?]@_x001B_»ÃÕ'¹Z@u_x0018_ïk÷"[@7#_x000F__x0002_V&gt;`@³abÆfÕ`@%¥ÑKü `@P°F_x0018_:s]@B_x0001_A]f¡a@_x0002_ØP_x0001__x0004_¨_x000E_a@_x0007_ÈË]Ib@\¢GºWæb@_x0012_)Ý7Z@´ÓS	]@P?ó¨a@_x0018_G_x0007_Çi°`@fxN_x0006_¼N`@_x0012_#2Ü68Y@]õ°_x0003_Î^@dÛC_x0002__x0015_2\@_x000C__x0018_WsßX@½Rÿûra@»ùêÂP_x0013_^@°s6®`@	_x001B_@Pk]@þÍ_x0013_&amp;á^@L|_x000E_Y)b@£Ø}_x001F_o_x000C_a@æ¾`Û`@_x0016_2yTtAQ@h5Åû([@^Õ_x0017_Ýd@_x0010__x0016__x000C_§ì]@_x001B_cz÷`@Yýî¡X@5¯¥ª}`@;_x000B_Ûj¼_x000E__@*È´£î3]@;ÎùòÇ]@éØjØD¶`@&gt;é=AÀa@_x0001__x0005__x0010_gðµ!W@ì2z{_x001F_a@ÖÄ]ÅàxZ@FB{¨±=Y@¦_x0010__x001A_|¯Ía@_x000E_}©wV@«ûì;[@®öÄ,P@\ë_x0011__x0013__x0004_a@Ó~åÐM_@î&lt;ö_x0010_ï`@_x0003__x0012_ùËdÛZ@_x0006_H_x001B_hX@4û%çË_x000D_Y@º?Ï¸Z@}~ßAb@î"Ìw\@´_x0003_¡ý^°W@_x001C_3_x000E_Ë¨\@a4è]þÈX@É:Sæ_x0002_a@(¯îßy{^@^% _@_x0008_T3¼l(a@ÃK&gt;¼W-d@_x0018_=ÚNÀZ@_x0001_GF²:`@o!§ç	U@Wï_x0014_ïÍ\@È_x001C_s-~_@.¢_x0015_Iï[@~ä_x0003__x0005_ÓQT@Wé$_x0019_=R@ôsï´`@G?MÚAEa@¡Mãæ&amp;?\@a×_x0008_{j¼W@_x0003_~ß»¬ñb@_x0010_Åìý_x000B_Ì\@Àã\L c@_x0017_¸¨¨«Ôb@hC*{_x001B_W_@`¼_x0002_u#*_@7cwc@Ñ2Ü_x001A_?o[@M(,Óg@i¬@×zn^@9÷_x0014__x0015_GT@¸ÕcåQ^@	_x0004_Ñ¨ç~b@ÁÀ_x0005_û5GY@ßð_x001D_sI[@°¡_j!_x0012_`@ËÛÃ&amp;èa@rE2_x001E__x0015_]@éU\¾o_x0013_b@_x0016_K÷ïa@'B_x0008_x_x0016__x0001_[@[¤nä7X@B`_x0017__x001F_/Ú]@!ÐóËý]@_x0014_-_x0018_óe_@¿_x0012_UyZ@_x0001__x0002_eÔé£_x000B_c@è*$_x0018_Ga@_x001C_ÊÜ È3Y@X##° \@"ÍªØ|Z@_x001B_o`7É[@s_x0012_Ë]c@ÍéW_x000F_g`@ÎF(x`@ødúZ@6cÑk¯!W@%Ð_x001B_,5|]@5.¯N_x000B_L_@p_x0017__x001B_¹¹_x0011_X@yk='sb@Ñ"[=¥ªY@¬_x0013__x001B__x001D__x0015_NX@ûwàÛ_x0019_h]@6§k"R@Ä.ãxã_x0007_`@²ÚDD_x0007_c@¾·áA"×Z@V_x001B_Î-S&lt;_@Æþñh_x001D_º\@Ò;ïâð_x001D_Y@0·	_x0005_,^V@Q_x000D_=&amp;a@7¥éÑNU@+_x0012_ÿ·a@_x001B__x0012_t^¼P^@_x0015_}v§RÈa@¼ë©Ö_x0001__x0002_ôÖ^@Ê&amp;¨1R^@«!%wb1`@³_x0005_Ë_x001E_`@¹uêrX@ÐKÌà´_x001B_a@¢_x0012_¨T@[¤ô£'`@_x001D__x000C_¢È_x0019_õR@¶_x0010_ù¯±]^@Ê&amp;H}_x001C_^@ðÍ(¢=É`@_x000E_Øìy;^@Aâº2ü^@n"_x0019_@)`Y@²cÉ_x0006_[º`@:´aq­j^@Àæ¹\b@R_x0016_2äë_x0010_T@TL_x0011_(*óX@wÆxÃX@Í_x000D_ã Á_x0015_]@·1Êm_x001F_áV@¥Ènü_x0002_`@Å¾ïHã_x0016_`@ùwÐZ¼Y@_x0003_á/ÿÏ5Z@_x0015_ï_x0018_¶®5]@\_x0004_x®_x000D_c@_x0006_´Ä_x000E_@_x0013_a@&gt;ýdò\@_x0002_wÒÌ0Üa@_x0003__x0004_C7à0¹_x0011_^@ëz2-³^@ZBJJ]@ÉüBY?b@s¶ÍY#öa@l. ªæ`@§_x0001_Nö_x0017_`@\³^bÿU@¯·Þ_x001B__x000E_¸W@?¤c_x0019_ û`@_x001C_{ë£Ìb@jkº§_x0007_b@É¹oIð_x0018_]@þßÎ`*|`@¤¯_x001A_2©]@8ù|_x0018_æãY@?ú]Ý³ìW@ÖÛ_x0002_©8Z@xøê_x001B_Ý_x000C_a@ª_x001F__x0006_=] a@À_x0005_@ÖA_x0006_Y@_x000E_n¢_x0001__x0006_h^@.IcG_x0006_U@_x0011_/_x001F_äb@_x0016_3_x0006_7\@J­3õ_x0006_o]@6_x000F_ìl[@ý¸&gt;|__x000C_a@_x001B_Äº)_@ô¤«³­÷X@Ì(ìNJ\@Ê_x0001_D_x0001__x0002_Ù_x000D_[@þÁõÊ`@dÜØoM_x0014_`@LnK"_x001D_ _@­/ZpY@_x000D_3ÎÖ_x001A_ ^@y©TÁ_x0013_YZ@Î¡Qa@*¥éÄW@£êM_x0013_ý]@À÷Þkm`@Þ#¢ÛÏÏS@_x0016_ØCh_x0005_U@v?_x0007_"rðX@\.fá°V@ý$l`@_x000D_µ{'À]@f6_x000D_:X[@2.`öÎb@§;lI_x0007_YY@ì$ôÔp_e@.¶ÑF;à[@_x0016_m5ZÙ,`@F$_x0001__x001B__x0004__@O_x0012_ù_x001E_slU@êî	ê\@LófÛ*Y^@»6_x000F_Ô;_x0013_U@@M/¥_x0003_W@õÕ¬Â`@J}ÂCvd@bó_x0011_`@_x0001__x0003_?y_x0012_¾$_x000D_^@¹LðÂã_@l&amp;_x000B_F¯]@ì´;î¶KX@q^÷ô0	c@(9Wo-xa@_x001C_ ½yiaa@ÔÛu3#Â]@ø_x001B_1CË\@Ó|P_x001E_±_x0011_`@_x001D_zj¢{_x0016__@íbG&lt;Q&gt;^@(ðÃèË^@¡'@^Åº_@_x0011_ÐgýS@¦M]ª_x001F_Ú]@Ä9_x0012_d®]@·AyE2_x0013_`@X;WkÒîX@Byü;X@æG©wSW@%©Æü]@_x0001__x0007_'jvI\@¸Ûý÷_x000D_,X@rRHf_x000D_b@ºl¾_@vûÞ_x001D_f[c@zÈ)]ì_@æ)Ï_x0019_3#S@öÛ_x000C_ë_x0014_[c@º_x0002_ôÊì]@_x000E_÷Â_x0001__x0003_/µ`@²ïBùgX@?ö_x0010_é¹DY@_x0004_øüÌ£Qa@ý¸E^øZ@UVûEö&lt;a@ø_x001C_«_x0019_æ\@&lt;N_x0006_t_x0018_Y@b_x000D_£ÎëS@N	Sò_x0006_åY@{-&gt;_x0011_¾a@,±G4_x001D_zX@ÂQsò¢_x001A_a@¨ÀlÓê`@õùÍ¯ ;]@K×$1è®U@(D%ë%ï`@¸_x0019_Ï7_x000C_`b@NG_x001C_7ûX@xSmtM[@hDÕ_x000D_z5b@Ò¡_x0002_ë±^@÷Ó`c¡"^@_x0006_¨V¢|_@HâãÓ_x0005_a@ÖMEors`@z¦[cÈa`@y,f_x001C_ÂU@&lt;6Ç4ËîX@_x0018__x001F_ê$`@WÏ%Ø5å_@Llj4Ö	^@_x0001__x0003_Û©ttí@U@§Z_x0011_ö'^@«9âñca@_x0015_£_x000E__x0019_W@.UAèRW@ÂÅùÒ_@þññ&gt;ç`@_x0002_*ñ,Öb@%µc~_x0019_É`@Ø¤_x0010_áý`@Á_x001B_ÝÛE]@&gt;$JÉ`@c¤µ\xW@vd_x000E_ÙNW@_x0019_oN_x0018_óS@_x0016_j*z_x0014_~a@P¥ü¢B_x0016_W@;ß9%@^@_x0014_#Æ°_x000B_c@%µ_x0015_a?²W@"ÞÓÝ__x001A_X@Þ_x0005__x0007_XÛÒQ@3ìñç®¾a@ÈN²ýËEZ@}uÉøg0]@|.à¥µ_@SmÚº9d@}@Í_x0003_Gb@z¹à¿£Ü\@*rb_x001B_B"a@YñÚéa@f²_x0007__x000E__x0001__x0006_ïa\@B÷)9ýc@mw_x0004_IBk^@_x0005__x0016__x0006_ózZ@¬E¤C¬]@&amp;©L¿©`@´Q!Eu&amp;X@É_x0006_Ò7a_x0019_b@õñ5îa@êã_x0002_#`@ÃpÄ·\@1ªE­Áî_@mbSaöa@Oð%c+c@Í@o[@_x0005__x0018__x001F_`½[@ã¤Ô¯&gt;ã_@Bà}3ºc@®_x000F_ý§æY@Ö_x001A_AJí b@_x001E_WbC	%^@¯UeÎ®5W@÷Âíñ_x0001_g`@_x000C__x0008_Vu_@i_x0007_·_x0018_ý7[@:ÔHí8_x001C_W@Ú%´OªZ@rWLh?U@lÐüù_x001F_BZ@·°V?_x0003_`@_x000F__x0002_µI*T@yZêña@_x0006__x0007_K¬Tð#µ\@Ì'f¢_x0002_b@iÏ,_x0015_?,_@P8Db@Ñ_x0004_ç_x0012_&lt;o_@ëjð¬ª'_@0)nÈ_x0018_`@Ð2_x000C_¼CãY@hº³L½_@Ç_x0019_ù=hW@_x0004_}n_x001E__x000E_Ì[@Çg_x0001_EÄb@0£°0p_x0018_d@ËY&amp; 6`@r"bÓmü\@ßÃÀ_x0003_¬c@rs&amp;à£?`@I{k#_x0013__x0017_\@A­Ñüá±b@±ö²|S´a@øg+=ë[@_x0003__x0018_O_x0003_¦`@;Û]eU@hØ¬9Î`@_V_x0010_t·]@Ä_x0016_°_V^@z#ÿª©_x001D_b@W_x0005_ÐÇÜP@_x000E_:_x000F_å¤Ò\@f9GO¤e@_x0017_4Ê`a_x0008_d@_x0010_î_x000B_p_x0001__x0002_Xa@´+O¶C8Y@.¿¢Á3ò[@_x0016_!-ØC_@Bè±ª_d@_x0007_Mh+î\@^0ÔX_x0001_P@Õ+-.E_x0004_Z@-çtØÎ_x0015_Z@þ_x0001_bñZ@y_x000D_BÂW$`@á¤)Ìc@JCIÍ_x0003_T@ÀîþZ@9ÄLôõóV@ì_x0014__x0003_`@&gt;×òØ_x000F_c@TS³Q_x0006_`@6_x001C_lA&lt;+Z@'¢¡ì¡_x0008_`@W*_x001C_:©`@ðU_x0013_£H_x0013_]@®´ÀhØX@"máD_x001C_]@½Òy÷_x0011_´]@Ë_x0007_Ì_x000D_¼S@lSJFc@ÒÊå÷[@Àöñ×%X@¦Ö!ÀVËY@Ä$·vBºW@&lt; w/X@_x0005__x0008_/_x0014_Ú_x0003_1¡`@r_x0006_"jNV@_x000F_Jã¥ÂÑZ@_x0005_&gt;âà&lt;«[@2GsÀà%T@ÙLÐ_@vÈ^¿_x0016_Z@ë± ÏñW@?Nö`@_x0001_R\­²Z@_x0002_¬[£A]@f´=dhub@ËL_x0014_%»!Y@v_/¦_x000F_\@ª_x001F_ ß_x0017_X@0@Á?ª¶`@_x0001_)	«D|[@«)_x0008_¨¯Z@ÓÖÊ+ÕV@«x8ïÙW@4]ÉÿÓP@Y'B0K=b@nzl¬_x0017__x000E_b@1_x001C_'Û_x0011_ÏV@Ù¹iâ³)]@"»ÔáM]@5}ÔÖ:\@ïØN_x0016_¦Î]@Ò¡_x000D_-`JY@[_x0004_KÓÂ_x0010_\@_x0007_-L`@¿;G_x0002__x0003_Oâ`@C­0a@_x0007_ôÊ¼Z@±_x001A_WÕ¨a@êb9Qü`@Æþ,vÿV@:+ÿ`@/æ_x001D_¼w]@$gÇ§{~]@¹#_x0001_ëÏ_x001F_a@_x000E_.¡æÁ]@êç¥»ô_x0013_[@¢p¼S8a@ãø{GW@h×;Ç^·W@_x001D_Umfy]@_x0013_ÀZIªY@pp)ó+`@Ãá´_x001F_6S@H_x0003_ÖË_x0010_gV@áQ_x001B_LÔôb@Î_x001E_ªÒ¿Y@¶£SLXñW@à?_x0018_â]W@1_Ï§_x0014_\`@E,_x0018_/õ ^@ÝÃ¯Þb@¯²_x000E_ywX@ÓºïÕâZ@¨*ëP_x0016_`@bçÍ\@¾?ø¯ë`@_x0001__x0002_&gt;Ü±G^@j_x0014_¶O_x001E_Pc@ni4$Z@_x0011_«_x001D_²^@Î_x0002_I__x000C_Z@¿_x0019_3185\@§_x001C_ÊØïza@å×]_x0004_A¯_@Àò·Æ`@,×N-oðZ@K8o._@Öp_x0017_äÆ`@&gt;¿³_x000F_cÛY@Î_x001C_¿{b@&gt;j\©JtS@°ÉTÍ&lt;^@1´ÑêZ@pìß\Hb@ú¯M&lt;tAb@ìýnv?`@q°_x001C_kÚZ@°_x0001_ûâªZ@µÎaçüÅ]@Îfµía@_x0017__x0019_ØÁ7_@tÆ)'Z@cJ~åCb@W(q_x0016_îa@g´¹ÿ^@]ÔÁÎ_x0003_ÇZ@JÿY@_x000C_Pý9_x0002__x0003_çýY@_x0008_&lt;9x*»b@0_x000D_âa­D`@¸"¦²&amp;_@º¢Î3a@éähe/ÆZ@_x000F_,w}9b@_x000C_~=9_x0015_sV@³#Ün_x000E__x0001_h@_x000F_w]@_x0003_èíV_x0019_¹\@U8&gt;ý	[@z_x000D_.2=#a@_x0017_Ñe^Ç\@Lánt®E`@É;¿W¬)\@°¥_x001A__x000F_k^@¥¹_x0003__x000D_ÏmW@)l}£íÜb@Î._x0019__x0003_&lt;ß`@_x001C_Ý_x0012_0Y_@_x001E_:¡7ÒÊQ@ÀD´©b@øo&gt;u_x0012_b@?{0³ôZ@rR_x0010_Ñëb@3¬ä`@&lt;RÔü(`@¾µíµÛ_x0008_W@g}Õaôv_@ÑÅ_x0014_4;#Z@_x000E_8K_x001F_¬[@_x0002__x0004_e@Æmèa@;ûàßH]@6HôªjÌ]@µvã¦U@ú-(_x0016_&lt;c@_x0015_*_¿[_@æ{ó³^@NK_x0001_Ï÷X@_x0015_'dÜu_x0004_`@_x0006_wVß Û[@$_x000E__x001E_i§W@ø_x0010_Ü?]@T_x000B_òÞªU@¦Âñ_x001B_²Z@ä¤j &amp;W@{f_x000F_}VZ@²º/Õ¡¶^@_x000F_¢Ê_x0015_X¡`@EDM.tÚ[@DtÉÐja@æÄ_x001B_r¬_x001F_`@µ_x000D__x0003_axlX@_x0007_?x0Ba@rH3¯nFW@T:Ëª_x0008_i\@×M»D¹^@Úýf¢È`@_x0012_ÊCëø¨]@Û_x0016__x000C_äåY@V»_x0019_Dã_x001E_b@2$ur_x0004_`@Àtn_x0019__x0004__x0006_:ïY@J_x001A_HAÛT@Ç×X³Zi_@C´	3Ó]a@´´É´ßb@_x0013_øúQlÉd@{wF¸[@²SbÑôa@v¼:_x0004_&lt;c@z_x001A_óØy¤_@,É_x0019_Ó{Ëe@ûy¥QY1^@ VDt²_@eÂ2_x0016_ø¨Y@yåQ´7]@ü_x0011_«8?4]@*¯6¯zZ@[=N*`@p_x0002__x0001_»Y@B)\]_x0010_`@_x0014_S$³Ô]@eúÉ;b@«v²_x001C_\@W¾Ð_x0005_b0]@_x0006_Ý_x001C_ÛdßS@ë}§Ôª&gt;`@ö_x0007_±_x000B_y`@VHÖµ[@_x0003_á&lt;²_x001D__@Î_x001C_ÔÔ^_@qûI°­Y@ü_x0005_¹3÷ V@_x0002__x0003_¸&gt;_x000F__x001C_`@HFd»Ñ¢`@D	V_x0011_Þ_x000E_a@¿_x000C_üÊ¡\@ÇÈü_x0013_Z@_x001A_÷_x001E_h_x0010_Z@bÎ_x0016_&amp;l]@Ð&gt;ÁÍt]@&lt;t&amp;´b^@u#_x0006_y×%S@_x000B_®áê_x0001_a@&lt;wNjäÊb@_x001D_£þ±êZ@}×£&lt;ÆZ@à._x0015__x0016_Y@¶äë_x0004_p`@2lrýN(b@EKßóXzS@¤Pc_x000C_Y@ä_x001D_ô&gt;û&gt;_@ÙR¼¬zR@í@PVV@_x0014_MÔé¦`@_x0012_ÿB_x0011_Ó:P@_x001A_S_x000E_3P[@±zC['Íb@ùÂ]0hþW@N¹æ_x0011_Ì×a@mñ,c@ky((ÿ`@îiß¤]@QE_x000B__x0002__x0004_óÿ]@q¦]£_x001C_Y@&gt;µWqû[@0_x0003_ï¹÷\@¹1£_x001E_®_x001A_\@W;&gt;¸Ä¿^@5sù?]@)|	©cÂ`@íí:0a@)_x0007_rnª]@Jwh¹r_x0010_`@}XÇ_x001A__x000F_`@cmTD¾_x0001_R@_x0017__x001F_ífáÀ]@m¶¢²gÈ_@É*uNiY@Þ³¡©SS@J_x0006_rµ÷`@7¢2ÀcX@_x0014_¶ H\@ä§Ç+ç6^@:ÖøF×4\@¿_x0007_!_x001D_ö&amp;Z@GkØ÷MÀZ@Bãê%ü_x0017_`@9¯_x001A_(Åa@'&lt;Êà°[@»0Õ¹£a@ÇVÃH`@ÀÒü­Ûc^@æ_x0015_"R_x0002__@fFQ¤aV@_x0001__x0003_Ê`3~0c@_x001B_5³uc@5t×jü^@ÇËÂ&gt;-2\@¶D[ÛM°c@~Â£×	G`@ZÃ&amp;ì¿äc@¥&amp;q=î@c@&amp;	_x0002_\4w[@õEÚÃp^@k¢YG¬^@W_x0017_ÿ´g]@r¼i\_x0010_òU@dìsè4`@Ñj_x0004_?_x001E_`@_x0018_@a_x0010__x0012_JY@Ì¬í§¶|\@_x000D_}ÁH­_x000F_`@Sêç7za@*ÀÝWÓãa@/h'ÜG\@CLy_x001E__@Nx_x0019_^èc@_x001E_¢_x0008_¾_x000D_a@&lt;ûËÌ_@ðÎ&gt;ªØÏ\@Æ½¯*_x000F_´`@&amp;8_x0007_Ö`J\@×g_x0016__x000E_¶}e@_x0013_­_x001A_/Ç`@v¥0QJ_x0005_\@ÏÖ_x0004__x0007_Æ_x0018_\@æ#&amp;_x0016_^@JÖköäÜV@Ôô_x0001_Å9[@sa¶ÉúQ@ÜÌGf^@ÙïÆîÂËX@lr_x0006_AÚ¦X@_x0012_Ï¸^`_x0019_U@_x0001__x0008__x000D_S,ôa@_x0017_UÚ_x0005__x0013_¨V@q´ÎÍ]@¶d`¯Z@úÔ_x0017_¶!a@a6_x0002__x000E_ø_x0005_b@'xº`@;$_x0011_1_x000C_c@ý_x001E_µ½¦`@¬ªÅ_x0004_ôõ`@_x0001_ñCÈyN]@ÛÕA5I,Y@ì!S¼I[@Øf÷1YÊW@ë'g_x0016_^@pV_x0012_3`@jùý©_x000C__@i a1Í_@Î¿µs#ga@º_x0003__x0018_mÛ]@ñ¿5_x001F_ù_x001E_^@X0¯òÎ]@~/Ç.*Y@_x0001__x0002_9iÖTÒa@_x0003_÷â­¸¡^@ÙtßRÇ¤b@¶!:UÕl`@	r5.ß_x0014_Z@1bµ¯j_@ß&gt;®I_x000D_b@NßVsÇãZ@t ºª#¿[@)õymK`@ú÷Í°¾Z@_x0002_~kÜb`@_x000F_ýå_x0004_b@»ÙlöC^@F*Î¾V¡R@ù\êðóêV@\äí_z{\@Ô{Z.l`@ðÌeÅ8b@lu|-Ø?V@.|rzPìa@×7G_x0015_Þ¤b@®_x0003_£uU_x0004_c@=_x0016__x001D_{_x001C_Ða@±fE¥U@yù^2c%d@M	Îð^@îH%R9|Z@hÇ'èîs_@OÏ]¡_x001A_^@3¾ÈÔ@`@UK_x0003__x0007_cæa@íÄ¦*ôRb@4y4í­÷\@ËÉ_x000C_«-þ`@Z[\][@Ü[t2ô@T@F_x0002_ª¯_x000C_&gt;_@0É_x0006_Üº_x0017_]@ß²[_@´K]{¼Fb@a´ÀÙKV@ª_x0008_z_x0005__@¤"B/ìU@jñ_x0007_4Xmd@×¿?XqZ@¨¡§¡a@u_x0007_ÇË1°a@þB_x0012_WKb@s=PÑW@_x000F_¼²çØ^@´r_x0002_ÜM`@ªÐûb@á±_x001E_g¾ð]@ª_x0004_ç]@½!_x0012_O_x0012_[@¾Nêur`@¥d-´:_@ _x0015_â_x000D_p_x0018_Z@eÃO8_x001F_Y@_x0005__x001F_¸»_x0012_#f@µ´D)NÙb@n¿ZÖ_x0001_\@_x0001__x0003_86»Áè`@¼I©cÀZ@ÁÇAPGX@RX_x000C_ha@Ù©-§a@I_x001E_l,ä^@/}×|5Â_@¶qm2óþ^@»Äó¸§ZZ@}q©þÑa@(³,ìýQT@4åw{ý_@`WP^yX@=_x0001_.^_x001E__x0008_[@+ôú ^@C¥Õ-_x0010_ýU@ke°³¡Z@Qºi~¬xU@L_x001A_z_x001D_µ)b@É3d2ó#\@¶F¯`'xZ@æ²`_x0002_XY@{Å_x0002_5HTa@ÎÕÃ_x0011_Ôc@µd¤ÚàV@¾¬bD$5`@ë®_x0017_^_x000C_T@æ_x0004__x0013_4Åc@T 3Ú_x0014_a@&lt;Ìd3_x000C_ôU@ÕÎ·èS&amp;]@_x001A_'Ð_x0001__x0002_)]@åÑ_x0019_ð»¨d@_x0002_*_x0015_± `@hO_x001E_Ö`@NóÁM°y^@ëfóû^@E_x0007_?t=[\@à_x001A_&amp;_i`@66Xâ	7e@µÁH"®e@_x0003_ì_x001B_údA_@°mênÇ]@Yü~ÆÇ^@¾öÈð`@Ä°O-H^@e°.Ùa@ö_x0008__x0006_w2a@ÕB_0à`@Ô§_x001A_÷\·^@Ü_x000D_»ÒcZ@'iï_x0010_K8`@£_x000C_cé±W@ø¥	aQX@5qÑX_x0005_uR@¦·Q_x0003_°c@_x0012_ºYÉßX@_x0015_ø_x0015_Q[L@&lt;m_x0003_ò`@Öázv_x000B_Z@(1F÷ÁZ@÷D\&lt;èa@_x0015__x0013_Ø_x001F_a@_x0002__x0003__x0003__x0012_ÛÎ%Z@|½&lt;¶&amp;Ë\@½ 2_x001F_$_x001E__@_x0012_ _x0011_tWv\@&gt;§ò[@x¸DªzFQ@_x0018__x0008_O³¤ïZ@_x0006_ÓU*íb@ö_x001D__x0010_+Ëèa@úäú¾b@ôVR'µQ@ZË!Ix`@Í_x001E_á»)6Y@~WO_x0010__x001C_[@RË	e_x0016_c@Õèd#k]@¼¿_x0012_ìZ@e[IèãÛe@áû£'_x0005_W@Õâ_x0011_K=a@öç#)naT@ÎnEÄb\@QòÍ»ï`@_x000B__x0006__x001C_AU@è;*6õZ]@_x0018_Ø¾¯`@_x0012_ËÊH×`@&amp;þF,`@!sååW@ôñZaëub@}½_x0001_^#c@_x0014_Ûæö_x0001__x0004__x001A_!a@R¡ôUÁZ@£y4¿èQ@äuZáx_x001A_Y@_x0012_ÒR¦_x0014_[@tË~óÝºV@./~õ`@~{2Ú\@tÜ/´;ªW@;vi£ËBa@_x0002__x0002_óôtøS@7ìA_x0012_,]@H$xSâ_x0011_\@t&lt;;_x0004_¾[@_x0006_Î¯R@_x000F_?j 6¦^@_x0017_ç¿)a@ÿÕ_x0003_òî®`@µff&lt;`@ #ZK_x000E__@­_x0003__x0017_Fð`@Ü2&lt;¿W@)Pgs:`@ë_x0016_|_x0019_«_x0006_\@'âÅ@-7X@A5_x0016_9W@ÆÎs~ör^@ócl³ùX@·¯Õé3#\@_x0019_¦F¥_x0002_c\@-_x000D_H2_x0013_¯[@n\ë1·b@_x0001__x0007__x0007_0ÓRÌ_x0012_Z@åÃh_x0013_ÅV@_x001D_S ±`@GmTÕ\@VkÔ_x0006_åZ@Ú_x0013_¬Õ_x0014_ÀW@_x001C__x0011_(&amp;`@_x0004_²¾?AÍ\@_x0014_Ï_x0002_´]@ù¡_x0019_þ/`@_x0004_iG~_x0003__x0017_]@Ì E_x0012__@fIM.ü¯[@~¨[^b#^@ªéÌ_x0005_î@Z@ý1ïý@U@sØ"(Y@_x001D__x0005_'¬dÂa@èYÉ\Î^@i_x0017_!_x0019_h_x0002_\@Òè~ädNZ@ÃÝíä5Ï_@(è¾q¹8[@­ë÷JOS@M_x0004_Ð!ÑB[@_x0014_*_x001A_7V[@½ºË)|d@#_x001C__x0001__x001D_[@+|¶ú_x001F__x0003_c@Ææ¾^@M|Ç¸Z@gSñx_x0001__x0005_e+b@,1¡%#ã[@_x000C_A=KS@ÿÛíäTßX@×ÃQ	ºZ@G¡,=Z@_x0010_ÖéST\@ß^À­X@÷qå*nc@¾qH_x001C_BT@¥ît_x001B__x0014__x0002_`@·º¢H_x0012_`@ÄëÁsåa@ÿ%ê´3b^@Ðõ_x0007_î 0T@_x000C_Oºc_x0003_V`@&amp;ÊÆÀòe@_x0008_#§9_@(\5¤\@¡Ç_x0016_í_x0013_[c@_x0003_ÆdsßW@i_x001F_ÄÚp]@.qüÜñ`@a²_x0019_¼^EW@½_x000B_Ë¾Y@_x0004_þ.?X@Ý!}dhÕ_@¼ùp¯zZ@]_x0011_êýJ[@Ò)sÑ`ò^@a)vÅxZ@6M®jâFY@_x0002__x0005__x001C_w¥@Å\@Jud9k'S@,xÙ|\@3_x0011_&lt;I|¨W@Ç|_x0001_¶ZZ@Ø&gt;ú*ÏD^@°Ýá9Á[@­2"Øb@ìºW¯LKW@uigÙ¯d@}K_x001A_jW@«ñÐÇ_x000F_$c@´6ö5Í²^@_x000C_O(4a_x001A_X@ÀlÈ:½`@_x0004_&amp;4¡8Û]@9w½3X@P_x001B_oF·_x0017_\@µÖçiTÌ[@¶_x0001_¿R|i]@»	E_x001D_b°a@&amp;B}õ_x000B_`@*Ìp´i^@!búb@{¹(¼Ia@.À¬¦Z_x0003_c@ÓÖ¸"í[\@efé?	¥\@Ôðí¼c@_x0003__qoÍ[@ð5Æµ"Z@Ì_x000B__x000E_s_x0001__x000B_@Ba@¡É£(«¶[@+$ÞùÐÿ`@°aÊL¤+Y@Ý_x0004__x000F_!Ò_x0002_a@Ý¼/K²V@xp_¢&lt;_x001B_^@ÿ¦Ôk_x0013_ô\@R_x0017_ÃxÆí`@_x0005_·/_x0003_Â^@Rêd]@ér÷÷[@LRX8ÔªX@	gÐóÃa`@mÚ_x0008_^v°c@1µâÂ^@!Y8_x0006_{Õ\@ í4	kT@KPw£_x0007_¯^@TÙaµ%W@ÈÃ_x0015_íã&gt;Z@ÁgáÖ`@¯{ìÿÇâ]@òY(ñF$b@êÝ_x000F_¬T@róÿÇÏ_x0017_`@Nl_x0003_j_x000B_T@-ÂiCÎ\@,©_x001C_,Çb@¹Nª²ÒZ@CjlZêÝa@_x0006_ÎF_x0016_ _x0004_R@_x0001__x0004_PMYû_x0016_qa@_x0008__x001A_(ºÒ^@5_x000D__x000C_ö¡]\@T%mDV@l	_v-b\@â¶b_x0006_Ca@Fm_x0017_¡É^@M]_x0013__x000B_]@9(Jiñ]@_x001F_È,¶]@_x0012_Åúµëb@Þè£jy`@f_x0002_5á_x000B_\@_x001E_w_x001B__x001F_ìHc@Ø	Uß^@s_x0018_Jó_x001C_a@ò?Ã¿¤¤]@Okp&gt;]@s´m_x001A_m]@~ÈÃû]&amp;V@_x0015__x0003_(íí½\@ôR¼uZ@xÛe ¡_x000F_\@ðs1:B_x0018_R@_x001F_9Éëµ]@%t¿J¨c@úÎÏÓÅ%Y@NoÆâÃ]@c*v_x0007_\@ÚV_x001F_%×d@ÅçLw¯_x000E_`@?çï&gt;_x0004__x0005__x0019_&amp;]@%½Ù.}_x0003_]@«·_x0015_É`@_x0015__x0012_R·ð%`@áä_x0001_´Ñ c@ëõB÷Z@_x000B_B_x0010_Üc@½ë-yÑñ\@_)°Îå®[@ËWÿ_x0014_ûZ@;tDÒ&gt;^@ÏsäbW@æí5_x0002_ÍY@2ÿ¹tÓ£`@I6q0_x0014_\@¬v_x000B_*´F\@ÉÐ¯_x0017__@¶_x0011_´¦_x0013_Éc@Ai·v®X@Å­7_x0012_/W@_x001D__x0012_MûR[@L¾_x0005_.]@ïÛí_x0016__x001E_$]@ê)_x0001_ [@HÀ¡^ ,^@å_x0008_(,r^b@ª,à}°Y@ªcUTÒZ@uG¦_x0003__x0016__x0004_[@6GT]0Z@ÏüZí/b@IÓ²|_x001E__x0006_`@_x0001__x0004_¸_x0003_×Br:^@â«±é_@*!õõP×U@ÑNê{(Z@à_x0005_éæ`@ÌVØ«rLa@Ðk¬|9_x0004_b@£ú¼3T_x000D_d@rø_x0014__x0008_±r^@Ïa_x0001_l^@_x0003_b§oífV@_x0001_4bhø_x0014_a@.Ø­ _x000E_øc@½ircelW@ß_x001D_þbJZ@~ÛS°/x]@_x000C_òÎpÜX@ÔK÷ôV@Apð¶Ü ^@v?ª{Y]T@Gj¬.þ]@ÊÚ¸AsÍ^@yPÄÔcÁZ@z_x0015_çæ_x0011_a@E_x0002_@_x0014_e@vÏÄ_x0007_[X@×±Y/s2_@å÷³¨_x000F_Y@U`2%a@´Æ[ILÎU@1|[Ã^@jL[_x0002__x0003__Ý\@ì_x0001_û_x0005_\@´5[ÀrÐY@K×þ¨xa@PÆ¨Loe@ÒhHÚùßW@¶xfÀw_@gl×0Û´]@1ó¾+)]@_x0002_Üâ	a@÷_x0007_Ê_x001F_JZ@ø¾_x000F_fó[@ip_x000C_tæU@/_x0010_Ã~\@xÆØ)'\@Y¼Å_x0015_þ[@_x001E_¿·^@Ý³_x001A_'Ø_@öÚ+Uh2U@%c~_x0002_¼X@¼_x001F__x0019_óÒ¬]@¨y_x001D_Á`@©?´ØOa@ÕÕ_x0002_Vý^@Öômó\@ñpÅÇFÓ\@ÛÜÇ³G3`@+%Y¸ÏvZ@Êáð§n~`@9z9Êz_x0015_e@q~Ç_x0015_ì]@$©£|»\@_x0001__x0004_Â¿ù,_x0015_a@_x000C__x001C_Ü_x0005__x001F_Y@2_x0013_BZ_x0007_Ûe@×ö_x0015_Xk(e@Í_x000D_·±úa@ØfØ¼{c@:­µ_x0008_Ý^@«®lò§[@.B7ÜÛíW@ÔÚ	O&amp;±W@Èºg_x000F_zy^@ÜÙGØé[@Ë_x0018_ïc¡`@ñõ^ç}½b@ÿ«S¹îa@_x0008__x000B_ë;c@}_x0002_Õ­_x0010_;W@_x001F_Zá_x0007_àÏ`@1°W®)_x000C_`@&gt;|ò©ò_x0019_b@ÇÔ_x001E__x0018__x0003_¤]@¾ª_x0003_§¤`@µ?¤=Û_x001A_`@ c_x0006_¾_x0003_	X@Bâzñaa@_x0016_ØÄëãèa@_x0014_×ÙÅÅg^@]Óxõ¡]@³¶¥£É`@T_x001F_#9`@u_x0007_\%¨V@_x000F__x001B_è_x0004__x0005_=z`@,þ;ôF_x0002_a@þä4å_x001E_ìa@Ç°ùæÿH]@é®+ß=WZ@Óómá¤Òc@Ñù_x0003_±ÍW@ÉæÃÏ¿_x0012_^@îíû¾Õa@ ¬8~öyZ@N_x0001_cÌ_x0017_ò\@gåáá\@_x0014__x001A_lß½ì`@wf_x001D_Y_x0015_`@ÄÎ5ï]@ÊGha¼`_@J©a_x0017__x0002_[Y@_x001B_îÀeúÈ^@¥§É\CG]@_x000F_ÔÚÂq]@q_x001F_ÁÑÉ^@_x0003_ÐÏ¾_x0002_]@_x001F_d·_x0005_»\`@nÀôâ_x0005_Rb@_x000B_y¢:z[@{Sïv_x001E__x0001_`@Ì_x001A_EP#X@T2_x000D_U@uG_x0016__x000F_®\e@³%µ5´_x0011_a@}d8qÛZ@Ýdá_x0007_h_x0011_[@_x0003_	_x0003_|¢ðÿbX@_x0007_ðy7d%c@_x0018__x0001__x0015__x000B_3Y@íYO_x0006_Þ_x0018_[@|*ÔÁ]@C´ è_x0018__@&lt;_x0002_2-¼\@ùZ@ÝÛ±a@^ëUâªa@_x0006_ê0Cÿa@ä¶\_x0018_k*T@)ê®/h_x001D_^@ýÏ{&lt;¦cY@ý»_x0008_çí\@_x0011_í &lt;{`@hd_x0004__x000B_PKS@QûûO_x0014_h`@îÅXxM_@ÐQ9³ða@_x0015_6S"éb@_x0006_ì.~[@_x0006_¨&lt;Wðg@d§_x0013_I_@ù´ÙT_x000D_MY@Ý_x001A__x0005_Iå½b@3­EVÌ_@%d4ñÐ]@_x001D_#ÚÁyb@_x001C_Óóê_x0002_`@4_x000E_@]m_@=ÊðôÖ­X@ó=õò_x0001__x0002_ÆþT@î_x0003_M¿áuW@Z èóJ[@gSsNl]@áÐjõ$Øa@9ìyõªb@íäî_x000F__x0008_J]@±HqiÔé^@_x0018_~U÷ßX@¿|(_x0002_a@_x0007_f_x0008_××U@ã2_x0008_\@¥Ò_x0007_ Za@ÌËÂu^j^@´×_x0019__x001D_I[@c­ò»©J[@®1Å;Z[@ç&amp;äj`@Ô&amp;£ÿëa@jþ	÷WV@\·ÂU_x0013_MW@%ÃR_x0014_ù`@=Á°ÍHW@da_x001C_M2\@}I:­R@_x0015_éþ-Æ[a@_x0019_ÓÕ_x000C_Vc@lCÍv§¤W@Øbm²Ëà]@M/"Ã^]@y_x001A_Õh_x0004_BU@~úWIëc@_x0001__x0002_uWJ_x0011_¬_@u	_x001E_+½_x0013__@?ê_x000C_ÚLb@4¸¢Ö_x0019_²]@¬.æ_x0011_ÖÌZ@±µÉüY@ø_x001D_uX__x000F_Z@S.ó}ÈÉa@Â!_x000F_ÐV@_x0016_¦ÑKX@ÓbQ·a@Èß_x0010_¸ðÆX@è×l1xÂY@æö[@QÅ_x001C_û¼~e@µ_x001C__{N_@kk^ªZX@Þ¡÷¤e]@7_x0004_XÕ¨~a@b_x001B_¤H^a@r_x0013_E^ù]@4C£÷STa@¨ã&lt;°Ì=b@AÀ_x001A_ÙN©`@_x0018_(¯+jïa@_x0004_±õm¥_x001C_W@41h+,ÓT@]TJI óa@Ø_x001C_øâ]@ÿlÄä, b@9"!_x0004__x0017_ç^@îô©v_x0001__x0002_ö*]@ÙYÂs«ÿ]@FZP_x0006_8`@ß«àBÃ¿b@#ßB"c@ÚGjü_x0005_yb@K¦H_x000D_î]@×FJÁæc\@ØnÓÌx^@sé» SÕ]@_x0016_Ej_x0018_!2b@_x000E_ÜDÇò{b@ Ö¾±_x0010__@+u0^å,[@¡yùÝ²_x001E_a@üW`Q[@¡µð,XfZ@¥Ò¦M_x0006_=X@÷òÐÙÞ¹Z@¿Ä'ÞB[@oÅnìVg]@Ä­_x0007_+`@=ÄýºµS@ ª|2¨_x000E_a@¢_x0017_îO¤S@g¡ÜÓISb@~øx²ü`@ÒÌ¸&lt;Z@ª_x001D_ø«\@zàE9a@Ùx_x001D_}=b@»r{|_x0001__x0004_`@_x0001__x0002__x001E_H;Ñ^~_@Y_x0007_ B_x0012__x0012_R@(_x0003_4_x0018_\@BP#Ë¹ÞY@X}ôÇ)É`@ª&lt;B_x0002_`@(Þ?þÚZ@Xº@¿Ó`@_x0016_WfN_x0013_`@_x0007_²Þä/uY@¤ÝÉoõa@&lt;&amp;TÁþ)c@ïH_x0015_`í`_@ ç.ôc@_x0016_@èÚa@f-_x0005__x000E_×º`@¾õ&amp;þ÷_@¬_x000B_W­(Ê`@_x0006_?úÑÍZ@ÌdTêhúL@ò_x0004_Þ_x0018_²_x001B_\@ÜE¯?2_x0004_^@_ôz×%`@_x0002_Là¼Çc@\-\_@¦ìe^þ_@_x0014_ß6#{a@±_x001E_i_x0002_D/c@¨pdÒÎó[@ü¼ÖÂ_x0002_V@ï-«÷[@º.O_x0003__x0005__x0001_P@þ+Ø|+3^@ ¾üPúY@id'k_x0004_¾[@ã­ýüËV@B_x000D_8;~Z@\Hq¦µ+^@ÇÎ_x0010_Ò?ðX@òæ3÷	_x0001_\@ÊâÙaÑZ@ù_x000C_ ÞDZ@_x0013_A'¯a@uZ×|ë`@#Äî«'»`@6_x0013_oå]@ãðÑj?\@Ûë6_x0002_+ça@(Éilº_x0003_\@øâÏ_x000C_t`@þz@_x001E_P±]@oÃ÷ÈÏ'_@_x001F_HÈ¦Ã_x001C_\@_x0014_¢9¨É]@~ó_x0006__x000D_:_x0012_[@1²²[@}¤¶7\@_x001C__x0012_aU@«_x000F_± 3a@|_x001A_Î5³Z@_x0008_?J_x0005_ï_x0014_c@é!°õ_x0018_q[@&amp;îªí[@_x0001__x0002_sÞ.1S1a@_x001E_"-i[@ 	«è`@àáJSÞîb@_x001B_nÙ¤MX@`±&lt;Ñ±v_@éò_x0004_dø÷a@ÚEñ]ÛZ@è¿¬zf_x0016_[@Ò¾ý@ËX@_x0002_.òÉÿ[@nÅ~÷0ÑP@_x0006_òý_x001E_ÄP@åKW9U|b@_x0013_ÄuáL_x0017_[@_x0018_âJ]@^ßÒÚB[@ñAßi­V@A¥AI,_x001E_O@Þ!_x001B_{áw[@F*=Ñå±V@_x0013_Mî½`@b·¾Ú¼X@³£CMës`@²¥Ú*[_x000C_c@µ_x0012_/,g]@ã÷Ãx_x001D_^@_x0015_;%`@_x001E__x0008_XNÁ[@_x000E_±R&lt;1d_@÷¬Ca(\V@_x0004_)çX_x0006__x0008_ZR^@Æ.¥5²Â^@¼}éj![@e¾..Z@+_x0007_ù;ô@a@íC9«\@¾ArÚ`k`@$Èðû _x000E__@å	_x0002_P¶ì^@_x000B_ãW]@g5$µT@°H5ìóµT@ç9ZÚd@MíÉQÉ_x0016_`@±Ô_x0017_X@l:¸_x0010_FQ`@:i_x0014_\@\1ÿBMi_@ë(Ðo)¼a@_x0013_%3_x000F_&gt;KV@kÙ0H0n[@@@_x0004_#5_x0003_U@æË"b^@ã_x0012__x000F__x0005__x000B__@EåÍµ¶LT@_x000E_j3¬`@_x0001_LÆÖóV@.ånÊX@g`*%¿V@ü&lt;|s_x0013_·Z@âò§(`@,·Òñ`@_x0001__x0003_"_x0011_½/eW^@F_x0005__x0004__x0016_ö^W@Éê¤%â»[@Ç¦ÞÙô/c@­höO&lt;a@øöv¦Õ&amp;_@Ô_x0003_ZL)G[@_x0001_ÞT.O&amp;b@Â¿_x0002_èçV@{2_x0006_.þc@ô_x0001_?é_@òáJãÑ\@ªLG8&amp;3V@º_x0012_+W_x000B_®X@ù8_x0016_K²]@ÜCü¸1X_@Ç_x001A_ø_x0019_Y@¼uÑó_x001A_a@r9ðÑ%\@´kõ_x0006_d@_x0011_#£fía@8_x0008_g_x0001_º_@Ó_x0001_¼HWX@Ò&amp;F_x0005_¹_x000F_a@¼:»©Î±d@P_x000C_åã_x0006_$b@N±*åò8_@`hÑþ/åZ@ß&gt;¡-Z@ù&amp;;_x000C_Äb@Ë_x0016_ÞvÅQ@G_x0001_H&gt;_x0003__x0004_Ôøc@)í*L½³\@ã_x000B_%ê`@ÑÊ_x0011_ùR°b@¯mË_x001A_&lt;^@øzD$Ð_@¨:Î_@p)`ÒÿU@+Ç C£þ_@ö_x000E_x6`]@ïj(ÇÅe@ìûÝ¢X@Û¼'_x0014_4·]@Î_x0010_ª4OeW@F\`_x0001_]@Þ _x0002_¤ò\@Ë_x0016__x000D_$_@&lt;®væhLY@ýqMÁCVa@­¶Üq:Ò]@==ø¢_x001E_/V@7wÐìrSa@F×w=Z@_x000F_H_x000B_,Q]@¸Þ_x0005_é_x001C_c@»^î,&gt;V@òá_éF[@¬Ä_x0001_D[HX@Ã¯T3e@_x0012_6Xl,c@ì\f6­Cc@,U¥eK¼\@_x0001__x0003_( u6í\@S«A_x0012__x0014_]@FÙ8â\îY@Y×écku^@¾±_x0011__x001B_\@z'VëMU@Òø@$¹X@pÄî_x0008_çc@(é&gt;UX@! Ei¼Oa@1 7ªÿaZ@Ho;ù-V@_x0008_ÌaÆ;`@b_x0016__x0004_ËõZ@E^Ên-_x0001_a@þ»ÄtÒ_x001D_^@_x000D_Ì«xJY@óZëëC_x0006_\@x_Lèµ6`@õÄá_x0008_¼¢Y@.Ì«ûÐ(X@5×g×«Nc@Lßz3*ZY@¬º_x0010_1û_@ûéô.4Y@2qU_x0004__x0015__@-,Ya@L´ÒÒÃb@ß%âzÑb`@4_x0005_Ð_x0003_`@_x0019_¹Ý_x0002_&gt;ïY@t;_x001E__x0001__x0005__~`@ÎHCvZ@°_x0002_u^ç_x000C_c@]Ò9§X@_x001B_^®Ë-¶\@áð ïJ[@Ö©¨¦¶®W@I¼3Ó!Z@N¼ñë×¶[@âÓ_x001F__x0008_Cç`@ñ~+Seb`@ûd×yf\@Ú§î_x0001_Êµc@_x0019_z_x001F__@ÃM­BÞ±_@Îo·&gt;½­R@_x0015_}^_x001C_ØY@`tÏÜÞY@_x000D_}¥BÎ[@gîJ®]@Ð(âxÉ°^@Ó,Óg	_x0010_c@×+a_x0016_WU@bAëô _@q93F/_@Å?oÁ_x0011_]@¿Ì_x0004_cc@_x001A__x0003_ÁK]@g_x001B_bqfHa@óêþþ[@aÆ¥\-Y@=ÛuvH\@_x0001__x0004__x000D_ Ä¯¤øb@â@¾M&amp;øV@_x0002_Ôä_x001A_Äb@xÀ¿+.Ýc@_x0007_¾AW_x0011__\@%GVPY@¿hÀXW@&amp;(_x001F_m©X@ÊEíêxô`@Î=4_x000F__x000F_]@E_x0004_ì.R_@`³\q&gt;`@_x0003_*ú_x000E_«Y@(_x0005_Ì_x0015_îU@_x0019_-ßâÒb@ð_x000C__x0014__õQ@[%Dy]@\µ_x0006_~0ç`@	2­­Y@g_x000F_³V_x0011_c@jÇ¯z¤èb@f_x0010_Obê[@ú({K_x0004_c@ñ_x0004_&lt;å¶X@_x000B_¼íàá^@n_ÂT@ôÀw1_x0008_ð]@_x0012_gB:¿-W@÷Á4A^@ÛÆkJõ_@²l©Ïp`@ãò|K_x0001__x0002_þÈa@ë_x000F_C|_x001A_kW@Ü=ÊÉ_x0002_ð^@ôl_x001D_uÀW@H?_x0015__x000C_EY@H=Óú	`@A_x0019_îñ£ì]@súQKPB]@È_x0005_úCkêW@_x0017_T_x000C_MD_@TÞ.ÿ_x0006_Â_@¿&lt;ÿ·b@yWTüÖ_@{Ñì_x0004_àjV@_x0010_ ÎÃ\X@gcðsÈBW@C/_x0017_ÿ)`@¥&amp;Ô.(!`@±£_x0006_USa@ã"T	3¹d@øÃ_x0012_a@ÀPR¿_x0016_\@m¿_x0015_³vÕ\@_x0018__x000E_å*[@-%&lt;ñO%`@_x0013_)}ËZAb@®w_x000D_qTZ@O9¼ØçX@+e=Z@JóïcÉù_@ÅÕ¯#_x001E_Ça@D9ÆmÚÒd@_x0004__x0006__x0010_×_x000E_z3 a@õ#tû^@ &amp;ç#`@ëB¸9mÃ\@S¦z&lt;ÑV@§Ûñ¶_x0004_ß_@ÿ_x000B_¦½Ï _@Ï_x0003_GyZ@6ð*¡+`@b(Fôí\@ÕK`ZÍ_@ígª½ìa@Ò_x000D_²Â5_b@&lt;ÇVÆ\@p_x0005_DóyE`@Hµm¶,d@¬}I¦_@\	»Ëª}^@ÙÆÍìaY@Q%9æ\@SWV_x0005_Áé_@"_x0002_2ó$7Z@ú4,i_x0005_òZ@rbÎÕ[@ç­_x0012__x0001_í^@ä;ï_x0017_©¡Y@;NìZ:`@äP_x001F_}´IV@¨­'ZALa@×É_x0010_úÐ`@QA_x0003_ËIX@YÚºà_x0001__x0003_8&amp;X@ë&lt;S;µï\@Óï[Ã[~U@¼°_x001B_æË[@:¶hZÚ_@¤4ÓQ]@i_x0007_Wt¨p_@êt_x0017_{_x0006_:^@]S.Tü_@Ç_x001F_È7_V@V'_x0010_¨_x000D_]@Kú_x0006__x001A_¦_x0002_V@â_x0015_¬b_x0014_ßW@Âºx¥DùO@Ë_x0003_2_x0007_d`@_x0012_"°9|y_@?í·xÈY@sÏÊòo/a@-Û_x0012_z÷]@_x0013_àe_x000E_æ_x0013_a@ïxIúé`@s_x001F__x001B__x0018_¥1W@o°Ñ´^@ã1g_U@©_x0001_[HÅb@è¶¢a@VJË)·a@TO°t_x0012_É\@=_x000D_©9_x0010_S@P_x0017_Þ]AM`@¢zù_x001C__@§vuµB¬[@_x0002__x0003_Õôl.÷åX@jß_x001F__x0014__x0017_a@6ö1_x0003__x000D_^@Y·,Â`@°+ð¯&gt;ðb@ò÷lynÃZ@½A.ÓÔY@m¤·ï¯_x001B_V@i0Ø]ÎrU@æ&lt;¯¢Y@"RÖ_x000F_Ç^@_x0016__x0012_ùI[·Z@,5fÖ¥,W@_x001E_8_x000E__x0010_±ß_@_x001D_v_x0017_;¹Õ`@Ãð3ñC`@ì»-_x0002__x000F__x000D_Y@_x0012_°_x0010_t]Öf@ÅaêR$^@óãì'Ì'a@ÅdGBàq`@Õ_x001A_Å¥ÛW@²oÆX±^@Ybýêb@ÑeÒn1_x001B_`@ôu;?©]@ÇX«3[£W@_x0006_±0ý_x0001_]@ýeE_x0016_=õZ@utú®v[@_x001E_[Ç0^@Ywq_x0001__x0002_c@A_x0008_89_x000E_æd@B_x001A_V.?Z@M"&amp;ðïHY@KlðºI(Y@Üòx¨`@s_x0002_Øf_x0008_MR@(;Ò%_x0010__@¶°¾¼¿³c@_x0014_±d_x0017_Â`@ÓaÉ_x000E_ôJW@_x001B__x0001__x0014_3«u`@ö^»Õyâa@óÛ4¼c@¤ji\Àø`@`º_x0013_¼\@Ïþ/é_x0007_rZ@ü_x0004_J$uÇ`@t¿æøb@&amp;B±zÖ¸X@oâ4xÀ)\@­ê­*ÌO`@®?´aÁQf@tySºFïX@_x0007_¤ßåaaY@ÇØ¶_x0008_µ_@¡û°#Ï\@®_x0015_0_x0014_M¬b@dX8_x0017_a_x001F_]@_x000D_ïn¾ªMc@ÑÀ Ó:_@"W_x0012_"_@_x0004__x0005_²(_x0001__x0002_ÿa@_x001D_HG_,a@Y	­º9U@O!d)_x001A__@¨_x000E_aÞæ^@~Æì$_x0002_¼^@©ò$»ØI_@d_x001A_&amp;îj_@"mgAµ^@F*_x0013_Ôo]@$)YÃe@@4Y´¢'Y@#+p[QOY@d+àÍM_x0005__@y¢_x001E_iÜØ]@Õ2[æIc@c_x0011__x0010_lÔX@[4ÖU_x0003_]@®CpðöY@_x0002_{F¸\@ãµÌì®hc@ÚÃ|äÒfX@ºå5V°X@r±Þ&lt;å¬a@¤ÎãHýµb@RÅï÷_x0006_a@*¼.vßc@t_x0016_ªT^@(üBeIÿ\@ZÙ7ÊbD_@hÆ^6Òab@_x0007_Ô:_x0003__x0002__x0005__¿a@1RåÑîb@ÐëdÒZ@±Ô_x0003_~U]@äÀYyS_x000B_`@µ_x000D_{_x001D_øb@hä!s_x0002_ ^@åß&amp;_x0008_µâc@:}_x0008_ a@Ò&gt;_x0012_Ðºm_@Ì_x000B__x0018__x0005_¬`@×ð fÇ`@	_x001A_*dì[@ògX@s:V@yè;_x001B_Ã[@«OþqY_x0001_Z@»¾çZ@T¸û¹2©Z@Ü_x0003_U_x000C_¹L@~ _x0016_k/%Z@Þ2@ñ[9Z@airË_x001B_^@mè&gt;Ô_x001E_b@=_x0003_l;_x0002_:]@&amp;ÐìPÉÄ]@98´ÛªX@àÄTô'_x0016_`@þE_x0004_Ó*`@'@ÿÖ_x001E_\[@Î_x001C_â×9©U@éªG"=¹_@&amp;	_x0007_¢Xe@_x0004__x0005_[_x0007__x001F_¹_x0011_Ác@_x0001_L¼_x0019_M_x0008_`@,0Ä_x0004_Y@ÿùODb@_x0007__x0010_"Û"=[@$9ý&gt;Ù_@0·®jÔ`@eÅ)_x0003_ö½]@Ì_x0005__x0004_]@¦Æ§ñ¸!c@**_x0008__x0015_¯°W@' _x0013_ò_@vü_x0014_çv»_@"ÍÐõþ`@¸C _x0002_c@å¬½ªÔR@|&gt;Ä/e×a@0ka"\@tÅ2W^±a@&amp;$)²¼`@KÀ¦¹[@_x001D_9á¾_x001F_`@_x001A_öQ_x000D_b@È_x000E__x000B_Ò|ma@Ò_x000E_3_x0014_Gc@l_x0016_G_x0005_4vP@}ÎoÓæ±^@ú_x000B_Ü_Ñ³X@_x0018_÷N_x0005_´[@éLu³§õX@êz:·Þç_@øË&gt;n_x0001__x0008_!¶[@_x0011_&amp;^Ò_@_x0017_N_x001A_9_x0008_Y@H6t­Ã_@_x001B_ÕkÈ_x0019_øb@yyv)âZ@ý1Z@xWs_x0006_ú¦_@_x001E_:_x000B_aèr]@d=5ªÉ_x001B_a@lµï»	]@t*_x001B_âr=]@$+VV$]@_x0003__x0013_¡_x001A_Zf]@6ÿþñã$b@½_x0015_p_x0005_`@Çªc.º7[@u_x0011_0°¼çZ@Ð_x0007_ÑkX@ºP©Q)?]@öÅæØ+`@%\þÞ_x001C_`@÷_x0010_\l.\@Öú_x001F_8¯^@Ú~Dæ^_S@_x0004_A_x0016__x0002_¬Ñ_@ÝZ/(a@yòÚÀä¨W@¤¹_x000F_æGhZ@æwY×Þ$Z@dàDÌÂ_x0003_b@É_x000E_C_x0019_f_x0019_]@_x0001__x0003_B×s¹ÿÕ\@_x0016_9Ë`@i\ê#u¤^@´ø_x0008_BÞ`@Ð#_x0007_ìþ_x001B__@éÖiiö_@?ÐE_x0016_I^@BrÀ[@s#AyâV@FæÎÍ=ua@FÜÆÏ¯é[@éuÈ~¢1a@_x001C_/_x0013_÷H»^@Aº_x001E__x0002_tT@¯:_x0010__x0002_ÓU@á¤§(ú]@\W£[@.$_x001E_"d_`@_x0004_EÍÁè[@Æsp¬]@	É\Û_x0008_^@Ä}n8[Y@1´_x001D_zÕn]@z»þw·^@_x001F_ÉÈ_x000E_[@«&amp;ÜÌÌØ]@Ûìóÿ?QY@è_x001F_ÍêþW@x_x0007_ÈÌî0\@&gt;êË@5^@¹_x001E_ù0Ô_@»Û¤_x0001__x0001__x0004_ñâb@ð_x001B_Ü[@µVà¡±ÀZ@;ü_x000D_äÕ^@À#cÕ5HW@bä,l6_x0017_`@:]4-ÜÞN@Â(¡uå¶Y@IJé_x000B_Õ'`@I_-Ú_x0004_]@e¬TñwY@]HÝ³½^@_x000F_¥_x000B_#÷\@32µüH)`@Ä~Þ`Ì0c@:s_x000F_7äV@Ô-_x0013_¾_]@°_x0003_Íî_x000D_V@_x0007_&gt;@!z"`@½È_x001B_óFRa@´ð&lt;ýV@°¶¡Å¯g@à_x0006__x000D_2dW@ëêïÆRVZ@X¥_x0018_ßûX@üÂ2cpZ@I¶:ô_x0013_oX@ê#@Ù~_x0004_[@VçÚÐw_x0004_a@Ç_x001C_¼_x0007_ò_x0001_e@HS^_x0007_JX@_x0002_?_x0014_oVÊc@_x0003__x0008__x001C_E_x0010_ªú[@_x001E_Ìiòb@ùD.o½[U@Q2µfä²a@H_x0016_ó_x001E_[^@_x001E_eÎýb@&amp;Üq_x0015__x000B_a@-ëNq±_x0004_`@ÿåfQ¶Z@ºìTÅ]9`@á³\@8§ùë©a@_x0019__x0005__x0006_u±]@Æ±_x0003_\@ùô_x0002_¢\a@ ãÜ{êmd@_x0004_¡ î¿b@I¡)¼Ã]@ pÊ,ahY@_x001D_Ì+2äa@!^&amp;ua@_x0007_½d¡_@&amp;_x0003_j= f[@Gª"_x0011_Ã]@H®j&lt;MÎ\@ª_x001B_®õ®b@ÆÄ²à5t`@+õÓ_x000C_Ib@Û¥J"· _@²_x0004_Lüna@Fª±±×I_@_x0001_F4_x0003__x0001__x0002_Q^@P«?EMôa@_x0002__x0010_Q(Ø_@áCû£\@_x0006_%«õ7\@%N©Ñ$ê\@¨"_x0017_·Vc@¯ºmÙ`Y@Ê²AF¥X@¨G_x001E_aAV@ªÔ×}_x0013_g^@a_x0005___x000B_¾_x0014_Z@°Im/naa@,_x0001__x0010_¾^@H_x000F_|A_x0006_,[@zü_x001D_ña@pmYã¼ U@ÝOl_x0010_³b@_x0012_Z;#VÇV@a©Ü_x0014_µõV@Â_x0008_Ûåc@!ªÎkÔõ\@â¹ÁØ.Z@³xCÎV@Ní*ø_x000C_`@Õk_x0007_È%_x0001__@_x001A_±_x000E_ü]@âALE6)X@M_x0015__x000D_B'O\@÷1ÛË_x0007_zZ@¿/Aw6ÇX@ ÚÛ_x0005_6a@_x0001__x0002_\ÑUd_@ïên7Ó?[@_x0004_ûâSzd@ôu_x001C_`@¥; ¹Lb@_x0002_/6%~þb@¸{sxJU@_x000E_°þ¸¶`@z;Ý^!Åa@i`¼@j\@ýòXKùU@CK_x001F_!°V@FÿSLX3`@_x001B_6yUa@t$_x0011_CZ@¥H6_x001F_xW@r	9XìU@Ø_x001A_ê,¬Ùa@_x0005_C¶Ìéa@÷V@Ho9_x0018_ÓOX@¸x£æ9ä`@_x001F_Iâ§Ñc@ö_x0001_Ú	a_x0001_b@O_x0018__x0007_°_x001F__@_x000C__x0002_Î_W_x001E_c@vC_x0016_Y^_x0005_]@à_x001E_wô_x0006_a@­7_x0001_ñV@f_x0001__x0014_ñ_x0017_Hg@¦àoÙÖf_@Ë×­_x0002__x0003_ßÉa@K­¢gà[@ÖôUchk\@´/_x0015__x0002_{ÎX@ªñt_x001D_9ÜT@RúYìk_x0004_`@s¦]¼ÔEU@í3Ó_x0008_X@U©.#º`@~_x0004_`iyb@/ñF­F]@²ÔpP´[@E­äFX@r±N·_Z@_x001F_ÚU_x0004_\@Å1©¿n_^@´_x001E_oéÁ-_@h_x0019_ßc@Wt_x0008_O5S@¤(à}ÞZ@ Z{ûûW@Qà¦=`@é_x001F_þ_x0006_!a@25K_x0007_va@6_x001D__x0001_[°`@¸}`ÅÜ]@¡J'	DV@QÙÕQ¶È[@Ü×QV¾\@*TÛk­N@â	¿ë_x0014_;c@$_x001F__x0006_O]ü\@_x0001__x0003_2à/RÕ]@Bzí]@¶VKçþX@_»e"&gt;ù[@ÕîËß¸_x000C_a@8ºÞÇW@_x000F_ÿ_x0018_aÄò^@âÈéw\c@$m0¨Y@ë_x0014_cÕ\@¿?_x000D__x0005__x0006_û_@e_x000D_'ã;àS@_x0011_=Ù_x0018__x000E_t_@õøYÁÆüa@®*C_x0011_X@°_x000C_{ÄE]@¿ä_x0018_d@T_x0019_3Ý¼[@8p`¦`@_x0005_-_x0011_X¼V@_x0017_ÏÆÔ_x0003_[@T÷ÃcN@.©Íb·\a@kOà8_x0014_UP@+_x001A_~[{[@á_x0002_EáTV@ZÝ_x001E_xZÇ`@òoß_@&gt;Ô@À_x0019_;`@8ä$ÌÉ_x001B_X@ÈI"_x000C_üÿ[@* =¹_x0004_	ÿb@Yñüè­_@É@)U@·Hh`@Ä·Ù»ÊÜV@Ó/Å,aJa@Ø&gt;&gt;øï_x0011_U@_x000E__x0008_Ù¸_x0017_5`@@_x0015_Nt^@¢_x0019_Û^¦é\@	_x0005__x0001__x0007__x000B_Z@Ô_x0007_+GM\@ët±·¦ýY@¿e±jp^@À}ØNT`@_x001D_ÞÖc@Ë_x0019__x0005_6Ù&gt;b@îÔÓ,2Êb@¦Ã7?]a@ºªËD¡_x0013_\@PYsa_x0008_b@_x0018_EMô¯b@óÀç]@J®_x0018_^@»Í_x0006_O×_x0014_`@8&gt;@¼Ue@ëÕy_x0003_T8c@BÝ_x0001_®_x001A_bb@xCAü#OV@;°_x000F_é_x0011_b@ù-CpR_x0019__@Îd_x0002__x0004_Õ^@_x0004__x0005_\×¤.V@$=»ë1[@p_x0014__x001C_FÝc@	+Ç_x0004_D_@Xpkj#\@²^|Û9`@_x0006_bTÜ_x0010_a@_x000F_}&lt;¥©#b@Ø_x000F_S'\@Ð_x001B_×÷·ÓX@Bú3WØ]@¯1-kRÛa@ÒÛ9²G `@wëb ÒZ@ÌX4«è7`@³¾ã_x001B_S@_x0012_(Ìº_x0007_]@a"	_x0015__x0002__@¶TK_x0003_qSX@_x0012_Ò³_x000C_¤[@Û%ñ3Êë_@Pc\\@12¼Dð]@2írÀZ@{Ü1_x0013_Äa@h\&amp;Yoa@úÍô_X@l&lt;Ø	_x0005_T@u2ÕeàBb@_k­ò[@¸_x0003_³_x0001_&gt;ô]@¢ÁÅR_x0006__x0007_Ð^@í»¢ÕÉ\@ëOÇcÍ_@ç/î­7V@/Ø6Ïo_a@/'wUßZ@B_x0001_%_x0001_xî^@µ» .i_x0017_Z@ |0_x0016_Jo[@Ök:¥1*Z@èSé_x0005_&amp;a@&amp;,Û"¦a@µzÅÓ[@Û_x0014__x0002_×e6b@õ&amp;b_x0019_ùÇa@/'_x0004__x000B_$_\@_x000D_ý¶/_x0002__@Õ_x000D_3æLÇa@%ØÍ_x0010_]@_x0003_p6pé_x001A_X@ëÕ_x0015_º´b@mµ]ýHb@ìà°6}(b@40Æ"ïob@7vG_x0013_eX@©î­Á;ú`@ »;É!¡^@¼Ì¼(_x000B_w`@ò¯æ``@°üÄ 9d@a4wÉ¥äV@Þ©ötUÒa@_x0002__x0003_`âr%)b@m³_x0005_a@¤ÉeÀ_x0016_UW@×åÆá÷_x001C_Y@\²_x001E_ÌÙÊY@fñ þÎ¦W@­QXÈVÓ_@V2§¾	X@,ÔµsCôb@ÒaI_x0002_í]@[¬ü'Ô8f@;w§]`@q^	ç­IU@¨_x0016__x0012_1_x000F_od@Tªw_x0001_AZ@#ÅîàB_x0002__@ÊÄ}ÙË^@hCDTÙ\@_x0001_¨ßM°_x000B_a@ÞIÞl]@q&lt;Q¬Ó`@LÛÚþæ]@Ý_x001C_Ú{mâV@ÖuwÛ;[@2tm;ì÷Z@¯ù_x0005_XW@«Z_x0015_R÷X@HÈ1_x001A_X2a@:¼«ºu\@gÚg×ûù^@ÝafË`@£×Yø_x0001__x0007__x000E_ó[@Å_x0013_DÕÅ_x0002_`@Ø_x0003_à´_x001A_U@k=27ab@ò]Ðíz_@Ó_x000B_J_x001C_¼]@_x001A__x0006_«ÓX@mnSú¬ma@_x000C_!i	/³Z@3\_x0018_{ïÊb@¾´l[TEX@_x0005_®õ¢K)S@n_x0006_®ã_x0006_\@ÊÌÜÀa@îQãg_x0017_\@nóÖÙ\@¹|íùÜ_x000B_]@¶º}'Z%b@_x0003_#Äö#nd@_x0011_¬M+ñæZ@¿ÃÎ_x001C__x001D_`@ó9¸ça@l¨¦H V@c_x001A_½Á_x000E_^@À_x0007_¹-_x0017_åZ@ø¥éPÿ`@½ÔÙÀ»\@+º³}]@ðP¨é-_x0004__@+·½u\z_@#TÞ[IZ@_x0014_¾7&lt;EZ@_x0001__x0003_0øgæBR@¯l5X@/t.v»i^@_x000C_¾$ÜV@èò»_x0017_e%X@´_x0003_$U_x0005_v[@Cö_¾`gc@ÒÄ²U4ãW@4¼s_x000F__x0005_¶W@Ðr_x001F_ÖHU@h_x0004_9*îÁb@ò	Å¹a@Þ² òeZ@_x0010_Qæ_x0018_æs\@V;×Qêz[@K£ÉÔb@µÐp_x0018_Q¡_@7ØPt¯^@Ê¿ª*Z@èsëu:1`@ÜäÈø_@rO_x0007_fÆa@_x0010_@tU(a@J_x0002_·3	a@#%ú÷$^@_x0003_Ê®º®&lt;W@&amp;Óc@îö¿/a@V¶h(ÏÑ_@%`îwW@û¡r¾/_x0016_^@eª;_x0005_	_x000B_ÈZ@\ìwa@øò¶{¶[@âw6-Þ`@aú¢6Ä^@=;¨¯X@6¾s_x0006_i´`@*á;ÇR`@_x001C_Æ¿_x0003_¥_x001F_^@_x0018_Y[@_x0008_ûwd^Y@u·/_x0004_Ó_x0011_U@'T_x0011_Ä´ú]@'¼dRV@±¬y~_x0005_§W@THGËiY_@Äé'KZ@~7eír3Z@í`ãø`@Öá!!ì`@{c2Û¸`@_x0001_N_x0004_W@_x001E_B*úôb@³­MÞ8X@d_x0007_LfVxT@&gt;Åý^­V@ýK6`@Êö]b;b@V¾/ÁÅ_x001B_]@'_x0002_J È¬a@ÜDÅGXSX@Ø¼!{×7_@_x0001__x0003_L|¡'*_@Ë5'°¨X@8'wØTúX@_x0002_zµò(Z@J_x001F_Ú;++^@¤V#Ëã1b@`	TX4_x000D_Y@e,+_x0013_îÁ_@_x0011_ Îø%b@þ«»C_@öør½be@¹§ñC_x001E_}S@ÈrÚ_x0017_`@q&lt;¡µ&amp;gc@_x0015_S6ü¹]@"Mçÿ^@ÁÄh×¤a@·fà_x0013_ Åb@ÈB}'­a@¶.ÿy	àb@ìZÕCÍ_@^ò£ÔèsU@ùÑA®Z@?J^ _x001F_à`@eâF¿_x001F_]@&lt;*&lt;i_x001D__x000D__@B?yYÞÅ`@!_x0010_:ÕâjM@zâßÂk_x000F_]@Û+r2µ[@!£·Û4©^@_x001C_]&lt;_x0003__x0006_±Ça@¼©Ø;]@_x001B__x0010_l,_x0019_ÖW@#ô+gºvb@ÎÄ)À_x0016__x0003_a@-,Ë_x001F_÷*Y@.g_x0001_6ùc@3D®_x001E_Ò_@_x0011_¶C Nï]@_x001A_	Ì!þ¨\@Å?a9©Ìb@^ä½_x000F_´_x0014_\@®jÊÔY@¥·?ÌýW@º¼;1&gt;\@¤¼[X´Z@þ_x0011_ó«®G`@X=áEA_x0002_`@_x000D_öDÑöU@g_x001E_ö-óD`@·_x0018_I_x0019_äÁV@6=|`_x0007_k_@_x001A_	_x0012_^@ùò¾PB]@¢_x001F__x0003__x0015_®a@_x0006_ÌéKå_x0005_T@R_x0002_:_x0007_ÉÊb@`;ÿ?_x0007_s_@¨7pNSð`@2_x0004__x0001_&gt;Édb@9z_x0018__x0016_Ëça@_x0003_'éD`@_x0001__x0002_æ1y)LjY@êmG{_x0016_v_@_x0015_ã_x0018_ý¦ÇX@!æ8_x0002__x0012_[@hÃÕO¶ÑS@5~îRd(`@_x0012_aÞ-¦[@DG_x0019_»êH_@_x0012_¯¤7Z@+&gt;ã&gt;²ºZ@y_x0017__x001B_6_x0015_W@-_x0002_gC5à\@Ð@*Ä·çY@2Ñ_x0011_;_x0008_å]@_x0013_®_x0010_ª×°a@¤`P_x0015_S._@åF_x0005_Tø b@Õ {(_x0012_[@i·Ï9ÅY_@7_x0004_Âôöa@&lt;w¤_x0011_oP[@åÝcQÆ_x0011_\@j8Õ_x000B_bî_@h¾WÅ\@þ:,×áÅW@aÐ_x000F_Â^@!å_x000C_?ÝQ@/«¯b@»2ç_x0003_ X@ä«,¦_x001B_G_@gy*Rº_x0019__@k9c_x0003__x0004_aÇY@´ç%mNZ@_Ð"T_x0013_^@¶úÖå8^@#_x001F_s¦_x0005__x0019_a@-¾É_x0001_»"[@_x001A_ì_x0019_IëL`@ºËU¦ï}c@¢F_B_@üû·(í\@N¿&amp;'*Þf@]Ò]ÔNX@(4xS©vU@(Ü*_x001F__@aæ§eõ`@ð_x0016_tz`@N"_x001B_pa@3²¸~/T`@_x0011__x001D_`QãØX@øøÂåíZ@°Z¥ì¥øV@VÿõÉDLY@_x0017_d_x0002_	b@Ì_x001A_ß}Y@#ÞC¨"?a@U_x0017_¹Æ_x0005_	^@(HûÒ)f]@y_x0015_~¶0b@ûy±+4ka@sÇo_x0010_{Ñ`@_x000C_&lt;ûù_x001A_X@êí®ûß]@_x0002__x0003__x0013_8¬_x001B__x0001_^@úP2_x0019_½¤]@U©uã_x0012__x000B_`@f8|¤#¯W@~K~OÎ÷Y@²8¥N[@-Ìlt_x001B_`@:ÄÚ_x0016_"Û`@æ®T&gt;¯^@ÆÅ¨_@¬¼ìÏª`@[50Ld@Ü_x001E_ÄMa@z&amp;©_x0007_@`@pÛ;?¯*\@¿Ö!frX@}H_x0017_SÊZ@Æ'à_x0006_GI^@c0M!_x0007_¶\@_x0001_qðûQU@,VKWà_x0019_`@o­ _x000D_\q]@m¢ÉÆÄS@ÉãmI	e@Ò(×6o_x001C_\@_x0005_ /·ð9^@ïE²½±Y@áUî]lb@Ú~zÜ!oa@f_x0006_et*_x0001_c@]ûçËÍ_x0017_X@Õ3n_x0004__x0005_Sá[@j_x0003_ó_x0002_OU@ã¶a¼_x001F_c@ÂS$£w_x000F_Y@WZ8Fy:]@_x0001__x0019__x0014_Ïq®S@ªMârb@øÛNÒæ4^@¥¶|_x000B_$X@Y¯:ý»a@³VÇÁ_x0006_0a@GÚ_x0016_XÚa@]O[Üf'_@ÖËB_x000F_¿`@awé°xX@-h_x0015_|òY@²Ë½Da@_x0012_ºÃõ­¼Y@_x001F_Õ `@_x0004_Á¤_x0019_ZR@_x000F_ü;_x0011_;!b@.Þ8Àp¾_@_x001D_	ê¹ù#`@ýÇ®7+W@x¬FÚþU@Ôvûi`@§_x0008_@]@'_ñ_x000F_O°^@"kÜù_x000B_÷\@­]?b÷Xa@_x0013_hÁ9^@=ÿ_x001D_v\Ya@_x0001__x0002__x0004_ÑrÀ# ^@Ùí`_x000C_M\@_x0007_®[eä]@Bu_x0017__x0010_6c@òÌUIo6c@Ä+&gt;q¨j[@õ_x001A_8&lt;w]@Í_x001D_u^àX@VäùX«:X@5}vG_x001F_­\@a]ø5_x0013__@àO_x000C_~_x0003_=^@ÒWÐ ýÓ\@¥,»=b@ðóSä{4X@´rÌÝ	[@f«ch-l\@Á^h¦õØ`@_x0012_,(îsñ\@ñï6`@4×c,î\`@)_x000D_	Ç_x0001__x001B_\@,ÅÎ&lt;¤Z@_x0014_RÈÂp1^@yÿý_x0008_[@¬¨tp¦_x0004_c@.ã½_x000E_,_x001A_Z@fõM_x0013_zÓ[@/ÜÒÔ_x0016_Z@c­Ñ_x000E__x0017_­^@MÆ*O[@äy_x001D__x0004__x0005_¬ÙZ@_x000F__x001E_ýbõ%`@Ë[¬_x000D_Z@_x001C_Ù¦×_x0014_Y@Êlðð~ê[@BÌw!_x000B_b@§vÖ_x0017_ÙêX@x*²vþ_x0018_W@ßÆ_x001A_Æt)X@_x000C_ðZ¾Eµ^@`ÖßÑÓU@¤ÍZ_x0019_Þ\@,v­÷/áX@¼ÀyØÖb@_x0001__x0016_uHX@L&amp;_x0008__x0003_za@1yM]ºY^@â©ã|8^@_x001B_{íº5_@_x001A_6"B¦_@&gt;Újß®µ`@|4eÿÖ_x0002_\@ô+¾ïß`@8ý÷ÂÛ_x001E_[@_x0008__x0011_¡®_x001A_Ûa@+f_x0003_¹ÈW@`_x001B_,)b@vñÍ_x0013_¬a@Z|.ãäb@Åàï´a_x001D__@~â!_x0003_ÖX@_x0008_c_x0019__x0015_Hf[@_x0001__x0002_/ /,×Ç^@%6W¼SW@V²X_x001E_:}[@_x0007_¦1À[@G¿ï\w]@#_x0019_Á§U@_x001E_Í&lt;éYAb@_x0018__x001D_õx?^W@Æ¼X67]@º0_x000D_þ _x0016_d@÷ F-m0T@º_x0006_f@`@s%ld@_x001A_F_x000D_óba@Ã[lÖ/Y@¶_x0012_þ¸Y@óv¢sF6[@6üZ'HX@eOâ¸h÷`@_x0002_Áên.X@._x0018_Ó_x0017_,^@_x001B_p_x0004_afø[@rsÆ¶zf@O_x0013_ß¨)±`@;_x000E_óº_@°¶1?hó`@ÇK_x000D_|_x000C_ ]@L_hÙ{[Z@_x0001__x000E_&lt;Xà`@Ï(öaá'U@ÿ_x0014_Í^\@]Ff_x0005__x0002__x0004_ùè[@ÚÀ_x000E__x0002_&amp;rZ@O][&lt;[@ÔÕ'9o[@¨[_x0005_«§ä[@Uî¹_x000D_ÿ4_@Y¯ª[\@KöÓc!Z@ðo_x001C_@;[@Ý_x000C_E5æ_@`µ½]×2]@oÕ]½_x0018_]@@_x0003_¯nÒÐZ@Ã¦_x0001_ß§Y@#ç±X@_x0003_ÿmi§Æ^@é&gt;1¿_x0005_`@Â##ì_x0012_©c@¦Øàºþb@¼a}2bR@¤WÉÙÎY@ß_x001C_øN·da@Ô_x0012_'ì®;c@êâ_x0005_=V"`@¬â_x0014_áZÿ\@4@Fÿ'Y@hâ}³ØY@Z#_x0011__x0013__@(&gt;ÈÛ"+T@gÆoèü±_@_x0013__x0004_þ|3d`@²ÆVú±[@_x0002__x0008__x0003_Ó_x001F_Ë&gt;]@`¸_x0019__x000D_ôa@sð£|Z@_x001E_ùcüHe@¥piR]_x0001_[@¨_x001E_è6_x001D_BZ@Ä:©ÚÄ`@*@x#%a@sU²_x0012_û*^@;®tù`@5_x0017__x0007_ô¸_@@¦±¹³êN@_x0012_G_x000C_Ã\`@äF9é¯èc@øÎuÂ¼za@'ûð]ñè[@m¿·_x0003_ê_@ê¾_x000F_MÚãX@_x0019__x000E_¥;]^@¦ºÊ@"Z@ª.¾¤_@®~ùcºud@¢_x0006_QW@z_x0014__x001A_=NV@J}&lt;]@RÁôªü]\@Í¡k@ÞOb@cÈ_x0005_ÙEm\@ªÍað	ßY@¼]óu&lt;mZ@ñ{ÛLD_x0004_`@"Ê.t_x0006__x0007_Rd@_x000D_	|Êil_@O.ÛIÿ`@UW_x001A_ÐÏë`@``¢õ½S@-æ_x0008__x0003_ÀâU@}D_x0004_sÝ`@à©«VCY@]ýAÍÊú`@)ØjR^c@¦ù_x001D_ga@#ôNõíb@,M x¡F[@;&gt;ÞJv_@QöØ`/]@_x000E_êT\_x0017_`@®t_x0005_«Ha@qº&amp;²ÌSb@±|z°°_x0006_`@b_x0008_X_x001A_`@N@N_x0004_t~^@§¾Ó b@_x0001__x0002_L·¸À_@´_x000C__x001A_v_x001A_âX@}ö2§uû^@Ø°_x001A_Qc@LX_x0003_Ö]@pÎoÚÍY@Ãæþ#°g@_x001E_Æ=J³_@¥¬1§¯-V@&gt;PëÊY@_x0003__x0006__x000D__x0010_øã£X@U_x0010__x0016_?çJX@q±ÙÉ_x0014_¦a@&gt;ï¿Ü4_@_x001B_|_B^@ß©Iãë [@EÀøÔb@"Ù®Bë`@é_x0007_\_x0004_Q×P@p};]Vb@:ýÕF`@VªªÛ_x000C_b@  _x000B_yÇ-a@È¢SN,_@³=ñR_x000B_`@âÛr¦ìa@Ì_x0005_.ÎKc@]ôO_x001E_`@_x0003_0_x0002_nÿíY@l_x001B_§y\@«4¾	`@..EÙý_x0003_[@àÝI_x0001_@W@_x0005_¨=é_x0014_;a@yM_x0005__x0005_ñc@Û}_x000F_ëq_x001A_\@Õö¬ÅF[@m4~cMX@_x0014__x001A_Àãa@ÔkÎûsUV@¼ªP7?^@è_x000F__x0015__x0001__x0007_ñ©a@Ú_x0007_A3j_x0001_^@EgG_x001C_`@åO_x0010_Dp\@øÁ?_x0019_0_x0003__@yfÍ`ü_x0014_d@#P"fÇñ_@]6OïX@2_x0019_«ºT@z_x001D_ã÷`@5¢3[@8ÏgT¾Z@VF¶V@k{ùs?a@Ùãn{~g@|_x0017_¡GqiZ@ï_x0004_î¹h_x000F_[@}_x0019_ÙC®]@Y×(JU@_x0019_OYwH¸a@àU@_x0004_È]@9rË±_x0002__x0019_a@&amp;ÍÝZ_x0006_¸`@_x000D_µjû\@_x0005__x0011_Ê«÷V@Âm_x001C_ÝõxY@è_x0018_fÔÓ[@ù_x0011_C`@¼r_x0002_Ê|V@=µKå8_x0013_`@Ü_x0001_=S`@_x001D_ïdg÷dZ@_x0002__x0005_"5ìL_x0003_[@WaÝW_x0013_ÞV@_x000D_ÿ_x0011__x0018_oc@so_x0015__x001A_X\@&amp;|:Rãï`@µá*õOáZ@_x0014_æü§p_x000C_a@_x0004_õS&lt;,^@_x0010__x0003_DY@ßñ#z£XZ@q}_x0001_Yø_x0004_a@0ßïU _@3Ûðøücb@fäez¤C^@axøÍ[@º_x000C_\Ø$b@[Fã¬¡b@Sò«P]]@äLlêa@5ÄC©e@åØ}Úí1W@.ì  *²Z@±|&amp;¤m?`@G_x0014__x0018__x001D_pB\@ÂÇ®ü`@_x0006_çõû0]@UNÙsc\@_x0010_3ý7ô_x000C_b@pÆð°,O_@ø,tÙ_x0001__x000F_`@_x0015_×Qd_x0004_a@5V'¡_x0001__x0005_Os]@¶Ð/ÄÛV@¶ÒØÏ`@Êú#uea@pUï±yj_@Ø¾äÃU@ÇU¯ÛÀ_x0012_]@_x0010_ú_x000E_&lt;P@1&gt;pV@_÷Ò|í]@c_x0010_÷áæÃV@Âì©Á]@¡_x001C_/_x0002_ëX@ô@XTØ ^@Y_x000D_!íO^@É!¼&lt;Z@ïE_x0004_©:T^@7õhó_ºb@2°¦i_x0013_`@_x0001_Ô÷®ò^@X_x000E_r~&gt;X@2T¯ÓÇX@õ\ ¨c^@@Ú_x000E__x0003_3M^@_x0002_RØeÓÒ`@ògH0X_x000F__@¼ñ8­ÃûW@_x0001__x0002_y¯a`@lÊuWÓá[@©q7]U@æÍÄÚ_x0018_a@//}ê÷ì`@_x0001__x0002_ªõjÿÅ¸b@ÏðñE_x0001_¿b@@iËÓD_@^Õ_x0015_®Y@H¨_x0012_Ìà²`@4R3+_x000D_]@P@õ?_x0011_\@8Òl¸cU@ãÒ­yÅab@²Ùë5^@o_x0001__x001E_yøl]@_x0004_È¡õ¢ê\@µ¡QCT@[¼¼&lt;O|`@jÄ_x0001_®ì^@ÿ´cAÚ°`@$_x0014_E*©V@³2Ñå¢TW@ñ_x000B_U-.`@_x0008_.}°èaZ@­_x000E_ÿ.!`@áºòþ_x0016_]@\¥QëÈî]@ßB¢_×V@K_x001A_a¶H¶[@}â{&gt;È_@®kÙ£´û\@rØq4a@Tµñª_x0012_a@q(66_x001B_zW@Ú%¤_x001A__x001A_V@çîN_x0003__x0004_Cý]@º_x0015_Â~ÀT\@RCxV®^@6!ä£0Á[@ïíç_@WF@ÜéÏ]@_x001B__x0012_A_x0015__x0008_`@ÁøR_x0014_B ]@9ÔúëÎV@øåz`_x001A_`@¡ª©eZ@Ú[Lw&lt;áW@E_x0015__x0018_.¥_@ÞÎË:]@Ê-ûÏ]@u_x001F_ïác_@_x000B_ûE._x000F_®T@WÌÅK-`@Õ_x0017_J_x0001_Z@É¨ÏÄ_x001E__x001A_`@ÝÁY_x0007_51a@_x0011_Vò_@b_x001C_owr]b@Lª¸_x000C_x`@_x0001_&lt;û3_x0002_Z@ÒiVÐ_x0011_X@Oø0P¹b@_x0017_©wúiEc@Ý´¨Q6Y@¹´uç`@N×G]ÖX@ ®`a_x0007_5]@_x0001__x0003_8ñ½#ø&lt;G@#tÂCQc@­N`H_x0007_ü^@I¬8O_x000F__x001B_`@;YÐ[_x0007_]@É£_x001A_(¼^@ân«ûáB\@$§	}·t[@®j«3\@{^,|Îa@ªs@¢__x0002__@99æì¹`@ÂÐ_x0018_þ:la@²5ÝGOÓ^@,º»¦}_@Så¿bba@£4½JXY@¸IEÔÓ]@3Åô_x0014_ÅXY@_x001B_øé4]@jacoYPY@ïÄ+÷b@./¾_x001B_p]@óPÝBÚ©a@çOÖZðþ\@_x0010_¦í){FZ@Û½'`@_x0011__x001A_V!±¤[@»=_x001A__x0004_ãtY@äÕ_x000C_##M]@ù«»ôk5[@d¥ÇÍ_x0001__x0003__x000E_û_@@&gt;4ä¾_x000C_[@¸QCi¦_@ïq_x0013_9»r`@ìîù]Û`@_x001D_Új~ó`@ãÖJµ7hb@XK5Ï@jW@.cÔ åY@u_x0014__x0012_Ñ!X@czG3(Z@Êe{B`@³Éµ[@_x0006_\_x000D_À]@z4Q_x0008_}¬`@VrM+T@o_x001D_°_x0005_w6_@Uß¾O=O]@JjÞòïÏZ@NûþÚí[@õsñ¸_x0019_v`@WT»Øê_@ZÛÆÇØ¦V@"êk 0s^@a]­CKç`@ÈÖGu]@_x000B_iG_x001E_Ù-V@ÉK#_x0004_a@_x000D_æyëa@Ýg4Fþ`@L_x0010_¤Aa@_x0002_DÖ2X@_x0001__x0004_ª_x000C__üà=Y@¥ÎRó_x0003__x001D_Y@TfÎ4R]@ÄµP-Îa@Ý-Õ_-ta@0p*ÃV@_x0006_ùÐFBa@]ñq_x0013_æc@WËì°Rc@ÎÐÜ'c@_x001E_³0_x0015_qéV@ü©hi_x001D_W@_x001B__x001E_åà_x0012_a@9ðHòX_@zùnÑ¢Ü^@H¨Ã½tY@Û¾a_x0002_â_@ÍÛ¦[`@(¦OT@l¬b@gö=9]@nIÂá_`@£F}í]@=QQ¨{`@§»º_x0005_ùee@Iâ}'_x0001_}[@1bs7©P^@¡z§È"1]@§_x0014_o_x000F_c`@_x001B_ô(KÙHc@s«WÎ[_@7-D6_x0001__x0003_Qs\@¨rOvÞ-S@@9ö©&lt;Y@S9ÞÒ×_@*DßAg#_@c ,1'_x0007_`@_x001E_ÕäbX@áxcÑ=ïb@Ë¼ìÑÿ[@±ÿæ_x0018_Ù\@pzíá_x0013_]@¶µWÊÙõZ@Ók_x001B_8_\@;"yÚÊðY@ËÁ¶ÐW@{ª`.V@_x0007_íD|b`@·3säì[@u_x001C_i´_x0018_ß`@¡Q8Yÿ[@Ç¨ÜæZ·`@ÝP'_x0003_Ø]@%Üßêg_@X^¬½¯_x0001_b@Ò+ZÂ[_x0017_W@&gt;è%»[@µ_x0005_ºÿÕ¥\@_x0002_´÷ôa_@d\ßatw`@¨¢_x000D__x0015_Õc@_x0017_4&lt;_x001B_&lt;[@wôY³Ì_@_x0001__x0003_hYU·úa@MámÈ_x001B_X@¼öK¦[@'µÓ¿.U@]Ù´G¡Z@9`_x0002_¯La@|_x0002_¡9ÍÃ]@_x000F_ã_x000D_ù¦X@Ì_x0001_PpJW@wÔk"°b@6_x0006_õdb@®µ`ô^@«Ä1-îY@Åhà 	b@ØËN_x0008_üP]@­o)a«^[@øõ_x001C_æX_x000C_]@%Ý&amp;a@ùC®_x0003_È2\@5Ï5­}ºb@æ¹5_x0002_*]Z@ì°Þö=G^@úÎªOj[@ÐÞë*Z@Å`&amp;SµW@_x000F_~0)Sa@X__x001E_é±_x001F_Z@.Ðj_x0001_ÂãY@_x0007_¶â&lt;å`@r\¸qW@_x0001_ÙDÿ5X@á%ÄH_x0002__x0004_y½^@&lt;M»y\a@®h_x0006_E_x0002_Y@ª_x0015_ÈÝÁV@im»pÛ]Z@öGoH_x000E_[@R»küº^@wÕ(õ`\@(÷?ã_x0003_xW@`Iù[Q5a@¯ã£@k[@S*ÚcJ_@'¡Úz ¶V@"X¤l±`@Hâw@å`@[ªÇP._x000B_a@4B ¢ú³Y@_x0008_®_x0001_Öî=^@Ý-ê}a@Y@©¾N_x001D__x000C_¥Y@Ã2^_x0017_-a@ÍFHbº^@}Ô×2X4b@Ì¹»m^Îa@°·»2åõX@__x0008_gx¿\@Sd{ÌáS@t«ª_x000E_Z@'Îñ 1Ôc@³Þ@_x0005_ê[@¿C_x000F_¯¡a@î@ö¤_x001F_ü_@_x0001__x0002_y¦È_x0017_:S@»=joVÞW@ÿ_x001A_£«/b@ÚÜK&lt;TëS@_x000C_{`Â`@ ÔDDib@®ÅèÜÝ`@ÔßÍ.Ç[@Lùìa@c¤§8¬_@tdóÿ¢3[@jI2ø_x0002_Z@ü÷T_x000F_MZ@O_x0002_c7T@Ó	B®#6\@"´_x001D_/ØR@´Ý Ï_x0004_a@¸ÿ"	"HV@6ÿ_x0015_xjZ`@ßºf_x0010_Õa@b_x0002_ãÄ_x000D_U@&amp;q«"ò?_@_x0001_ÉÝZ@Ø¨Úã/A[@m®j_x0003_%_x0011_`@F¦e¶WZ@ÆW_x0019_ò¶W@_x0007_[Ø£CW@_x0006_àÿÝY@tþ_x0004_§X/]@Þ¤ÐNMa@¨_x0018_Ï_x0001__x0006_òß]@ÍkâYCZZ@|¥DÈ_x0017_}^@Ú'¹Íì[@Ta¹a:^@Æã"êr^@	Qp`@aX÷äÄ$a@î[ý³Åc@ðû_x0003__x0013_`@¡3ØýñY@ñXÌõt_@_x0019_¬¤:d@õ!_x000F_[_x0001_Ca@üUxüVa@_x0014_6áo[ÐO@_x0015_8)_x0002_0J^@~_x0016_ö4_x001F_Ê^@Èõ_x000E_¦b@ÐÅ¿9'q^@wý°:_x0003_]@_x0004_í_x0003_Xb@_x0015_0_x0001__x000C_üc@Á_x0005_Bû_x0013_Ë_@_x0017__x0008_ò*_x001A_$Y@¨#	»T@bx3_@Ý_x0016_å_x0017_a@ R«®_x0018__@­5¼ô±À\@pkf·Èc@Qú!ÏõÌa@_x0002__x0003_ñ¨à_x001C_É}[@æ?À?_x0005_&lt;X@]5y+^	b@Iùw-0]@_x000B_Åö}Å`@	Yt¸Y-a@_x0017_[3§C_x000C_]@æ­Yr¼ïY@Bª¦iY@_x0019_4_x0010_4_x001A_ìa@|hþ¯¯^@îñ1_x0015_«ÓZ@_x001E_'îG|X@¬f(ú_x0006_#U@û»8vh^@Í_x0001_s_x0012_¨Ä\@TäåD_x0017_c@¬ýÁ¬Óøb@?2_x0005_ö_@¡_x001B_AQ_x001B__x0005_W@HÈ=®]q_@ó_~_x001D_¼^@PÞ®aAÛ_@)Z±¥¡i\@_x0012_èm_x0018_&amp;£`@a1©ç&lt;³^@ÚÓNÄ#÷W@Èah]@¥¨±©&amp;QZ@ªÊüË=Î_@_x0001_ µU]@À±¨­_x0002__x0003__x001A_Y@¶õ¹¦àü^@é_x0011_ ³_x0010_^@-è#K~$a@6q4¥Z@óSØ&gt;æ_x000C_`@#¦í¸«ë_@~_x0002_&lt; i b@_x0002_V&amp;Èð_x0008_^@_x0019_GfZÝó`@;_x0002_o)ðS^@K^_x0019_kW@ÛÒ_x0012__x0004_u;`@_x000B_M8{X@_x0016_®fT_x001B_`@¸_x0010_ÎQ_x0019__@ä.åza@öÀ&lt;Ô]@ìÒÎÑX_x001A_Y@~A%¤C(^@w§½_x000B_O]@W_x000C__x001B_Ó^@&lt;#ByÒQ]@SÃ=¦§L]@¤¿A¨`@¬ßp,i`@&lt;@y_x0014_¢_x0014_Q@³_J_x0001_V@=¸_x001F_&amp;4i[@©¾Ã_@2Ö_x001E_«ë^@Õ¸(ì:QT@_x0003__x0004_ëá¥a\@ÄSÕ:]@sn_x0002_ë_x0004_?e@"_x0002_V¼}Z@¾Uë\öµK@(¨&gt;#Èðf@°%þ`@~â0Üý_x000D_[@_x001E_Y+_x000B_^@hrÁó_@pPuàJX@×@è$üa@ê¿RÝ^@¯xÁ³_x001C_ê`@2«_x0005_WjQ@_x0017_È_x0008_OªÙ^@¢4Èb[a@_x0003_¢c_x0007_¤3b@n¤'Ð¡\@@×s+±a@lÒ9Isb@_x000E__x0019_8qÅ©V@b_x000F__x0013_üh5\@_x0015_WÃ5_x0019_ÍZ@QOwi`@=]är*0[@z%/_x0017_ø.b@è_x001F_4ÑÂ_@¿pØÖÎY@_x000D_ÚÅ¹S_x001B_a@x_x001B_0ù_x0001_V\@¯ÿñP_x0002__x0003_Ê)d@aPÂ!î&lt;a@6ÆTM_x0018_a@¼úkVOY@l[&lt;_x0001_øV@ÁUñDVc@&lt;Ã*ð,Óa@_x0018__x000F_ý]z Y@«müò¶\Y@}_x001B_e@(_x0005_ºðýc@R"áû±êV@Øñ*M#¥V@jö²YU2_@_x0019__x0016__x0006_^ª`@P8DE®db@(OÑ_x0018_Ëz`@Ö¼./*]@g7w¥Q_x001C_^@]Øe.à¬]@ôÐ´ãD?\@¾».*[@%_x0012_åîäZ@Ã _x0005_æÃ`@È¹$@¸æX@çÓ5¾l]@\_x0013_ _x0013_Æ^@þd)_x0016_ÜÉV@º_x000C_­?¨\@r&gt;&amp;l\X@R-s(Ýf@{|Sç²Z@_x0001__x0005_P*]È¡^@=Ï°HÉU@ÿ_x0018_ÇÓ_x000C_zd@Ü&lt;X·æ`@û_x0011_Ó6ÛX@k_x001D_ðëL'_@IÞ%¯%_x000B_`@|CvdÅ`@)JÿÌÆa@N&amp;_x0006_a@à_x001F__x001A_ùj_x0006_X@T_x0003_ºeà`@+_x001B_îÐ¾c@ûê£ÙûÂZ@G_½'÷Gb@Ó_x0001_jºC·`@db0X@¯îf¤¿Æ`@X$IÆ_x0006_"^@Ánzd0_x001A_`@)o÷Áx_@Áð$±Z@C×â_x000F_ÃãY@#Ð_x000B_ePb@oþ_x001E_6DN`@,í_x0015_,m¦Y@P_x001F_ø©KZ@{ÜP°¼a@r.ù1uì^@í±²_x0002_e_@GKÎ.c@_x0004_d»±_x0001__x0003_@_x001A_X@àý_x0006_¥vïZ@ß_x000E_æL^@&gt;ëË!_x0001_è[@ ¬?¸_x0013_\@&gt;L_x0011_÷kÖW@51zì¸øU@óZØ²\`@²ÖUÜë_x0014_Y@üÑmgâxb@²°0?Í_x001E_a@_íe4`@XmVsC_x0007__@o?×1_x0012_\@ÑØ_x001A_Ü¡`@¢_x001B_ËÀì]@ºÊ ù/c@óØ PÈ'T@¾'ûå [@¡ßÎG}_x0011_d@ÇÇJò¡±b@3À'_x0002_ò[@vÏ ¿gY@ÿû|ÈÝb@Ë¨/&lt;À_x0006_]@¤D_x0002_[@Ã;a4T_x000F_`@_x0010_-«£q½[@_x000D_®sJ`@ø_x0007_ã\_x0012_b@Úî²r]{X@Åª_x0012_÷Á_@_x0003__x0005_òíÇ\@_x0012__x0012_$0d@ÚVtÑdpe@l_x0004_G­T@å_x0007_CãËx[@½mT,ö^@@Ã2?æ]@qSB:d@²"¯_x0003_vT@¼ _x0007_IAY@dlbZ3F\@_x001B_q,½pb@cs_x0001_óÜ´Z@t.3_x0008_XIX@_x001F_^ò_x0013__x0016__x001E_^@§vw5}U@í_x0012_P_x0001_Fr[@}ßY@ød±Î³]@Õûà"_x0017_÷V@=Ú_x0006_XY@îßAZ@1,éF:Oc@¥_x0002_ì[a@Àô©ä*Z@ÞÄ	_x001D_Z@lê^G&gt;_@ÕóoõÛ^@bl5à­]@ð_x0012_iJsú]@_x000E_(_x000B_ÑØ`@_x001D_×A×_x0001__x0002_8b@sJFº_x000D__@BtèDú§`@ÒÈsÆÏ`@{_x0008_¸.7]@±m _x000E_Àü\@²ªÈP[@8Ò`µÑ[@¶þTÒ4]@'T?GÜ]Z@_x001E_¥µ¯¶_x0015_Z@\ýE_Gc@µÖä£fW@s¿{\^@mcôá_å[@ÛI´S£a@M2Å´da@;êa%íZ@Å|óZ×Íb@)Q´óÔ_x0017_a@rnrþÖîT@_x0011_¥Ä+`@~Ø¡Ô_x001F_ÜY@_x001C_¨®¤àY@S¦¢.6_x0001_^@ôd@YBa@_x0002_+W&amp;FzY@_x0003_ùÈ[@_x0001__¦Ü]S@_x000F_ÈX_x0010_xa@ÖK_x001F__x000C_ÁY@·æ4_x0019_Ô\@_x0001__x0002_¼_x0002_úy«V@üÁh_x0010__x0014_\@9_x001C_·¯#×W@-ÂÅ]@¹{ÚÅB `@þm.J_x0014_Z@d_x0017_KöY@_x001C_vã_x0012__@ßÄ_x0017_~£\`@8_x0008_0ÖÁ\@´¸Ñ_x000F_þb^@G¢]Ihs_@ê¸_x0005_®\e[@îB_x0010__x0008_ßÎZ@ÞËS(_x0014_(Y@#^¤mÀ [@_x001B_	/Ø^_x000E_\@2tJi_x0019_Y@Ò½^+08^@á°FõÀa@($_x001B_õ_x0002__@a{ó7äNZ@¡ú$_|\@D³_x0002_wY@#_x0007_2÷_x001F_Ç\@°ñëhÞ«[@W°_x0011__x001C_Â[@_x0004_ÿ©xd@5_x000C_¶×-U@I_x0001__x0016_b¨]@}l²ï#pb@(@¤_x0001__x0002_»w`@[òAÚ&gt;`@Dx_x001F_ _x0005_d@¼	&gt;tfZ@Ucî|À[@Ä[k_x0016__x0004_a@	9_x0003__x0001__x0013_¼]@PEë;^@O²EDCU@Ayq1Mf@9@_x0011__@ HéK__x0019__@QÇ[R_x0013__x0003_[@W´3Û°§Z@9òm&lt;6SX@_x0008_Å_x0007_þD]@´}Õ_x0010__@TbçëÀa@ù¥|dN]@Äúkä_x0005_]@#¿ Û[@_x0013_=\_x0014_T^@7Qù_x001A_\@7FFc@ÉÜ¥ºm]@_x000E_³X_x001F_uo]@T¦ú#[@ù\n&amp;Ó\@_x0013_Nüb_x0004_Ra@08Ô&lt;ðHZ@)!Ö7tq\@qåÆ¶eM`@_x0002__x0004_vxSb@,E_x0015__x0012_ÚZ@Æ9O2a@UõA_x0006_ÙÅ`@.. +¾ob@_x001F__x001D_Z_&gt;`@(êý{åjX@_x0014_s_x000B_\@Øç*_x001C_Ù_x001A_e@;ð²8èÏ\@_x001E_£_x0018_@4^@a)Ü¬qc[@ç¡Íæ_x001A_]@i^ÈÖû¢]@+¶tÔCV@öSC¡Ã£b@C%_x000D_§yP`@BÇ«.¬Y@_x0004_9_x001A__x0002_b\@kÉ°ùwÌ`@_x0007__ãGa@ïBÜJOa@Kª ¸^¢Y@µÀÀ³mJ^@âô&gt;Î¹l]@!áöGÀ|c@_x0001_¯¸T_x0003_ÖZ@ËZ_x0001_9æ_x0015_a@Ìë+iP@roqó	a@æ3_x0006_Ì_x0008_ô]@;ò_x0002__x0003_»ì]@_x0002__x0010_»¼$Z@_x000C_½Á£4!c@¤¼³Ub@Ì¼¯²ð.U@«¢èÿNd@_x0012_u3m'^W@j_x0013__x000B_&amp;_x000C_6Y@ â_x0011_+g_x0017__@òcÞ*OÉX@Î[yÒ\@_x0018_vªáºcO@¥ÍÔ_x000C_5]b@B±ç_x001C_E_x001D_W@d^F'rô`@S$ôá\_@_x0015_5Õ{ÁðZ@:=dî|^@~Ì_x001C_^@F2º§A#_@R'²ØV@Dû¼HgÚ]@âAÝK_x001B__@Û»ß¦úÄa@ÕKe/+xY@°ÒFõ_x0006_a@ÌÊ$)ÖLY@_x0001_ôîRÕ`_@_x0013_ÞõÛT_x0006_a@ÎÇº®ÙR@ð³©}ë&amp;b@äT]@_x0002__x0003__x001D_=±_x001D_Î!Z@¯m$Éd\@jO¥_x000F_Á_x0007_Z@Ð@_x0010_æ_x000C_R@	_x0019_zõ¬_@_x0008_µAÜp_x000C_c@æN¾Ã/_x0019_`@_x000D_uh@­ß`@_x0003_8(Å LT@_x0012_³\Ý_x0014_`@£õoï¿a@8-_x0001_&lt;_x000F_&lt;`@_x001B_FºC_x000B_b@ð¯D+ïT@­¼¢Ì_x0005_i[@²aK©Ê|b@J}n¶?A[@úöD»&gt;c@_x0014_BMöfX@_x000C_X_x0008_(çY@:Y5©X@{ìÎmp_@å5¦²£S@ùËk¦pX@_x001C__x0016_N6èz\@çk_x0004_åX}_@º_x0015_=ê¸Ï\@ÃÞ¸:Rb@-P_x0001_¼^@Ç_x0015_ö_x0006_`@ð¡ØV!W@_x001F__x0001__x0006_BíT@!_x0013_P_x0018_«Y@¢_x0019_à`_@_x000F__x0004_®_x0011_þ[@S_x0003_$I.b@R¥_x000B_¦TQa@Ñ,?ý}ýU@j®BÆF[@±²_x0007_`@í7¤~®6a@î³ó`¾yc@ñ?þ PW@b&amp;*þô]@ðÜÞ_x0002_Ë_@HV_x0014__x0007_tÚZ@KvÄÌLX@Kéò8NØ`@_x0006__x001E__x0005_Lö°^@°_x0018_»`@1nM'_x0008_÷b@rÍ-%'¥^@p}â&gt;XâY@§S±Ö_x000F_[@ß,æ¡\@Ýï*é7Tc@H_x0017_Õì·V@8Þ_x0001_§ñY@ÄL·Ç_x0010_&lt;`@W_x0011_HãU@_x0019_Æ)ÀÀ?\@ÅÄ²_x000B_a@Ò½E§ÍûX@_x0002__x0004_ìßEI^@Ckµ_x0004__x0007_.a@cþ_x0005_Î½\@îg_x0016__x0001_ùZ@¶Ð5_x001B_ÁÜa@´Ù¬5\@vîÖ_x0003_`@Sàó¤v«Y@dæÈ_x0017_Ña`@S_|rëX@[¨l(þ¯Y@;¢_x000C_Ö	_x0003_`@N&amp;U½t]@_x0001_	'!_x000B_HZ@_x001E_±Ò=#,`@®Ýl_@fÖ¶ë/fU@°Ä5½a@76C¶SV@£UG¼ýØ^@ñ_x0012_P]@¼_x001E_¥ÖY@nÑ"B [@a]tý¨)V@Åªtn²_@çØ#²D½X@*_x001A_$DL_@°lîi_x0018_`@ÿH';Ò5Z@æ_x000E__x0012_§&amp;ÆT@8¨_x0004_Ä(_@4Tç_x0004__x0005_IY@¡Â;hb@(î¿ëY@¸:¾)«Aa@_x001B_0øJT¢_@Î:[_©`@ÿ._x000F_Ï"_x0001_[@:6ÿç`S@0ÛìlÊË`@Ä_x0003_c&amp;´gd@_x0002_oI`@Ñ0_x0017_û7-Y@ÜþÇª´­]@Ú¤&gt;M_x0014_X@^_x000B_Xî(`@kxbú@¶`@6 _x0007__x000E_îRc@²'ïÀ_x0007_³b@#0dñ^@aåMo\@×.H«ïX@_x001D_)ÖwWT@_x0013_,^b@=ì_x000C_ÏÑ_x0019_a@ToaÝQZ@×¸±ßÔè[@È_¢«_@m¬í1_x000B_a@´_x0003_.X@6NÔ&gt;Þ?Z@ãç+V0¡_@_x0016_l¹ña@</t>
  </si>
  <si>
    <t>d4d9a762d166147ef57fa25f1ef7fc50_x0001__x0002_¾_x0016__x0001_p¢a@P_x0012_?õÁõX@_x0007_æÇé[@êÝ3_x001B_EÜX@_x0018_Fl_x001D_üFe@9åÆ!_x001E_·\@n4$V\@¶ÚM_x0005__x0019_.[@À¯hR¨¼a@_x0001_á1f´Åb@z©´v_x0017_Y@cÃVáW[@_x0018_qâ14_x001C_c@¥ _x0017_T1d@¾'ù;©ã\@ÒÓ[_x001F_Å_x0006_Y@®å_x000E_Za@i"ãöVnR@B_x0018_Òr\@.YðDË_@9ÉÚtò\@_x000D_¨oÿ_x0017_ä[@Ó._x0004__x000C_([@Êïq§c@W)Ñ¯àØV@_x0013_SÌ½Þ&amp;`@¢BÉº_g\@RµÙÞX@Øu»Çx^U@2Ø§:Dðb@k_x0014_e_x0013__x0011_[@.åÊ_x0001__x0004_w¹^@Ñ¦ÕÇ¡a@7_x0014_Ê©a@ØP7ïÑ^@º¬9Y_x0019_a@pÒÖÌ_x001A_[@ßåÊ­i[@PÕþ_x001F_ÙdX@ðõsO´»a@õÒ·-¤!b@ésÆád@sMÈ­_x0007_©b@ã_x000B__x000F_7ô\@¦Z×Va@¾H#ÚQÉ^@Ô¬©ÁÏóV@o©:TÚF]@æù1»°I^@+zªíótS@_x0002_0A "c@#£&lt;_x001E_Ï­b@X!cºC_x0003_^@_x001D_RxFS@dÙ_x0010_'SBT@_x0016_¢(_x000C_X@Î_x0013__x000E_Eh]@tþQ^\@ZÅÑðí]@_x001B_¶FÚ¢a@¢4rÒsb@!¤àÛ7c@ã¦Å!·]@_x0001__x0002_sV~_x001E_O@Aiæ×£e@Ü_x000B__x0017_+Ý#_@jSëþX@7×CâÇ\a@d*"/_x0017_Wb@¯kk©¨^@ÂYhY^@¥D%nÕ`@4ãäÎ¸Z@ç¯ê)?Y@±pjnû]@Î¸©¶ÁY@_x0011_&gt;4µ^_x0010_Y@©úð¬,ñ\@|_x0011_Ú(¼&amp;]@¥p_x0019_ö:c@×_x001B_ëZ'_x001A_[@ì²7?æ!`@Ð ?Ë¶R@¬iN_x000B_Lü^@;E_x001E_oìW@w§cDm[@_x0007_5¾zh_x0002_`@{ôÄê_x001C_X@_x001D_ËÂF¦á^@½AçiÈ_@æ©É	ëû^@¦&gt;,_x0019_a@/a_x0001__@óþò|ý&gt;`@±Ð_x000F__x000B__x0002__x0006__x0001_Z@=a¿½a@ÑÙa#a@ã]þuÿU@q_x0012_(7 [@ûÆ$ÙId@Æã©¸d@|Àq_x0002_IZ@ªY_x001A_&lt;}_x001E_b@è¶S.:Êb@_x0005_	;Ùw]@Ä£xW­b@¾lV;~²b@lY&lt;b@7_x0010_ã_x0019__x000E__x001B_a@_x0011_¦YI_x001C_õ^@´/ÀÒZ@VÊÂY¿V`@mL_x0019_³P¹W@_x0008__éBÁ``@_x001C__x0019__x0003__x0014_ã_x0002_V@_x0002_à.yIR@¡ÀøV_x0006_]@$eë&gt;ÐcZ@\Ü¥?Y@_x0005_ï_x0014_ÊÝV@Ô+y&amp;´f@d~x_x0013_;&amp;_@¦=oøâV@si7RZ@\n	8_x0004_a@©åVC²_@_x0001__x0003__x001B_¬M«X@_x0011_l¿AÎ\@ÕHTã\ô`@i_x001F_£_x000C_'i]@_x0006__x000D_ü¹Ø_x0006_d@	¡ð_x0015_]!`@ÁX÷_x0015_R@U_x0014_ëîFü_@a\=µe@m´iCå$\@ÍîG5ÃZ@r=p^_x001B_¼a@2T®_x001D__@´_x0013_X¤ï4X@vòËÃP_x001B_`@Ò¤G©?_x001B_`@UF¦O»b@ßâZVu_@ºÒ_x0010_w {b@_x001B_ºÎ_x0019_`_x0016_`@y»_x0010_Ra@£¹±_x0004__x0002_ÃY@ÂÖ(k4c@_x0012_C=-Na@Ú&amp;_x000B_ô Ê_@Ø6fÀ.óc@Íú¨¡6Ca@_x000C_ª {_x0017_W^@X_x000E_)¢ªË\@;'è_x0004__x0002_ÙV@_x001A_ßðs³_x0016_[@Û¼2N_x0002__x0003_1^@úÚjA´W@Eí)ýéhT@ÌÊ {ÙÂe@òã|X8åW@G_x000B_a'_@ò_x0012_â»­b@¨¯`å_@tÀ£~X£`@.Ò:UÓ]@Ó.Tî_x001F_±b@2_x000E_k0ú&amp;`@Æ)Ð@Ù_x0011_]@B]ñù5R@\·h_x0012_[f\@óF9a@_x0004__x000C__x001A_U½__@nÂâêÞ^@¨:p)_x0001__x000B_V@ÃÞ«Þ_À`@(Ø¯ó_x001D__x0005_Z@÷Üyóoõ_@0Ï)P@$a@ÿ(5Ý´H]@s_x0008_¯U/¤a@$O¿Èe@Ákõ´&gt;Z@ V_x0005_ý¿]@dy&amp;j&gt;ä]@¶¡¹_x000E_"^@¹²EÂc&lt;b@´×Z|&lt;/Q@_x0001__x0003_¼òp_x000E_j^@ïN_x0017_ÝÊ[@ó8á&lt;_x0002_]b@ü#_x000C_¿_x0012__x001A_`@Cõ_x0007_'gÒU@«½v)ça@³º'ó¨`@ùp¨¼õ!a@ìÅ|_x000F_^a@=7nÁ9_x000F_T@$_x0012__rÇP@_x0011_Ð{°\@;ÔP»\@HO¹úÆX@_x0019__x001E_ÛÅæZ@+__x0007__x0014_&gt;5Z@²ûÿ=&amp;K^@&amp;³_x0012_ÏaD]@Ù÷7	u_x0018_[@È)-_x0012_ì©`@_x0001__x0005_g_x000B_(ø_@©ÑøvF]@y±_x000C__¤a@îd]¦n#a@øY¶%"`@22yÄp`@ï§þsÈ`@hé±úiW@«¡A¹nÿ^@ic_x0002_WO^@Jù`©`@_x0012_¾Ú_x0001__x0002_1P`@Ìi?kóFX@eôfO_x0018_Å^@Ãç!uÅ2Y@ß]¡Ä_x0008_W@ x/ç2`@Æ-&amp;+'ùV@í_x0007__x0019_Àø`@¦¸'K-eX@_x0006_GSx±³Z@3Ï~ÍÁ_@|cmmÁ:^@R&gt;_x0001_60Ô`@Cü\"LZ@Jj*Êé_x0019_\@_x0008_Æ8§|øX@L_x0008_Ô*6V@}¤xíl1]@»_x0010_^Ù^_@¢ÞÞç©c@_x0001__x0017_vZÙ7`@Ë±&amp;_x000D_^_X@&lt; R¥"`@_x0002_GXRD1[@õGªµA4S@_x0005_í¤òaa@_x001B__x000B_(¯.x`@¡«_x0003_[ÐÐY@ù¼L7W@ÁÏ·î^@èD*¾X@¼IÅ3B¥U@_x0002__x0003_*Ø_x000D_&lt;ÒÆ[@p²_x0011_CÞç^@_x0012_(	e}Z@_x0016_qF_x0006_ób@_x0001__x0002__x0002__x0001__x0002__x0002__x0001__x0002__x0002__x0001__x0002__x0002__x0001__x0002__x0002__x0001__x0002__x0002__x0001__x0002__x0002__x0001__x0002__x0002__x0001__x0002__x0002__x0001__x0002__x0002__x0001__x0002__x0002__x0001__x0002__x0002__x0001__x0002__x0002__x0001__x0002__x0002__x0001__x0002__x0002__x0001__x0002__x0002__x0001__x0002__x0002__x0001__x0002__x0002__x0001__x0002__x0002__x0001__x0002__x0002__x0001__x0002__x0002__x0001__x0002__x0002__x0001__x0002__x0002__x0001__x0002__x0002__x0001__x0002__x0002__x0001__x0002__x0002__x0001__x0002__x0002__x0001__x0002__x0002__x0001__x0002__x0002__x0001__x0002__x0002__x0001__x0002__x0002_ _x0001__x0002__x0002_¡_x0001__x0002__x0002_¢_x0001__x0002__x0002_£_x0001__x0002__x0002_¤_x0001__x0002__x0002_¥_x0001__x0002__x0002_¦_x0001__x0002__x0002_§_x0001__x0002__x0002_¨_x0001__x0002__x0002_©_x0001__x0002__x0002_ª_x0001__x0002__x0002_«_x0001__x0002__x0002_¬_x0001__x0002__x0002_­_x0001__x0002__x0002_®_x0001__x0002__x0002_¯_x0001__x0002__x0002_°_x0001__x0002__x0002_±_x0001__x0002__x0002_²_x0001__x0002__x0002_³_x0001__x0002__x0002_´_x0001__x0002__x0002_µ_x0001__x0002__x0002_¶_x0001__x0002__x0002_·_x0001__x0002__x0002__x0002__x0003_¸_x0001__x0002__x0002_¹_x0001__x0002__x0002_º_x0001__x0002__x0002_»_x0001__x0002__x0002_¼_x0001__x0002__x0002_½_x0001__x0002__x0002_¾_x0001__x0002__x0002_¿_x0001__x0002__x0002_À_x0001__x0002__x0002_Á_x0001__x0002__x0002_Â_x0001__x0002__x0002_Ã_x0001__x0002__x0002_Ä_x0001__x0002__x0002_Å_x0001__x0002__x0002_Æ_x0001__x0002__x0002_Ç_x0001__x0002__x0002_È_x0001__x0002__x0002_É_x0001__x0002__x0002_Ê_x0001__x0002__x0002_þ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ÍÙFµÌ_@ýÖG{11^@pS_x0014_;Y@Ò_x001C_Ô¨¨_x0012_Z@¿¢î¨ô1`@]_x000B_/"]@_x0010_K_x0010__x0004_uþ`@PVá_x001C_o^@©z$ªß}\@iôñ_x0018_ía@Ò_x0005_iå%\@ê_x001B_y!_x001D_e@[Ï_x0018_K-YY@_x0006_öÂ½_x000D_VW@ZÄûEVZ@ãhÈ_x0015_Ö_x001C_O@_x0001_M,_x001E_b@U'Qá2X@_x0001__x0004_ï_x000F_ \`@k_x001D_ÐYüèb@2jéf»ê]@®ãá2&gt;[@à_x0003_Ø_x001A_a@XYFbp6Y@9j_x001B_]]@Ïæ?áb@9çà _x0005__x0006_êË\@RfSG_x0002_³Y@8ÇQ°_x001F_Y@µ+Ãê/`@"U:v_x0003_"_@w²eùìY@Jr_x0011_S_x0007_a@_x0013_Ð&amp;_x0012_÷V@Ã_x0011_Ïv&gt;X@³?ùà_x0008_]@î³ø&amp;v_x001D_\@w½_x000D_7{;]@)H¤¦[@Æå_x0017_.Úý]@]G7]û¢`@;_x001A_S$wa@Ì_x0001_ü_x0019_8b@¼{«¬X@´_x001B_^ý_x0015_[@uk_x0012_ÚW@êRvS½+d@y_x0008_6&amp;ÖZ@e¹g_x001C_c@IßÍV­]@Ã}fF¾]@êzÝ_x0006_í]@_x001F_Ö_@^¢_x0014_º­_x0006_b@`#uÎ_x0004_`@_x000E_BGy¿b@{Ã&amp;¶`Å_@ô¯·¨ºa@_x0002__x0003_&lt;Ã_x001E_¬«a@JUðcÐa@0_x0017_CQàa@Ö6g_x0015_¬^@/@AkW@_x000B_#"_x001F_½t`@î_x0016_Z¨)â]@²Sá©\@zíßöHdZ@þ_x001B_lÈP`@d_x0002__x0007_ìÝX@±à¼ÓqW@jübRc@l_x0003__x0012_èþ¦[@ TYtù_x0005_Y@°µòTú^@÷[ïoBîb@Ï5Ìù_x000E__x001F_`@j¦_x001C__x0015_^@M_x0001_»ß_@_x000B_ÞkS3l[@%'F^@õïé_Ý_x0013_a@çoÜ_x001F__x000E_Y@Â3_x0014_52¡Z@TQ:ÑòN@_x0013_:È1ís`@¯Þw[@¼Gª&amp;(|^@ù_x000F_3¼ÝÐ_@&lt;_x0014_ãZÛ_x0014_`@?çþÑ_x0002__x0004_7b@Î»-í_x0015_Z@±;Ê·a@A¸_x0017_d­¤V@}mQ%ç[@&lt;O_x0003_ë_x0018_?`@æÜlõiY@Óo	I¨ôX@l_x0005_ç_x001F_}Q@8òâ_x0016_ø¿d@\á1_x001C_ûy^@	°ï¡Z@wíÞÀ£[@42(Ô¢]`@æì(Ct^@?åÍËb«\@_x0015_´zW_x001C_a@¢x{¼l_x000C_\@`_x0015_]1&amp;`@rÔ_x0019_2&amp;\@kÅ_x001F_v_@ÊIÆ[@âÒÐG\@_x0015__x0014_P¸HQ`@ÜåwÏ_x001B_@W@£Ëæl$8b@£¶OwèY@_x0016_iA_x0001_°Ã`@a_x001C_jþõ^V@_x0013_yÚk¤Û\@AÛoÆî]@Sü_x0004_¢fÑ_@_x0002__x0003_´äD_x000E_VY@áÙýiæX@þú´ºêÁd@0xCÝ_x0011__x000E_`@Bàk_x001E__x0012_^@_x0006_V¤¶_x001A_«T@¾Ð6Op\@^¸´ª_x0015_pd@ö	zo@³`@Õ.k¶2	]@ÿ_x0002__x0001_Fti`@ya_x0012_7Þ_@É,¥ìÿ`@òO_x0019_¬·4U@óLø_x0007_­?c@_x001A_ê-( _x001A_X@2Á·Un^@´U}Þ¤I]@ßE4êW@EMÆ3ÚY@Æ,Dd_x001D_3Y@ÔäR¶¾_x0001_`@ÄgÙ¹_x0013_ü_@_x0018_h~\»\@éu*LÍb`@F¢vuN_x0015_c@­r;SÑY@_x0005__x000F_NgV@_x0006_1ü[@$ðéy&amp;R@ë&gt;qõÓ^@_x0016_n!¯_x0001__x0005_£yY@_x000C__x0016_æ_x0002_Ù^@O$u_x0008_kßb@§&gt;»_x000E_\@i©/ÇÁ]@_x001F_n)Åþg^@°Gä]@3Çþ_x001F_b@*ó£:\@Þ2T%ÀZ@µ_x0003_ÙMPÝX@ïþ_x0004_ø_x000B_æU@éûÂÜAøV@mìSNOa@ä_x000B_s*}¡^@ÙtATáZc@_x001B_uÚä_x001E_c@x_x001E_=5d^@úúßMÊ\@Çº{|©5\@_x0001_ÈLX\@®Ã3q&lt;\@Ôïïé_x0001_Ø[@:¿Hà«`@¼Vècÿ]@¾ÝT_x0015__x0016_S@¤ØK_x0019_ëuS@ë+&lt;S_x0001_¸^@ýf ºa@aÖ_x000C_øÃ\@ ¯ö_x001F_]d@Ð£´ñ_x0008_£`@_x0001__x0002_WO7Ìõ^@¨h_x0003_æ±c@8+_x0004_ÙÈ[@óÑkðs[@^ÌEw]@â_x000C_\ÓîY@þ_x001D_ðqÄR@_x0017_ä_x0008_ðÄTa@Úòá8¹ÝT@rß_x0018_@-Q_@Äk_x0015_Ë{(]@ _x0013_Ð_x0013_;¦c@óm_x001D__x0001_à\@¼âÑó2Y@Ïî_x0007_Ça@È_x000D_î_x0017_[@~¡Ebº]@bM|ôU@òæf¾ýT@@x°_x0016_^@Î@4ct_x000B_`@Â¡^_x000B__x000F_[@Âg)ÖS@\V«4&gt;Z@·_x001F_ôê `@®*_x0015_ã§|]@EµXW@Ì¡NÇÖ_x0004_`@_x001F_"«ÿY@Ë~`_x001F_a@7Q$Ö!\@zN^Ø_x0001__x0003_5~a@¤B_x001E_N³d@á1Kä_x0006_Y@CF+õ_x0002_#V@Qæ¿_x000D_X@kßWçÃ_x0011_]@Lèý»FOa@ençÊ;a@w§yHW@_x000B_ºÇ¡`@ÔyÑm_x0018_Ic@â"yb@s½_x000D_ Ù#`@Ä¡_x000E__x000F_Oa@u+Æ_x001C_Y¿a@_x0002_ï-ú· X@e,Çâ£^@AjA]eU@íe¾¾U]@{kXÆ|_@zdÊ_x0006_ö_x0005_b@ÝP%6XZ@5Hë£ Õ_@¥*V&gt;Na@ÑkÔÌ=`@W_°m[@cg_x0007_Ìùü[@Ç:ûø+:a@1éªUË]@q_x001D_)Wa@óL¾)^@&gt;5ú`hhZ@_x0004__x0005_ynÅ&lt;_x0001_Y@_x0013_Û_x001C__x0016_%@c@6Z]_x0006_×fa@S.®;/L\@Ó|¼õ7½Z@À?XÃød`@)wÆ­V@+ò§_x0003_Üa@3¾i_x001C_ïY@E_x0005_Ü:`@_x000C__x000D__x0002_Áåa@_x0016_QÈ_x001A_$Z@°këiîHW@ªd¿p`@½üÜFë`@ibËæÖw`@_x0012_J_x0019_%X@k­¼:]@_x0006_sj)ü_x0010_`@®Yê®ôÞ^@³Ñí_x0010_øø`@_x0012_É_.pZ@s&gt;¤)~`@¼Ü¡pVÕ`@äÃýº-6\@_x000E_+Úð^@¶íÖvyZ\@ñ-xÖ°Z@±À_x0004_^@¯&gt;q6ì¤`@\©¿_x0008_²d@¹_x0019_·,_x0001__x0003__x0001_=b@vîã6é¦b@ö*y_x001C_-V^@äD¨Ò&lt;¯a@_x000B_Wn»}_x0008_\@zçKNÓÈe@Ç_x001F_´7à`@(x»XN5c@¦&amp;_x0013_ÏÛ_x0002_`@¡n;_x0001_T@ 2iøÌÀ[@°g_x0017_ÿ(ª[@X éi¾_@ÛºÉ_x000C__x0019_`@4Þ)¿§`@lÇ_x0005_ïûTZ@ôq0R"e@²óºÛ¨`@QÒàË}]@D_x0019_Æ5YQ@2×ó{,V@£¯l_x0011_Z@c®X¨;Z@jb2)û[@»P;3ÎS@ø5:)^@~vÑ_x0010_¼å^@_x0015_`PFT`@üâß_x001A_a@Ã&gt;U¼_x0005_A[@ÓCtÐf@h÷_x0016_ë¹Z@_x0001__x0002_MXg/b@æ_x000E_¢%û¨Y@iÕlíÂY@_x000C_ðÐ_x0014__x0016_^@DCÓCc@ÐmËY_x000C_Sb@Ë~2JEc@`¢L_x000C_)òY@µÊ_x000B_J¬X@^AüÕU`@`Ã_x001B__x001A_ßê]@Ð_x0006_]@FÇ(þ_@Èà9²c@\Ô$¼_x0005_RZ@Ã	8¬i´\@	_x0017_]F·äY@Î4ÿn_x0017_P`@/_x000E__x0007__x0012_4-[@)_x000F_ô\@³Z	¯_x000E_Q]@_x0015_àà_x0014_B_x0003_S@_x001B_÷ÌþèY@½h$µ¸&amp;_@¶Åy_x001D_\@Ôó(´f@Î&lt;*Oê·\@`Y¯÷A\@ÙB{1_x0014_Y@N²ùËôWa@îi_x001D_`_x0017_Y@q=@_x0001__x0001__x0002_9gZ@¹*b_x001F_V@_x0004_¥_x000D_T_x0016_Pd@"Z¾?°9`@ä6_x0001_òH^@}©_x001D_þp2[@º8\ÓL]@ð7ÊÕÈ_x0011_^@T)¤_x0017_d@lÈt_x0018_×_@Sµ:)9_@YV_x001B_z¯b@É.»DÆ_T@örÞåH`@·FW²`_x0005_^@ï6_x0007__x0003_En`@_x0002_Ò¹{?Y@&amp;M_¿$Z`@&lt;/ÂAW_x0017_R@ÐKf_x0013_ld@_x0018_AÃ·º[@×¼­W´{R@(Á_x0010_	='Y@'#£b&amp;æc@¬up^_x0008__x001A_Z@o6 Ù¨rV@²´Víÿ_x000C_Y@°¦;°]@É_x0016_ìø"oc@ÒÍG?_]@ði·¿a@+%%n¢[@_x0001_	ÙPìóhÜ^@W_x0015_¿_x000D_Ý,`@t1ô_x0012_+]@	_x0012_V_x0007_ð[@³=ch&gt;·]@1¡qð1{b@"Ô_x001D_«&amp;_@0TÕ_x001E_²b@;9ø¯Ã3c@+	j_x001A_C[@o_ÎÃd_x0004_\@Àïö{_@"a0U\@ðø¬î'Fc@{¦Ô@ [@_x0006_Bf%BX@çö¢ÅA[@PäKÑv+b@yýß_x0010_!b@_x000C_Y_x0019_$_@o_x0006_bDha@/_x0002_æîàÞ^@7^_x0015_ì¶]@þqêa=_@»g¿_x0003_¡_x0008__@Í¯ ÙÝW@åñ­&gt;_x0005_^@Ô¢E_x0012_Z@|;æãlZ@_x000C_´¢!X@wï®ô-X@Ù_x0002_(¯_x0001__x0002_¯a`@Ö³q÷®X@Þ	yR]@üºÚÓÅ_x000E_a@²Ô-yKda@¦ Y#_x000B_a@_x0012__x0019_ÿI?`@ÌØìî_x0006_a@nãNôÍ_x000C_a@Îo_x0013_v%[@{dàÔ91\@¦¤=p_x001F_¹[@¾üé_x001C_|Óa@|^Wr~kc@&gt;æg³_x0017_\@_x0010_"Y_x0012_&amp;¾T@(ïê_x0003_]@6"þ;îY@_x000E_þ®11Z`@&amp;¼äöZ@EnóÒ?ã^@	®DRia@2_x0010_êäÒ`@h_x001C__x0012_xÏX@$_x0012_ ITa@ÍÊFR^@èo_x0016_¶_x0015_ë^@¡2(þÖÆc@_x0007_|ÈÅ¿S@íD5Jkæ_@ìÝ+_x0004_eÓb@%¬à_x0016_Ì`@_x0003__x0004_Áø&gt;­]@£_x001A_ÇÚø_x0003_U@aÿIða@\¢×\@¥²l(æe@GÐÓw[@_x0004_0_x000D_eJ_x001E_T@ö¼ÿÆV\@_x0018_;._x001F_XW@_x0018_ë6-×	_@ôý	¡K]@'zä_x0008_Z@P»_x0016_Y@)?ÑV@!ûÿ[\t]@XÂ_x000F_À¥ªY@_x0019_¨¿ûY´Z@ýf_x0007_}Lû^@ÜSN¿Í_x0001_\@e_x0010_á1ÖX@¡ÜêðFc@¬yÀÇ_x0015_]^@zõ_x0015_Ï¢¢_@¸Ø_x0007_Áb@®ÌWÕa@Ý_x0006_±¦ÞV@Ê%f#]@_ò_x0007_]@0\@!_x0002_áP_x001A_ª`@$_]·R@_x000B__x0011_¡Ù_x0003_^@_x0012_p)&amp;_x0007__x000C_:µW@Íp¥¸wË^@2|÷ß#]@³Q³X ËR@_x0004_bv¼á^@TÜþ_x001F_J}S@_x0005_ú¡¤h^@®ÝÎlZ@þsn"í_x0018_]@\®óh{íf@¥_x000D_@_x001E_ú`@DêV%\@`Ð$_x0008_ñb@_x0016_øí¡Pi\@áoÂzs6`@y¥ñóÝ_@Ê¸ÁD	_x000F_^@_x0015__x000B_¢4\@_x000B_4"_x001B_úy_@RAÿ|_x0001_`@ lã_x0001_­qZ@²æ{JiQ@!¿Ì:b@_x001C_5_x0006_òWïZ@"ì2ü_x000D__x0003_V@_x000B_Æ×[@0ùÿÌï[@® /ùó¾Y@&amp;ÄZ&amp;&gt;_x001C_\@_x0006_ÌO_x0019__x0002__@OÞÆ7Â]@®´¬æa@_x0001__x0003_ÅrCîÀ_@_x001A_Ý!cg/a@%Â'=@_x0004_^@Þu¸`,b@	á·#Ua@q.ØÊG[@ ¿	¬_x0018_V@ä}_x0006_ØpÈ`@Ûß2ñÛÿU@*ÓÎßl]@H®÷ó¶¢`@ÝRPË_x0014_]@hÚOØK	b@µ_x0019_LYôæV@&gt;_x0014_"a_@Ð_x0003_x5#ÜW@Ìº_x000E_Ù\^@B&gt;D¤_¦]@i_x0019_ÙGÁ_@±÷Õ«[@¨­/	¡b@Ö:49p&lt;V@È_x0002_±_x0015_n§\@½vîîo_@&gt;]\t,-U@(ÞZ_x0010_zX@¿añÁîx_@_x0011_Æd­U@,ßüfª^@ª­ËT@_x0014_~_å`@É_x0013__x001F_Ù_x0002__x0004_Hô]@öÐ-³Ý/[@Ó_x0007_\]@ëEVåv]@|_x000F_±_x0007_]@a  _x0008_½`@ÂÞ[_x001B_û_x0002_\@J_x0011_uMh¢_@Y©~ü]Y@t_x0003_sñ!`@Ì_x001D_Ì~G_@ûà_x0001_Ì;©Z@öCrH¦_x001E_b@[BÏî7[@©lè|åa@$_x0005_^­rW@ã8Àa@_x0007_UYèÛô^@8É)_x0013__x0002_,b@~ÿ²²E[@¦jÂé__x000E__@ I_x000D_à*QX@+_x001E_Ú¾ Ø\@_x001F_&gt;\)Sþ[@tÝäè3d@w_x001C_dê=b@U6,å3[@¾Ô`êEø`@vµÉU'd@_x0010_u!__x0006__@[­_x000C_¶î`@x£î4¹]@_x0001__x0002_4cWT­^@&amp;²F¹ a@P=¨_x0001_ËÜ^@Ç&lt;p_x0018_o_@&amp;L»_x001B_µ_x001B_`@VB}yB_x0003_`@Jì¥¿äæ_@ú_x0013_VIL_x001C_Q@×_x0018_"°_x001D_b@|ØþV_x000F_\@â_x0002_¦_x0012_g\@,I)_x0014_S_x001E_V@Îü5½_x0008__x0010__@3_x001C_äLq^@_x000D__x0012__x0011_"m}`@jÁ¬¹¸^@8ËëÐ	_@ AÎ_x0013_ù\@p:½GÌic@h_x0018_S'_x0013_bV@º_¨b&amp;a\@¡_x001D_°_x000D_¡V@aBçÂÁ_@V_Ï¡«_x0006_W@_x0007_¦H¸[@ÂðNsc@*=/rÜ_x001E_^@_x0006_«¶v_x000E_e@'xßï_x0011_Z@Ù2¨l_@&lt;UsÅV@_x0011_mDÞ_x0002__x0003_b¿Z@_x0002_ü÷æca@Àü_&lt;íÎY@­_x0007_Âê_x0012_W@¶@tµ_x0013_Q@T0Q_x000D_D_x0004_b@ZÀ©«¼k`@ÏÚW0k`@ä_x0012_jÊ±UY@Âr ]@}_x0010_¨gd_@d²á´yF`@èâÉNr_@ÈzWýSW`@94Ü_@¸&gt;Hp1îY@Ís©Mn`@_x0001__x0008__x001A_SéÙ`@ÏDG_x001E_)ña@?C_x0019_ÿèW@_x0007_&lt;ýÿgVa@_x0001_ÝÏvc@£(ÙÚ R@á­N8`@3_x0017_­yDêW@Q_x0005_Z2&lt;a@H Â88[@M_x000F_©cY@DÛ+ÂR¨Z@³_x0002_xµÌ]@Y[Ó+_b@IZK_x000E_§\@_x0001__x0002_û§,i°[@ô(K W@bÄo!þk`@*ñç©V@=3_x0001_6¿¹]@Þ¥Þ÷À_x0003__@_x001E_p_x0015__x0001_ÃLb@_x001A_³#\|Z@2ËÀ·c@_x0013_ÊÃ_x0006__x001B_]@kÂg÷Ð_x001A_c@üo¼FX@_x000F_O¾ðV\@ 8"À:¯Y@G_x0014_^_x0004_\@ÿ¯5_Üa@ð_x001A_uÉzZ@Á¤ñï½½]@ê³à_x001D_-`@#¶­_x000D_ _x000E_Z@Îv*­~ba@©áðobb@3_x0001__x0019_	ÊS@VþÃ_x0015_\@Üöu&gt;0¡Z@²_x001F_£_x001D_m-`@ì_x0002_È¬_x000B_a^@_x000C_Gy]_x0008_tV@:e)í[`@¯Ó¼¿êÐd@JÚmé±|[@7_x001E_+_x0001__x0003_î_x000E_]@á"} s\@_x0015_çËÒ_x000F_Ë_@ñ_x0017__x0003_S_x0004_a@_x001E_¸5`@1Z·(¤X@ÎJ;_x0011_0eX@_x0005_EÂ_x0002_T@äØÖ(_x001C_7^@RÕ¨}[@û=ãbtÿV@ßä¿ù"d@F¸´F¡_@*ÊUæeb@fZHéRX@{ºQu_x0011_?X@x_x001F__x0012_ïsªX@_x0003_!Ñ_û5b@®EmF_x0004_W@~-Å_x000D_1_@ù{ê¯K_@;_x0001_¼=yZ@tDyÝT@b"nÌ§Ça@BþjÑx\@ñ3w^ÌR^@_x0001_ (ÍÌ_x0014_c@_x0014_uÕäøV@gUZQmæZ@ÂµÞ/³e@_x0012__x0013_XÚ_x0003_lZ@_x000F_ÉÅEï\@_x0001__x0004__x001E_£®_x0005__x0002_Y@_x001F__x0003_4¦s¯]@_x000E_	¸ÿêX@¯ß*6_x000C_XY@ùYÈýäZ@À7»/T]@M7_x0002_oX@t2ôÚ__x0016_a@m¨ïV:a@ëÝ&lt;ØÿÅ`@Ûô­/óW@`+'+y`@¶ÜÙÂ^@#ôâ¾C_x000D_^@*@~ú_x0003_úU@v¸d4_x0013_W@ð5IK´WT@	Oâë%a@½Ø0ôä\@;|_CÂ`@¢¥s_x000F__x000D_a@_x000C_â~#U@X÷ß+Ò[@QX_x0013_N"PU@ì§=) ©]@¸@^_x0007_xÉ^@_x0014_ø·M_x0012_T@4_x0003_ó9£®^@_x000E_ì£§¥_@_x0002_&amp;ÔöÃc@\VÐïô_x0007_Z@_x0019_Þ{ñ_x0002__x0003_#_x0014_^@_x0015_Ù_x0019_Ç _@©ò?ãvsa@_x0006_o1_x001B_Ha@a_x0012__x0013_2vW@_x0008_×G8¤úa@:_x000F_i b@¹m_x0003_jb@xÏ¿ÀÈ»`@®Z/"ñ]@pt3ùX*_@n^_x000B_ê°a@ò¸&amp;V\¥Z@1\s_x0010_äûT@_x0004_X²ýÏ^@çÓ4_x0015_a@¬_x000C_ÙdØ]@[ OiþcX@é_x0016__ÎP_x0010_`@L-?_x0013_]@ø_x0001_"_x0013_­"a@¸Yas[_x0008_]@¼V¯äº_@.Æô¡³:_@E_x0007_à[£:^@²}û_x0010_Ï,`@n¦ð_x000E__x0015_{b@ÉwäÀä_x0019_Z@VÝ_x0014_BÎQ@_x001F_²hÚb@_®ÊqËa@îN@Ça@_x0001__x0004_¹-_x001A_À)Z@}ë­G0`@ËeT_x0002_üa@K èõÖY@é©ú¶9[@ùöü²y³]@­Zâ_x000F_b@_t;åí[@*_x0008__x001B__x0004_Z6Z@³Á+ð·\@=ýI _x0017_NW@RKÌDcU]@l\1s+\@&lt;wªà_x0011_a@h;¼Ëb@|ÉkUA§U@®_x0017_a@k[â_x0002_Û¼]@.æ"órY@¤|a_x000E_e\^@×(iòZ@_x0010__x001D_ïY­`@_x001B_úêÿ\@_x000C_VËGA^X@\Àc°×Z@þÐxPü;`@Ó\òb@ý"_x0003_?`@ìïEGÀð`@â\ÈÆa@_x001F_®¤¦qb@k@|_x0001__x0004__x0010_\X@2_x0014_¼±jd@~%_x0014_3NH`@¹ìËNø{^@GqJóÀïa@_x000E_$!Æ^`@å_x0016_­)3£^@pê6_x0019__@®_x0015_ U®]@s_x000F_ób§z]@û¢ /«éb@ºï0ä±S@Æj+¶Z`@¶QYúx«]@½Ü[j_@ß4C"ÕU@»`ÑQ_x0002_åV@Ó}ù_x0008_¬X@j±%&lt;Õ[@Î½ßx¦îa@_x001A_&gt;õ_x001F_rl\@¡I_x0011_KÏo_@&gt;£_x0018_éCf]@_x0005_xD¾²e@2ø¡òø8a@_x0003_¨J_x0006_ß¼X@ÃH!i@w{-/&lt;a@÷kKÐbô^@J_x0011__x0010_kSôY@ï/²Ò]@H£_x0016_]"=Y@_x0002__x0006_4Ð_x001B_µ_x0015_b@w®uw`@"æVLÅS[@åÆì­º`@3 Ê©K^@Ð±}~ãñ[@¤¹©O(²_@_x001C_Õ._x0005__x000E_^@°éyæ_x0001_b@_x0016_õdÉ_x000B_|`@6ê8_x0011_¬_x001A_\@_x0016_?ÛM?åY@_x0001_(_x000C_JÃ_@ÞKÀø(yc@ü«c-:_x0003_X@}_x0003_±`b@êÔ~ÿôT`@¤vêvá^@ÌÙW_x0013__x0004_X@_x0010_MZ¡H]@øhà¼_@ÒTVFa`@Of¦ÛZ `@À#_x0008_îp¹`@Ð©ëexP@_x0002__x0013_b@_x000C__x0002_gY@ëË"Í_x0005_Ø^@z_x001A_O7ÒAU@âÀÂÛ°óa@@óïQ_x000C_è`@ëÏù_x0001__x0003_¡¼_@ÓÓ­ú'[@0öø×ªÙ^@:´aÊ_x001D_[@d_x0001_üÕl_@$S	 µa@Æ3«äãc@©zèy\@_x0002_öb||Ô\@«_x0002_õ&lt;B[@8Qw7{b@bÉbÏzVP@ç?}Iø·`@ú!Ó_x0003_ØU@!óyÅKÑW@FÈ´-c@nÚõ1r\@Ca&amp;Úé[@q·¹l!é]@z}Û1_x0004_Xe@_x0002_YôO`@­½¾8LX@KV_x001E_ø½`@VÞM:NÅc@¤©nYAEb@ÀBí\X@ð,2¿ý*d@·G¾¿}l]@ÊýZg&lt;`@(î(Õ¯¢`@'-$Äñ)\@¢è_x001B_[X@_x0002__x0005__x0010_»aÚOW`@úCÍ_x0006_¬å]@«È_x001D_mêú[@Tm	òcÐV@2ïÞ¿la@_x000C_ü8½÷^@Æë_x0013_ÕLY@ÆRB:`@_x0010_ÆEâ-äa@Å§ú}ü:b@µÛú´vZ@ôK"ðZ@!Ëê_x0012_N@]@	íGÒ]@aæ¼4å[@TFQ6Ò@`@ß[q´3`@É*êÁ^@o_x000C_ßd@\y4_x0019_Xa@-Ã_x0017_^_x0005__x001A_\@êèe_x001C__x000B_U@_x0007_h_x0004_¼è¸V@îd£_$X@uãjc\@_x0012_g]ô_x0007__x001C_`@&amp;fH_x000E_¶êR@ìù¯_x0010__x001C_c@oª§$CýZ@qþTõ_]@õU¹_x001D_`_x0003_f@_x0001_jÞÔ_x0001__x0003_Zt_@Úã£_x0002_¨_x0006_`@%w]_x0004_¢F]@+Nf_x0005__x000B__x0002_`@Q*DÈ]@Uô_x000F_¡V@ñâÛ0pW@!"_x0008_ùXó^@ÂÈÞ3ý_x0004_`@ö\8Ø¿a@ÖDhÂ\@Ê¶¢IHY@¦@/H`@á·­òF`@_x000C_Ïè_x000E_z¾Y@ö§íñÉ]@½:Ña@WíÜÞ[b^@_x001B__x000F__x001F_]6\@J½t"%;U@JåþM_x001B_]@}ÊÍbÀÿ\@;R`èo_x000D__@Òñ,;cÁa@_x0012__x0019_Ï4H@·_x0016_f_x0005_a@åÖx0¡Oa@ÆZL_x000D_N^@7Æ° ßa@7Oám_x0002__x001C_Z@Ý¾ÆvKT^@I¿æ¤þ_@_x0003__x0005_QÌ´È_x0013_[d@+cY]_x000D__x0007_c@D¤Æ3P@ñ=_x001F_u6b@÷XÏúS@Í'_x0019_ü¨!_@OH*ôFãb@_x0001__x000F_è_x0004_¹_x0002_`@òmÕQ@ëôöþÜW@E¦y&lt;]@¦_x0015__x0018_&amp;½]@ËÊ_x0012_¡¼`@F7zî_x0003_õ]@¤JZ¯DT@j¾6m_@²Å¬_x000C_ý8a@G 1_x0015_c¤\@{b_x0018_[¹}`@`_x001D_I·L_x0015_X@Ü^k¯Êa@_x001A_°§ÏS@@`WwÙ¿]@¢&lt;rm_x0002_ga@,_x0003_í"_x001D_`@à¹ýYX@_x000C_)ØBØP@Ðb¥ú_x001D_4T@×_x0003_ª_x0008__x000E_^@._x0005_vÖG*^@¢gÌÜÐÍU@¼_x001D_©q_x0002__x0003_=3]@áÆôX1ËZ@¡@c,!U@vu_x0002_RöX\@Å â]Á¥^@_x0010_5å_x0015_6]@È[ð~_x000F_V@,.K´4`@`_x0017_`l|ï_@_x0001_æ_x001E_´·Y@&lt;Ìâ_x0011_`@2Wv[@gT0@b@À_x001D__x0017_ûý0X@Êè.Ea@_x000E_·Nóÿ\@ñEÆF+X@¡Ì_x0001_ôkW@³_x001A_g Ue@d°¼ëÙZ@V_x0002_!êa^@mï)Ã^@=kJ1©öY@0Lð_x0018_9T@A}Ô5ñ½Z@qû_x000C_ÿöW@üË_x0001_dr`@lÁ?ÈuâW@A_x000F_¡;Ä_x0001_a@¨æuHÞb@_x000D_V_x0010_ëí]@hr0Ú·Ä[@_x0003__x0005_~îWª"jY@Æ_x000B_1&gt;1_@TJ/ýÂY@6_x0005_3­[@[Ë(ommZ@´\ÿ½Y@`H]|ØW@	_x0018_^'rjZ@Ô'Õh,á`@ýøþ¿(l\@HÏÒÌ\@®±Á_x001E_À[@ùÔ_x000E_Ù\@q_Þµï[@`FQÖ°Z@+ß_x000E_á_x0013_`@¸¬-_x0004_àîb@¦áÕ_x000F_EX@_x0001_ë£_x001F__x0006_®Z@:0ö²¶«`@ÿÞ°_x0002_\@Ege'À]@4¨T,_x0016_a@«E#ÁÏX@Ì«_x001B_('T[@_x0008__Ý_x001B__x0001_]@J@õ_x000D_¦ï`@P9ÔV@Æd®M+U@æî_x001F_.ûc@_ë?c÷Z@*3U_x0002__x0003__x0010_bY@HjÑ`5;`@´¢Ô8á«Y@_x000D_b+;_@Î~,¾³a@­x]µc@¼ú¹øL_@sZk`Õ²a@Ô\F4+­[@}uçbä`@·óD!_x0001_a@RQúÅ}ã]@s»_x0007__x0001_U0]@-fÔïX\@p£âòÁ	d@]_x000B_$_x0015_Âa@X"Õ_x000D__@p{I3Y@\¶F½V@p çÁ¢½[@ç¨RkÔ¦_@yï_x0010_4ÐD`@Jõ»J ]@ßoè_x0014__x0016_D_@_x001A_¤çXO&lt;a@?_x0006_Òò«\]@¾üM³¾^@yÈ1_x000E_`@EüüÒX@s mbÂha@9¼hb]@àä_x001A_Í_x0019_W@_x0003__x0004__x0001_ÕE_x0002_Ü_@¬]tùêY@Ö_x0014_ËHR;[@³I^s[X@_x0015_ï_x000F_×Éc@5Ñc4_x001A_X@ÃùÔ¦±&gt;^@íW_x0010_'ÿX@!¨ÞH`@_x001F__x0017_èrÓÏ`@gù_x000C_¤Z^@0_x000D_§Õ6e_@¥DÔÍä`@®R;ºP7`@â_x001D_cP_x0010_d@Öi¤xBZ@ëjÍÁ¢Öa@ôXÔ¨W¥R@Ö_x0019_¢7ã_@øR¿íh_x0003_`@õ´ZXU`@_x000E_(ÉDa@*Õ_x001B_I¨c@$¥.Òb@µ_x001E_&amp;2_x0014_ÅS@¡r½K £c@_x0010__x001D_e¤£_x001C_`@¯MÀ·UGW@_x0001_"LYi\@|Þ/U@_x000D_®õ^¸6^@ _x0002__x0003_ÇP@4ÐÍ´Zd@_x0014_ú_x0012_{_x0013_^@=_x0010_R;¢ùZ@³_x0012_«Û!_x000B_S@{pN_x001C_\@¦uÁk]@LÐÁ·_x000B_`@Î+_x0006_ÞMr]@SuRðUZ@È¥"É[@Î¸Ø|_x000E_Y@S9ÞNþå_@J°T`@ÀÈMJ?^@Òû=êd@ºö30_x000F__x0015_\@Ë_x0007__x001A_îÈ¿]@Ñ,¬6hä]@û;ÚÂi]@4¢$yÐR@LfksÌ@`@n¸'D÷ã^@Ug¤øßû_@·c×AÆ³Y@_x0004_³ç±S_x0001_X@´0`I Ça@_x0017_7&lt;_x001C_^@pe9^¨\@ÔB±C)[@T_x0004_3+!ð_@GÊv@a]a@_x0001__x0003_Ï*Tú_x0016_é]@ì¡bS=W^@7}_x001A_FY@øÇ_x0019__x001A_uY@_x000E_kQO_x000E_¸a@óÆ_x0013_¬Ã^@p_x001C_#®êa@&gt;L5«®_x0007_`@_x001C_E_x0002_IOpb@ñw_x000F_ìBZ@92£_x001B_®`@_x0001_ª+b¶_x0004__@¨2_x0004_¬JX@/_x001D_ÈKp\@î½_*û]@T¤ [@_x001A_pÄ_x0003_L`@ä_x0011_º+z¾c@ë~ÀÆ_x0017_U`@IÚq~MÌX@z+ãü_x0012_æY@­0lúY@¶¼è©_x000E_GX@ð8nØ£c\@YÊ{õ+¥Y@DÚ@-´¨^@_x0017_éXÿÏ]@8ó.#â\@KtÛø_x001F_]@_x001A_kìh¾a@ç@Ù_x0018_Ú_x000B_`@pC%Ü_x0004__x0006_$^@ö_x0007_Míz4X@Aøû_x0016_AV@ìµ×ÝXX@aM+O_x0005_8Y@ñ6îé_x0018_X@k¢_x001D_XäT@_x0002_®HÊ`@Xß°}Ob@ír´ö.YY@lqÑ±£b@Dj¥6#V@¢~_x0004_òZ@P\_x000D_ª¼a@V_x001A__x0003_fC©V@ø_x000B_QÇÈ§a@ý¾fÖ%`@_x001F_Cm_x000D_2ÅT@²FÀð6Z@_x0001_çQYÆc@ãù_x0016_Xd´X@ùÔÛå(z^@dIuâw_@ÏßV½6¸Y@ÇËÝöå`@j¹_x0018_0Åªb@A_x001D_fñ`@äØûÍ@2Z@õìûÀZ@cØ-;Yäb@¡*ýGÙ±U@ÊìSØ»]@_x0001__x0002_C_x0012_i1½X@_x000B_¡ø0×^@o,[a@ÝP@»á_x0002__@kõëD!Z@;}(IÿW@:_x001D_õ|h¾_@Í_x0013_W¿&gt;&gt;`@ýy+xaó_@½8¥£_x000E__@¶_x0001_r`d_V@O_ÊÑÝLZ@+v_x0005__x0008_dU@,k_x000F_t{ëa@ä`_x0014_ï½2^@yÑe_x001C_Öb@_x001C__x001C_Y÷3»Y@_x000D_'kÀ2o[@_x0006__x0006_È4``@IüÄbW@½-dÊQ@ÏWPõV*b@m_x000E_é`6`@Iù?§`@%_Ä5`@Æ«TZ17`@r"_x001C_º5`@FZ³Hãã^@×O´º\P]@ÆX&gt;iéÎb@QØpÇ_x0001_?a@[ø­_x001E__x0002__x0003__x0006_ÔX@SÙ¹RÆ`@öf^¥Ja@Øy]µÎle@¢_x001E_8va@!*«ß!^@ZyXm½`@"¡km,[@R×5óN`@@_x0010_)8(yP@jÌÜåY@WE4_x0001_Fc_@KLÒ_x0013_mþY@Ólà_x0010_`@ÇâÎ¡^@ª8_x001B_1Dqb@üUWowÉa@3H_x0012_«æ_x000E_X@òN_x001B__0qW@_x0015_§_x001F_©'a@,_x001B_Æ7\E`@Ñ¯¡*¿+a@ÿ_x0010_FVv_x0012_^@&lt;Ô¨U`@R ê,/\@X =x_x001B__x001B_a@0_x000D__x0015_ã¶a@	_x0004_ßT{©^@ÞâßöU@w´ìP!b@ZbW]Y@È¡æ[@_x0004__x0005_ÆD9¶ÑHS@Æõ_x0007__x000B__x0011_j\@ð_x0012_ûììc@þ_x0007__x0013_¥ÁZ@ð_x0003_Â¨¥.Y@EäM¡Ha@1ÌÁª)ãT@È¥|_x000E_DæZ@t)§¸ªn[@0\_x000F_U)=Y@±RúÕ_x000D_`@£©hwK_x001C_Y@_x0003_õ_x0008_]i_@$¯&gt;JZ@¿Ö_x001D_¬ô_x0018_a@µôg_x0012_°ÊY@_x0014_©âõ=¹^@1xE_x0012__x0002_\@tÿBn-`@áÖo¬­H_@_x0001__x0011_ÂíY^@j_x0018__Ï,ø`@ãóÔ,&gt;¸`@úøkL ^@ê_x0005_î³w_@#QOºÝ_x0005_a@Ìß+_x0017_?]@5Þ_x0005_t±C[@_x0013_W7¤ÁÚb@Þ¡_x0011_Jw_x0011_]@Î9!ÌN`@û_x0002_í_x0019__x0002__x0003_Åha@ï5ýðªÎU@ø_x0014_mÜì_@Ä¶°®V_x0015_`@_x0011_yÀ[ÿ3]@¦oÂÙzc]@Ñ+_x0011_f_x0001_Ý`@__x0011_z9_x0005_È\@¤_x001D_¯dþb@N_x000D_vxú\@f;Û8¸^@PsæèsêX@gÉk³jêX@wÈ¹tZ(V@ÀO#Ú¯T@þÿ¨C´b@_x0010_u;¾yZ@ò&lt;êN`@hQ_x001B_c[@_x0010__x0017_{:A¤f@â^_x0010_è_x0010_¥\@M-_x0019_V@À4GØfýc@.Iö'_x0002_\@yêû8¥Y@ÕÊÓ_x0018_.q]@_x0002_(nªC_@qEÚAÓ°X@tea@íÊ9ö¾`@_x0018_V	³a@{6k&gt;_x0011_V@_x0001__x0005__x0004_Q9jW¢Y@~³H|×e_@®Y:_x001F__x0014_©a@BÿóE_@Ñ²Ý¶b@¾1_x001A_.à	`@_x0002_¶8(¸X@;&gt; _x0018_U_@ Y¾_x0008_0³[@ï_x0004_\|-c@D°Ú_x001A_ÌÈX@4ÑÔ'_x001D_U@ëé_x0007_4ê`@-òûe½)Z@uV°5¼`@&gt;Î_x000D_=Áh_@¼|º_x0018_¹^@åç"0_x000E_za@û±A_x0005_ïÁb@Lcc"'æX@ ¯Q»S$\@Y-_x001A_3\_@üb±]@k¼A]É\@Ëpw_@ò_x001B_°_x0003__x0001_g@0Ø_x0019_:]ya@ÚÛ_x001B__x0002_^@=|»ÑYÐ]@_x0012_CòaèO^@w_x000F_7.­ÜV@}AÕD_x0001__x0002_½Sa@ææaßX^@#´_x0019_v(b@@II_x0005_1_@{Y_x000C_ék"`@.( ßV\@¬^òI¯@Z@Y¸HD¶Y@ô_x001A_¢È&amp;Å[@!jSðDoY@¯ÊiQX@âÂ_x0010_px$_@×ßWÖsNY@twî$Z@ü}+(V@D®(?f@5JuèD$Y@î[@ýØª\@-)¯Âd_@}|z_x000E_.æc@*_x0011_Z@é¦vá½.`@qÈû9S¸[@s®ã·éB`@Iÿeç_x0008_c@_x0014_ØýV~íY@&amp;úÌ~±Y@÷ý²¨_x0002_*`@_x0016_ãjÏøe@&amp;±Ö-I`@|E_x000B__x0012_b@_x0001__x0002_×£´Öw`@Âß¨ÉÂa@_x000C_ÔØO_x0008_W@ÜÆ÷ô_@-i_x000C_¿`@3_x001C_HZ_x0006_c@¿ó_x0018_)î`@Ë7÷ó³l]@ìÿßa@øÙ_x0004__ª\@DW¿ÇX@9_x0001_vb}a@©B_x0003_îw«b@Ñ¾9Ï[@ÓÜÜ4oQd@ºöâÀb@@¿_x0008_úNY@ïuÎwIÜ]@}(¹°^@¾©ÂkgW@u.Í#_x001B_c@è¶±âºY@É9p_x001C_h\@I6aW\@u_x0004_{2]@þ^B¾=X@_x0011_Æd_x001F_dÈc@·]­îëb@ZÜ£l'[`@!_x000C_5_x0010_AÐa@Ë'Â°?b@ë_x000E_^-_x0002__x0003_óÈ^@d§ð¤]`@0k\_x0007_7@R@À6_þK§Y@JvC_x0016_Ð_x000C_b@¿¤_x000F_#ÀDc@LBR_x0004_4\@/V\[@åÄ!Ò¯¨^@_x0012_X­_x0012__x001C__x001A_`@á*1,P¶`@jge.ÿVb@gýuâc^@^m;{G?d@OzV¼b@Þ`SxË£_@Ó(;ÍËY@_x0004_L?g]@÷_x0007_º_x0001_?^@UÜ\`_x0001_c@Þ_x0006_øX°M@!_x0015_ðÀüÃ`@Q²_x0001_y©F_@_x0012_ýQZ9_x0010_V@GÄ_x001B_à´]`@Dð	±é)_@ù_x0017_9a§1b@0?Øý=a@¡_x000E_w[°c@úYE»¿_x0008_\@rù-m@¼T@E,é._x0017_]@_x0001__x0005_yl_x001E_¦	X@­_x0006_%_x000E_&amp;9b@ï_x001C_}r_x0018_`@ôívDM_x0017_W@H6w$_x0013_X@ñHç_x0010_¬C^@Øæj©¸_Z@97¾_x0011_ôa@¹W&gt;_x000E_¹_x0003_a@ô×Ð._@[_x0010__x0014_~K^@Ú_x000D_äÖ_x0013__x0004_`@4Ñs«Z_x0008_b@îõÁçÝX@-µs_x0006_&amp;ÇZ@L_x0019_S[@Î@·í^@ÚÞ:W@õ©µQa@-J*À±[@ÌXisK_x0002_`@5vÌ_x000B_û_@VzpH_x001A_Y@E_x0012_Äö_x0014_Z@ÓÍ	×a@3ÈcZ/LZ@T{V_x0003_Ð1Z@ÓØ3Ic@_x000E_ø(CÊ-U@¥°]_x0013_m[@9Í6o6±`@TfÙ_x0002__x0003_×°W@ãz'u_gb@¥Ëa^´[@ÇQ_x0018_pðd@(²àÓ_x0012_\@úÁEæ9X@=^ñýaa@_x000F_À´§_x0006_`@ïp;Í$_@R_x000B_d%ÙW@÷` $Ò]@_x0019_%dZ@ÁFsuhV@æFØÝ®%O@ÔU_x0013_¤`@ÿ¿í¸\@íS¤_x0012__x0001__x0001_[@b_x0005_,XbÿY@ßjÚµ-^@d¥_x000E_D_x0018_¥]@;]wë]@''PG~]@¿ôÃô~)a@_x0019_c$rU|Z@*×Q Äy\@ïæ~&amp;_x0017_-`@è_x000E_nÎU_@óæØ}]@;_x0010_^Íâ`@³~×áJéV@.5euÛ^@ÆÍü!cX@_x0002__x0003_Þw´ÐÙ[@x«ñ·VX@è é¹ÊtZ@OQg{]Æ[@x_x001F__x0007_¿Z@êî{_x000F_¨P[@ò:²ñ!`@N(v1d{_@ö¹Ú"ì[@á_x001F_dùQ`@µÿs¤¹`@F3_x0001_úZ@_x000F_ÙÝ¡`@Ù_x0019_¥gà1_@@\¢à×S@wê _x0008_$_x000D_a@`Ò¿l{_x0004_\@.xGÊ¨^@Dv¼_x0016_Rº`@S_x0018_ù_x001A_ÉX@~_x0011_müïX@&gt;/=¦_x000E_¹W@Ô_x000E_[åKå]@ü¡áßbb@Ï-güÖ`@V/_x0011_BDi`@*V;Iñ[X@ Å¿Æ_x0002_ôQ@Ù_x0015__x0016_Ì9a@iQmÝ±R@¸*o2c\\@_x0001_Þ_x0015_Ó_x0004__x0005_sc]@B`_x0017_zvO]@71¦_x001C_¥_x0002_]@µ±ì¶¼Z@_x000E_ù¢¥ûVc@å×Â©TD_@FJHÎ_x001A_U^@µÏgìÎ\_@_x0005_Þ×F_x000D_a@!_x0001_ýº]@Ôö_x0003_eé_x0014_`@dà­õJ_@&amp;¥3³æa@ãÒ_x0008_åx5Z@=á7úGB[@+Y¼Ña@¤Ü&lt;5c@õ(ïv7`@¯z¹_@_x000C_¹to^;b@qX`ÝîUa@uý¬k¬b@G¬ßÑ_x0012_ìd@9'u0µ\@_a´ÄY@=ÌèHß\a@sñiK\@k_x0003_n6DFV@z_x0013__x000B_d[@gC@_x0013_zY\@é¼#ä¢=^@NðnNµV@_x0002__x0004__x0010_Ñ_x0018_¡_x001D_b@¹_x0001_ÉZ _x0003__@_x0003__x0019_Ð·Ô]@j¶×ÿpåW@j&lt;Q³õc@©qRoHd@_x000E_å8Y]_@_x0016_ÿÙD'íU@gDæ_x000E__x0018_X@naAårï[@|ÈKXñ±d@¸`»ø[@_x001F_G_x0016_hlX@_1_x0008__x0005_ûP@æ_%¢_@fæÖÂ«[@â_x000B_á_x000E_X@ò.ÙÉñ`@j;\u_@,¿?0v	Z@VÝ_x0016_W@_x0015_ ú_@ _x0001_=3÷T@å~_x000E_ÜZ@_x0007_0&amp;Z :b@`tlVßZ@¨ãµ_%9Z@û®²_x0012_³_x0018_U@¸_x0005_^E÷_x0002_c@¾LÌô\@\_x0001_Xb_x0012_?`@+Ik_x0002__x0003_\_x000F_Z@ÕÁÿF.Z@6­_x001E_=_x0001__@_x0016_´2QêY@î+âÿ_@_x0014__x0014_ìÄk_x001E_Y@ö85!Iÿ`@³_x0007_OÆ1Öb@P_x0014_â®A_x000D_^@°ïØÒK_@;2tù&gt;_@QK{	?d]@_ÌÀ2`(^@áÖÒK_x0011_¯a@°ùÖÿ/¸[@¢`_x001B_P²^@¶yxÖZhU@¼·_x0016_,_x0003_V@_x0005_F_x0003_N_x0018_`@_x001B_µ-_x0002_a@X!§\_±Z@0A_x000D_­R@\ïÜöa@ÕÌ_x000C_bÙùb@_x000B_-UZ_x000C_A\@_x0003_fðqHSX@ï9Í7Üb@áÍ(kKa@O_x0016_7QÜX@,/Ùv£Z@_FS_x0013_¨÷a@µH¦*©[@_x0001__x0002_Ú_x0012__x001F_à`@Djæy_x0002_Ý`@YI{0âÜa@È6²-¬_@j_x001D_¨ä \@Ï×Q§øà[@&gt;~DX`@+£út`T@F$_x000F__x0019_x7[@ÍýåØËK^@xºÜ_x001E_a@`_x0004_þGÞôU@_x0006_\ØOAHb@F?ùMlÙc@Ìà|ýq]@EÛdÌ_x0003_ËX@ûhôÃ6àY@§×_x0017_¯£[@fÆô?UX@5¢fÀ®\@rÔ}ó.Y@í«qÞ_x0001_ô`@0Ï/þ4Y@LÙ_x0006_V	XX@(EBsx_x001F_`@T{iü_x0006_ëa@d__x0010_}â±`@§P·ë^ra@=yí(2]@e½õyZ@à5÷_x0015_Q@®âR_x0001__x0003_á@]@x_x000C_©Üoc@2ex+U.Z@1^«_Vd@SÛ×_x001B_aa@_x0007_O_x0013_{nâ`@wº+GÏË]@_x0019_;îýZP@þ²§mÁ]@«(»&gt;Ç¬`@¤kì_x0011_]@S@_x001C_(_x0003_Óä_x0005_`@\GIËmX`@¹nøë_@éJ*ìe_x0018_W@·ïc@¶áÎÅ(_x0012_S@/_x0011_[_x000B_`@)_x001A_ÞÒ³a@±| _x0005_aa@RQ³QL_x001F_\@#ÿk¦c@ÆÔB=Ôg[@Î§q²³_x0004_a@*_x0002_qwÇôY@D]sÚ[@:Iö_x0013_óËY@ë_x0002_Vä`@¥_x000C_£áS'U@£|³_x0007_=ê^@ (OJV@§k41¼Ib@_x0004__x0005_îN±ý_x0013_äW@u1sZ«kZ@¬_x0016_	Ãô¶b@Öv_x0001_q»ØT@_x000C_åòU_x0019_e]@÷ªú_x0019_b@D,æ¼_x0006_ô]@_x0002_`)=ô_x001C__@WklV@­ò5Ta@7Ð²³þ'X@mö_x0002_kó[@_x0016_a^¼Ç_@5Ø½¸_x0014_¹b@_x0004_CÍ_x001A_ú/[@ZùKèAb\@ØÍ_x0011_Ãã_@ãßú»g`@ôà_x0019_Dî_x0005_`@iØ]ïIb@_x0014_ª]7¸Ü`@QÛs{7ôc@!_x0010_:µ^@9ÿ¾F´#b@Ì¯^_x0016_´mc@u¤ú¥výc@ºVû¹×ã^@e¶_x0010_ÞjV@o=÷ê_x0003_âa@Ì|3è_x001A__@¿fzpïÙa@± Û±_x0004__x0008_ða@Õ_x001C_¦ðÍ_@·ç(¥:Ua@¬dfh]a@ç°·q&amp;Na@F°VÑ6_x0001__@ÃþJ_x0015_#Z@v_x0013_Ã_x001A_ka@ù¨Ê_x0004_ .`@ÝÍõ_x0007_³ùb@Á3_x0003_^@_x000C_ÁqµJd@çON_x0018__x0015_ø`@£ì_x001A_øU@Ï_x001E_ã_x0002_;^@_x000D_Ó­åÙÀ`@;¤^`È©`@øºÄ±Û*Y@&amp;e£_x0001_&amp;X@?$D_x0002_]R]@¿À¯«_x001A_êX@_x0006__x0005_²û_x0019_b@7ü*_x000B_®,`@ý^Vº^@ZòtÞÙ(_@_x0004__x000F_Â¨~Ó_@_x000D__x0003_Rb/ôZ@9ùå¥_@U:.mójS@~_x000D__x0002_Ù(a@'à¶_x0002_Ë\b@Y_x0004_X@_x0004__x0005_±_x0019_¥	ÑQ@8î_x0010__x0006_!b@_x0018_bÎÚBº[@Zò£"`@ÕI:Z@w»MZ@6FóÁ_@_x0001__x000B__x0017__x0006_{`@0ÏwIÁób@_x001F__x0007_ÒCa[@ã0üeI¨`@í}²_x0011_5[@§¼1á¤[@}p-Þ@[@æz_x000E_Þ^@B#	ÿcY@½?Ú¦°ê^@_x001A_mªÞ_@_x001D_c$_x0004_äa@_x0004_.¾_x0003__x001E_`@nyÔ©¬_@Îº9­¬a@_x001A_Ð9_x0014_p\@_x0011_:¸/`@ï_x0011__x0018_½rFb@w|Cdî`@#Öýá'b@t\­_x000B_Jc@ÆêîÉrU@½_x0002_»*Vb@ä·yÉ%_x000F_d@_x0010_úùë_x0001__x0002__x001D_9_@H®#]¾¯Y@ïáò"`@%¢P­Ä[@_x0002_õÔXj_@Lî|¼_x0015_ùb@G=ÓÝ×a@hï·¿oV@3_x000C_%x¦|V@a[´_x0001_ÖCV@ê_x0006_ÇíÎ^@_x0019_9Þ_x0004_×^@BuTÞ_x0007_ÞW@%_x001B__x0018_É_x0012_ha@ß¨wlµß`@ð_x0018_.¥èb@_x001A_ÌØÜtE^@_x0013_ì07'V@éæ}Jvh@n¸°B_x0007_W@ø¾s_x000F_ÈZ@F_x0006_§©ìº\@7úÃµ;_@Ä_x0019_§eV:a@µ¨)sSa@1YºN_x0001__b@dñ_x0017_u;&amp;Z@êcÙ@9na@¶°Ûkt\@8byâa¡[@'&gt;ÿ¬[[@{Íâñ¦`@_x0002__x0003_×_x0012_«ÛjNb@*ð{gP^@_x000B_ÏêÛMã]@çöóÎ_@§±Ä$W@½A¥¸;`@Õvé¼ÙT@ñ¨J_x0011_¹`@Â»ÞMÝA^@-.ã]@,Ñ£®%`@¨BÐÂ5W@mg;â_x000C_\@®_x001A_Þ-d@ÎÎ»xTò\@pD4í_x0001__x000E_R@)|¾Î½óT@ÓÎ÷YÆ[@Ãò-_x0015_\@0Gq_x000E_Y@Òn#P_x0002_\@YV©l_9`@_x001C_ëvá2ºa@§Âf_x0010_Å[]@¯Íß_Q@iÒÎ_x000D_g^@ñ¶_x0004_çY@æ*¦Öla@`Ó_x000E_u½z]@_x001B_ÌÕ_x0018_.&amp;`@Ô(pûWº_@_x0018_¦«_x0001__x0003_èÂZ@¿_x001A_Éù_x000D_]@LýowÙZ@2­_x0012_Ü¸¶V@Í_x0016_ì_x000B__x000C_{a@ÔâwÊÆä\@Ê7ìO-]@£úéNb@2mSHR_@5Rµ_x0013_Y@I¬ÛÙÉ÷Z@rGr±5d@XgO§fxZ@h-£ºPÝU@¹@Þ_x001D_5X@tÎKö­Fa@ÛÌé½JÇc@ìÈ¿_x0014_#V@_x0011_oÜèP^@+_x0010_~øO?]@z+pkc[a@Ø7Ë¯c@°Ví³)e`@t[p2)a@¾_x0004_e_x0004_\`@a(6ÃCc@Ð`~Q¥ù_@Í_x000F_ê7u]@øÇ_x0002_Ì_x0007_^@ZÚÁZlY@ÎñæY@_x001E_F¬Ôe`@_x0002__x0004_ª_x0014_U¬:^@y_x000C_±ïM`@_x0006_¿ü,^ùU@0Î;Èi]@Ê·_x0003_üYÍY@ÍB_x0002_¼_x000C_[@ÚÈÞ_x000F_^@#é_x001E_K=]@¹´:_x001A_Hb@n«8~°ØW@y%¿Ì¥^@®@%_x0019_Ä_x0003_b@¯¼@îya@ Gí¦»~[@]_x000B_;Á·\@bXûózW@;_x001A_VH\@)sôæ_x0001_X@$»/2ôT@K_x0008_7ÌB]@Ýãÿz_x0013_X@_x0010_þÛCb[@³å@ZtR`@_x0011_í·SÞÙ`@ag&amp;ëÿd@û2_x0017_2a@¤pq_x0014_¤c@ýò¢NP-b@þ»(ýÿ_x000C_O@¸ÛÍ&lt;ÖåP@&amp;ârúa^@_x000C_V7Ñ_x0005__x000B_jBb@_x001A_²·ºÐaa@Ô Sð_x001E_]@û!_x0010_y3R@_x000E_n_x0004_ñ¬KZ@é/jú_x001F__x0004_a@|®\ÄY@»é_x0006_p3R`@ÕPýi_x0018__@ò_x0019_1$ÓlZ@xøÍRáCd@ý_x001E_ÃÖóW@&amp;	°_@&gt;_x0002_Ü_x0005_1¬`@_x001E_"_x000D_ìÊ_@z± n¬_x0003_c@_x0010_ÁèrQ@.¾ðÄí¹Y@_x0014_an_x000C_S`@ì¥ú*/L\@Àeë_x0001_sûV@_x0018_¦BftNV@WeS_x0007_c_x0016_b@â#î÷åoZ@_x0005_jO¼b@¦_x0008_ønL`@&lt;¢_x0007_ñy]@Þ_x0012_~cl\\@N	dÅ®#T@D\¤ðU]@Ï±èmÓW@¨oô_x0016_]¶W@_x0001__x0002_¥_x001F_îz_x001A_C]@à|Mf,ÀY@XetÛX@¨0á,ïLa@¥$&lt;L`@g²_x0010_uvÿa@kD¬R@ÐÊªqÌoa@ ?$íöb@×àCÛU@!²9e\@Áß¼-*+_@*h_x0004_Ó[c@Dë;Ù8U@«ÜÙÃUr_@ì~v_x0003__x0016_¿b@åi´½KHU@&amp;Ñ¿ÂyîW@_x001E_Ãû_x000D_½¥a@iÉ%_x0008_~]@_x0018_é£vY@TÌ0Á¤]@0z(Êw\@_x0005__ì¯¥`@_x0002__x001C_ËàÃU@ô$â0X@eaÎ»Z@.ÍùÛ=§`@_x0012_i_x0011_ëÒ^@_x0001__x000C_ÜÕT@7@ó«Ø;d@_x001E_¯0_x0004__x0005_ra@5Íc¾X@ò¾Âð½^@'HwÔ_x0011_Ñ_@®¥ÄBÝ'Z@¤÷p§_x0002__x000F_\@8k©_x001F__@}vÄ_x0004_w_@&gt;D_x0013__x001D_a_x0005_W@"Gø(`W@d_x001F_[&lt;0êb@I£'À°^@È&gt;_x000F_mw\@è±ØÒz a@(&amp;@ºÒN^@$½z8º7]@ä_x0003_9áº*`@îÛÄRÔª^@BÎqÈm_x0008_`@ø_x000F_VQ%V[@ _x000D_K3-`@åH.&lt;£t_@J_x001A_ÏçõÝ\@|Æ_x0001_cUàa@ÆeF0m@Y@µÌÏ×âT@©ÑM*ÎY@ÈÙp¢´.[@ñ_x0002__x0007__x0015_¨4[@ÆYïôÖ]@'Ì¼_x0012_hZ@"\ªç#_x0011_`@	_x000C__x0008_±ÛNÆc@_x0011_R_x001D_üY@_x0003__x0002_aIK_x0006__@zj_x000E_7Ô]@óêU45[@×ûïY-Ö`@Ú!ð`tV@_x000E_È_x0016_°OyW@:lo_x0011_0c@nóX;1[@_x0008_¡yN§»X@oY_x000E_Í_x0007_ÿa@_x0015_Ú¯æ¯õ_@Â_x0001__x0005_,ÆFa@^1!õ½a@Ò{Æ_x0010_ÿ]@ºGâ+u]V@àÔ'_x0002__x0001_`@Ä»WÏÇa@.z¡*ý&gt;]@6öÀÐñÈ`@_x001C_¡½c´,_@©U_x0016_.a@îè_x0015_ªU@ùþýw!^@_x0012_WõR@Éò9¤_x001E_r^@%_x0004_XGÀ_@±^'yD\@_x0008__x000B__x0007__x0010__x000C_À`@No*ôÎX@_x0013_FîÉ_x0004__x0005_Ma@¬_x0002__x0011_Èa@¶_x000C_À¨^@hmÿúÚÈW@gà_x0010_8_x000E_e@ö_x0003_£b;W@Ú BJ Âc@+]3Uhb@¤	Xþ:a@æn_x001B_§Ü{[@_x0011_k08ÙÇ^@qÑ_x001C_]w`@Z	_x0003__x0010__x0001_Þa@êí6|¯]@4_x0007_Ä_x0005_ÜÊ_@iW³ÈW@56j°±kb@ïå_x0013__x0012_°Z@_x001D_¬leöc@_x0015_~1PÑb@ëÀ09gÜY@Ï}j®ßc@_x0006_¾_x0001__x0002_[@e¯Ïy`@è¼Ä¡}±V@¤ß$ùíú^@K;5)Lè^@²e\_x0015__x0003__x000E_X@_x0002__x000F_øÃ}a@¥¹ÄÁ22c@èQ|b­a@_x0007_jÓº5gY@_x0002__x0004_ïÆýr i`@Á0ß3OÚa@¦µþA]@&gt;êlÕÑZ@4í¡ÒF[@}ÆnTõ¾c@*°pva@:ËÑ¤X@_x000F_FÒê_x0010__@Ù´`ÑïW@1Ô_x0005_+Ø0\@KªMËJa@IZÙea]@l'lWc@¹DîÇaMa@	nCôÐ_x0003_d@Êó_x001D_Ù_x0001_V@èÑÁÃD`@ùQ_x0007_]@P_x0015_ðhØÆP@n5;(Ïb@""éÄ_«U@-&amp;êÞ9¿[@_x0008_+µwßU@_x0014_Ñgÿba@(uïºza@µÞúd_x001F_Y@xcB[@_x0002_~[%M\@ò_x0018_n_@__x0017_AØ±OX@ý_x0003_Ó÷_x0001__x0002_§Õb@Æ,_x001A_ë_x001C_%W@n_x0018_ïÅâ4b@_x0003_z¼E]@¿mý¸Z_@câ_x0014_Å©³[@ÅÄjÑ]b@"Up/_x0019_ã[@záÈ¡_x0004_/a@6iFb@ªËWCZ@£d'Þ-æ`@*c«]¸ðY@£Ký¦HZ@®Ó_x0010_¡_x0018_*]@gw@Ç	`@`!³_x001C_Ï_x0010_Z@£ :_x0005_5R@Õ-´Db@ä:mÈk¢a@ZuHÜÄW@	@ë_x001E_²T@#@´M_@SH_x001A__x0016_a@4&amp;z_x0012_]@_x001B_ k_x0012_Ì;`@¯__x001A_Yñ®b@K&lt;µaW]@_x0007_ßT-_x0016__x0005_a@òg®q*X@E&gt;Í¯ùc@¤ÎÕ¿_@_x0001__x0002_OØépÖZ@&amp;Æ/Á\@V	[d¿q^@ú_x0015_71`@¾_x0003_jìxç]@Ä&amp;5_x000B_âVd@3[rµ¦5c@ÖÐïBk_x0007_R@»K_x0012__x0012__x0003_Äe@¦f¬mÙb@Ð÷$_x0015_Ö[@Sì;ë_x0018_tZ@Ãý3Â¢¨\@#6ÑZ@V]eE[@¡åPþ_\U@J[K`Ma@èýVv`@ (È_x001B_ÇZ@´^mEY@êì	¹|\@zþpäN`@ºI`¦\@Á²áË³]@rQ~Ù_@HZÇ&lt;µ\@âV¡5,.\@w_x000D__x0014_ÞV@Þ0_x000C_°a@_x0010_ºÕùC\@ÓD_x0012_Êý^@@2~_x0001__x0004_Ü;\@(þ(ãè_@ÂÁ&gt;º]@üì_x0004_ÎQ@ªºI_x0004_×g[@UE7f_x0006_`@_x0004_`ùv_x0013_AY@L(Ò·Ý_x001C_Y@È^¦b@L_x0015_1É_x0007_¶W@ÈÕøD£[@½×EáI´_@¼¶Á1ÃZ@_x0003_Ú_x001F_Ô_@6¹_x0019_Î_x0006__x0008_]@Âè_x0015_`¿ÂY@ê_x0005_VúS]@³Ï¹üqçc@¡ñ½	w`@Ö_x000E_a®nb@_x001D_G_x000D_\³T@_x0004_öÊ]M`@oºü_x0011_¦ÈW@À)­_x0007_R`@±_x001D_ëî£4U@ÍDKÅò`@;_x000F_hÿ_x0002_RT@b-Y6K_x0011_c@n&lt;ßèÃ_@¡iÆµô#^@Q·_x001D_Æ¾ua@®§ôUº]@_x0001__x0002_"í!M%ÇY@4mla@_x001B_o?©FX@(«v_x0002_ì°`@ ¾%_x0005_¯ëV@«Á*sÌ`@1_x0016_òÚi^@}?áÅa@_x000C_Äª_x0007_+~`@ÌvU2~,U@¹b´Ï_x0006_à`@¡SIRN_x0017_[@²Ì_x000E__x0012_g_x0001_a@_x0006_÷;`¯Z@áý!'p`@py_x0011__x0003_Øa@OaË É_x0012_`@Ò1Û!KI]@_x0004_V¢ÜÝZ@V¾_x001E__x001E__x0002_\@Ï6ÚUb@)n§Zc@ Êå(ê[@_x001D_(9_x0016_,­W@\ïtÒ³R@	_x001A_Z_x0006_¹'c@á_x001A_Çé9ëb@rAûôj`@¨±.Uÿ^@¤»ÉB½Ib@nr¦|c`Z@ù1þ_x0003__x0004__x0010__x001A_^@­¥Ì%[@ÌÍ1=_x0001_\@_x0012_béÓz`@í©E_x000B_¦À[@#_x0006__õ~Z@¿Ç4	Æa@R¼²gA4a@ìÿ°mZç\@´òyÕ_x001A_\@/bxÆNY@NïrÇ_x001A_`@(8á\_@OuL¥ýú^@5ý¡4Ib]@@Ó	_x000D_ÞZX@väAÈW@_x0011_u¿ÁÐ`@¨bu"y^@Rò_x0011_+^/a@yÓPuà[@ËËÛØº÷Z@J~+n[eX@&lt;t¨Ð+[]@Ã	`Þ_x001D_:U@i¿#§èÇa@4¬Ã4`@Ð_x001D__x001C_{@|]@_x0002_çñº_x0010_N\@F0ýüx³^@ÎÁ_[@dXÊ_x0004_p^@_x0001__x0005_õÅÔ8_x000F_Z[@£S2SZ@_x001E_½2rù_@_x0012_ïóáR_x0017_Z@½¼_x0013__x000C_*]@ECå\@¸&gt;_x0002_hK]@;_x0013_y_x0007_óY@øLjÑXwR@äÈW 9_x001E_Y@÷÷Ð_x0012_¸ya@!ðt£su^@Â­©Cg_@·?ß_x001E_¿a@úÕ#b@±;D$a@;_x0017_£ËG_x0015_X@ßúÖ_x0017_®^@_x0017_×_x0004_G_x0010__x0006_V@_x0006_¶(§ààW@ _x001C_nwa@_x0005_ÀD¯%_x0003_b@¹_x0017_UR¦1_@^Î_x0019_!c@}çïÃÐ_x0007_[@|&lt;_x0019_oÄ*`@("Ó_x0019_x[@däAT´§U@_x001B_À6F~^@oF¥_x0006_.&lt;^@_x0012_qRB®U@A%d_x0002__x0005__x0018__x0017_`@¯§Åv¿\@±1s_x0013_à°`@é¾CsY@!âÆ¦¿T@ÛÃÓØ_x000C_R@þí_x0008_8d@_x0010__x0005__x0017_¹SI`@OÂ]ÙÑmX@X.¿¿´a@òèÁâé_@ÚG_x0003_ñ&gt;b@Á¹+ïña@ö%g¬;V@=0s&amp;z`@¾%Ã_x0015__x000E_S_@ò¶M_x0002_Q]@\÷ÓÒc_x0019_a@_x001C_úrÝ£­^@_x000E_N_x0016__x000C_^]@_x0002_6ÈÎw8^@ Íê#3_x0013_`@g¹[éæ_@nI*W@®;±yd[@_x0011_â:4F\@_x0001_ ZÁe\@(ÎáÌ8\@ðãcÝ^õa@®Öá_x0014_$d@|÷_x001D_X@_x0004_Éº_Z@_x0003__x0004_,×,Ã_x0007_Ñ[@2ãgÚqIa@_x0003_Y4c@T@{Ä%;;_x0019_Y@ýÈqz¡U[@$û¿êZ@WÂPê_x0016_Z@mÙ¯Z&amp;[@[Èî6òme@_x000D_6ÕY°Nc@lm+§H_@£ÇCzZ_x0001__@(_x0016_ØlehT@¢ïV='_@åÀÞo`@d_x0005_&lt;RêõW@ªÔy=üS@1 &amp;Bb@Â@éq[íc@ð®+Å0\@î PEÀ_x0002_`@.ízÉG´`@O&gt;ÆãÅ T@_x0010__hÕ«]@,_x000B_J#¦o^@¸qØkÿå`@_x001E__x0001_Í_x000D_DX[@dÜ¼ ¸]@R_x0003_ºé^@_x0012_{s_x000C_2\@_x0001_ÒùmzX@ _x0010_­$_x0001__x0002_ÉSX@H_x001E__x0007_¯\`@h`t_x001B_]@SÏü`@Q_x000E_SÁ~W@óþÀÙìY@_x0003_:ÐNp_Y@"åÎëb@¤ïÕ_x0010_S@¾ÆË¼{V@þàÌ_x0004_ý$^@ »?4Z_x001F_b@ºbÿ¢Ìd@i'_x0018_ÂÜ|T@M_x001B_0ò¤b@_x0004_£?¤1Xa@é}FÉt]@_x0018_ý¥Þ¯a@ÐÍÕH_x001A_a@Ci@»a@_x0002_1_x001D_ç	a@_x0006_Oýçfu`@øüYÖ|=Z@²2,c#]`@¼.n`´b@jà_x001B_â¯¡X@³;Í_ú_x0018__@Ím=øb@.÷]T`@ Ð&amp;_x001E_|a@»¦#&gt;=6`@_x0013_¿_x000B_ÞçV@_x0006__x0008__x001D_!©¬ã^@X_Q_x0003_Z@q_x0013_ÿû°0\@2_x0015_oCCb@ÏèçDÌ]@Kà_x0013_ÜXëZ@zã-ömð`@_x000E_WÌ¸._@Ô§Cìê^@ª_x001D_½¦ÙÑU@Õbg`Z@=@Ò_x0012_È£Y@ ãY%Wb@ÒK¾[_x0003_Y@	¹9{pW@Û±S_x0004_Ìdb@L+\`Ù_x0005_V@_x0001_ÅBÊ!i]@I_x0006_«öéçb@¬"ÌãÔ_@ îk8U^@(CKað\@`ý¾_x0012__x001E_`@+ôKÿ³b@ëzu¦éþZ@¤¿3Q@]S_x0013_eï_x000C_Y@_x0007_0©ÎÌ_x001C_b@Ú{¤P¸a@&amp;ÏI_x0002_iÓ^@ÆçDÙ	7X@´ÔÑ_x0001__x0002_TPY@jÂÁO;o\@Ïoó4*¹_@0Ô;.Î1`@_x001C_±_x000F_[äb@ý÷HyN^@_x0005_t·Íoc@bó@è	8V@Ê_x001A_;??c@¾É_x0016__x0007_?\@vhóµé]@ÂÿÇ64Ye@©°ô·ÏS@T?º[@/¸ØV Þ[@M²²× _@âM9_x001A_¶c@":*VÉX@Z_x0019_üU_x0007__x001D_`@ï1_x001F_ù_x0012_|`@ø%¼c@Ñ)_x0013_m¸^@_x0004_bP`U@×@àìæY@__x000E_:L¤X@é]FS²@·-=_x0014_ï¸@_x0004_¥Ë¹*¼¸@ª¥Á|±ÅÔ@5qòÁVÙµ@_x0005_v2è¹@$Hº_x0019_éµ@_x0001__x0005_~*»É²@Ç@¾_x001A__x0017_`¶@_x001A_}`¨0ìÍ@1aéÔº²@_x0014_eW®´@ä|£V6¿@_x0016_È!´@_x0007_zÎôñµ@_x0015_°íC®µ@í¨2¢=À@ú&amp;ºð/´@ÚqKÎ:Äµ@auÊÙô_x0003_·@_x0002_Ê½5È@÷Ø&gt;_x0012_7¹@_x0004_æ© Ç@÷8òù_x0017_·@ns{¶@&gt;ù7ÿ_hÖ@ÂÔ_x0015_Yõ±@ú&gt;ñG¿-Ñ@¡-_x0003_n_x0004_¶@õLDoP¸¶@z¢Ù8ìµ@uÁÍÏ_x0013_iµ@¯°d=)Ê@_x0015_Ãi±ìj°@hºêXõ°@OËÃ:ð+Í@Þ¥dÕµ@n9_x0016_Û³@v±â_x0006__x0008__x0007_L´@\ÝUä»@ò_x001A_Ä*_x001F_¶@ºóqñã¸@tÂgÉïÉ@×C0êìÛ@¼|¿m¯@e_x0008__x0002_¥µ@_x0004_	_x0003_3Ë?·@)¬è©Û¶@_x0008_Ûñ&lt;3ñ½@DØ8_x0010_Ç»@ÿùH$¬_x0011_»@_x001C_nVí_x0001_ýµ@¶_x000D_õíuN³@§ø;²´@Ð-÷«	´@ò_x0019_Á}t°@d8|W÷·@kw_x0005_·Ï8¶@Gû¯ýÑË³@_x001F__þ_x0016_ÁÁÁ@0&gt;íñº@¹_x000F_g_x0016_Óµ@®NbFº@|wç_x001F_´¸@_x001E_ØË©_x0015_·@J_x0011_å³_x001F_º@[_x000F_,Ú¯@âiðÑÁ@&gt;Þ®k_x001C__x001F_¶@óZlÀ;´@_x0004__x000E_+ó¹Ø7¹@/_x0014_e©Q8¶@Ho=]1Æ@8_x000C_èoÃÚÂ@_x001F__x0010__x0004_°ò¯@Þgs	|·@«Ó¸,M6Ä@Aè¼«å;²@×yäH;!¶@_x0006_Q$%±º´@iÿê8n½¯@®_x0018__x0010_5_x0014_Á@_x0006__x000B_Ï_x001C_/º@Gª3±~*¸@`ìÅ´_x0017_µ@Þ_Ã_x001C_´@2Z.@T_x001C_¶@0ñ_x000D_µ¯@"_x0002_Ç¾¼x¶@©¢þ_x001F__x0003_Æ@¬N¦kÎ¹@g5S¡bÎ@çä²ÔÛ¶@_x0019_Ör_x0008_v·@\c_x0015_T4_x000D_¶@Áæ¯Ïê=³@Np¶_x0001_áÝ¶@Û¶G­Æ_x000E_±@K:½Î ¶@_x0007_´¨Ü_x001D_÷²@ÿðº8Q_x0005_Ã@×jd_x0001__x0003_6Ü¯@²ÜB`íµ@|iF,³@á^;¯Ûû±@kþ_x000F_är¶@L¡$ª*.Â@vM¯%Ôè¶@ pO4¨µ@i|_x0016_0°@_x0019_µ)ù	J²@{3¢C±¸@þ_x0017_×Ü²@Î_x000F_~Ó{²¯@ìKûU]£²@qýª®â¨¯@¥HÚò·@à_x0002_;³áµ@~hÞâ3¢¯@)ÙÞÈm(¶@ñ4Î_x000D_l¶@âx¹eÅ@*7±nU·@.Â_x001F_ªL±@_x000F__x0003_L#vÛÔ@B·_x0018__x001E_Ø+¯@Ì	ø¾1ñµ@;÷ÐïÓ_x0010_·@:r²_x001E_`½@Ú»´Û°@¼:Úg1_x0012_±@²vrØÈù´@_x0005_Ðöí3¹@_x0001__x0002__x0002_ÉÉéç¹@k¹Ûe?¶@Itâ$°¯@&lt;W_x0010_Ç¦·@áî&amp;ûS¶@VlÍ~_x0005_UÛ@ÚÈ&lt;Ëåÿ³@Fè*SkÅ´@_x0011_Õ»ï]ð¶@Î_x0016_"Ï5m³@_x0013_ÑcãÝ_x0015_³@±é\ô_x0015_?°@._x0010_)­ÄÐ@¤n^éû¯¯@_x0016_gyF_x0014_KÂ@_x0016_ÃÜ_x0008_wèÃ@ÉJôEt°@_x0014_^	t1cÅ@´Øà¢¶@ò_x0012_Ä._x0015_òÖ@;í^Z¯@d©ð¸/·@Z_x0011_;µ@öPeýµ&lt;Ä@.U=$ªµ@)_Ù_x0003_i¶@9#W&amp;µ@!Êj6¡_x0002_¶@ìòèÑ;ê¶@¯¤^¹zU¶@_x000B_YÀ­´@}ÀF_x0001__x0002_»yµ@_x0019_¦&amp; Ó1¶@q¶ºz¬°@^1mÕµ@_x0015_ªñè_x0015_¶@¤Í_x0004_Xmd±@&amp;ÀÃ|:tÇ@ßÊÜ3¶@¾vè½ÍÐ@ÇÆ_x0017_P ¹@ÜÒ9O}$¶@_x0016_O±õµ@ò_x000C_\)zïÎ@· _x001B_9qÏ@TÖÜzl±@&gt;O=,mMµ@å)òÇå_x0012_¶@ÁZi_x001C_'WË@éÖJÙ_x000B_°@_x001C__x0006_&lt;j´@_x0015_LÖÆ"Ù´@Ö¸R®ö!µ@_x0015_Î"_x0007_jõ´@åy_x0011_PTrÅ@ ÇH5cÍ¯@k³];t_x001E_½@q#4ÕfV¯@dÖ¯µï_x001B_¶@N¼þÞ¢¶@_x0010_0_x0019__x0016_PÀÄ@4JZ_x0016_ó¶@ ßg²RÄ@_x0001__x0003__x0004_#E_x000E_S_x0004_Ï@N_x001D_Å_x0011_#³@¤+­Òöþ¶@´,_x0003_Ta·@2ñ2d`C±@_x001C_ýµÓ\°@_x000E_ý_x0013__È·µ@yäBÊ@úpÚ_x0013_Ý$¼@æ¯k¥_x001A_MÀ@Ï*+4¶@psÚj·@à±ü^´@,èêÛ_x000C_2°@¶üÏ~_x001F_%Å@v{T#Åµ@_x0011__x0016_C_x0018_?·@×¬9\ÿ.´@¯Ê_x0002_³³@_æín4¶@A_x000E_øº@Ï~´Å§ÚÀ@Òh_x000F_Q_x001D_õÍ@yé°._x000C_Ä@_x000C_Úö@_x0016_Ä³@*AÉ»Á@ÊÈû©_x0012_W¯@._x000C_ÝEñ°@ü§ÿbïª¶@ßßº@/ÞÍÑ]Ñ@&lt;\_x001C_ð_x0001__x0006_¼_x0015_¶@_x0005_ìv@Ûþ¯@k^þ&lt;2Ñ@bW)_x0003_x´@_x0016_ÃÄoB³@w£_ð¡È@.`_x001B_u!Ñ@PCÎL_x0010_°@Þ_x000C_ÂL¯Ò@±_x0005_a^Uª´@zí0§¯@ü|_x0006_K"·@`	á}_x001B_¥±@÷và3O¯@ò3Täµ@_x0005_ÍdJy¶@4&gt;_x0003__x001D_?Ñ@4íEÐÕ_x001C_¶@bÝ!ÆÜ1Ó@ºÍ1`Vµ@¡@7MÐÊ@_x001B_Âõ_x001E_¹Ï¶@_x001C_OH_x001E_+½@D_x0003_b=ãÌ¯@Æ.øsYµ@¢9,_x000B_º@Á´8b«µ@IÐîµ@I_x000C_©_x0013_Ë¶@îGo¹ëª´@_x0006_¸s#¤É@_x0002__x0007_kg_x0004_¶@_x0002__x0003_ë5DöÞË@ë·ò2á³@þ_x0007_¦ÌsÆ¾@_5løo²@î_x0005_¬9ú¶@Ìþoe:»@&gt;"ÊCÂÈ@Å¥3ËÛÝ¼@à. Ã´	¸@_x0011__x0006_ä_x0005_Æ´@5gÚ`Wç¶@0ïÕu±@jy§°&gt;µ@;ºc_x001E_¶@d¨C6ø¶@1ÏPr»p·@+®jj°@_x0017_·#_x001A_0¯@B¥_x001E_¬-_x000B_¶@lêkÐb&gt;Ò@tæÑR0s´@,_x0005_¯°@ÿp_x0015_Nl¯@²GÑ}äè¯@. raÅa¶@á_x001C_^_x001F_s±@à&gt;"_x000B_&lt;_x0001_·@0_x0004_ñ]¶µ@FX_x0004_0Ë@ËCé¶ZÍ·@QÔ½(ÆX´@¬¥yj_x0001__x0002_}o¶@5)¸ÕÑ¶@ÿZo*F`³@ª_x001C_^À§±@Ã¶y_x001B_~°@ñÈ}Égº@_x0015__x0002_B*íµ@ÅÙ_É©V´@¼÷_x000D_O·³@©À²@?c²_x0017_u´@lÖ`_x001A_rß¶@äâÃ7­CÑ@jîpC°@;`FUa²@_x0015_:_x0018_Xu´@dÐ¦I_x0006_é¹@#ÜF_x0001_³@:,{S_x0014_½@*¨·_x001B_º·@Â_x0017_¨j¿üÑ@Fv_x0003_ácÓ±@Ö5;¥Äy°@ã{áÙÃ@F¢_x0013_IÙ	Ê@R:uvOGµ@_x000E_%ûÓÏ¾À@K_x001A_sÑõ³@Æ_x001F_M¼P¶@ðrí¦T¶@Ëýì_x001E_q.µ@ã_x000B_©Â@_x0002__x0003__x001E_PËË_x0001_d°@U³9Ë»@Ö1_á´7±@å_x0001_v{_x0007_¶@%õVîhÀ@FÙ¹0¿@T1Ð.W_x0013_¶@Z#Àã@a·@Ä÷àg¬b¶@JQ¨gr°@:St¸b°@ù8^=²@ÿ®ìPBµ@éêÂ Þº´@_x0011_ÂáY8¶@ÛÊ[@£Å@ZÊ¯@ßúAüs°@iÓ_x0005_{°@_x0003__x0019_M[=²@Ü©|»¦cÄ@a&lt;ú_x000D_=°@Ò^Q¼ò[¶@NV¡ËÄ@"_x001D_ñH§¶@ÇB(k9_x000D_±@?ç_x0014__x0007_ËxÅ@`©áme²@ã=DÏå°@_x0007_&gt;_x0010_5SÅµ@q_x0012_2_x001A_|Õ@_x0014_^/n_x0001__x0004_ Ò@©:¡V3ÊÄ@©ô²;$©·@6Â@_x0001__x0003__x000F_µ@°ÉK«üÇ@_x001C_gwá²@,ù?F¾´@"»_x0002_ù_x0011_v¯@/ó)bÁµ@_x0016__x0017_&amp;_x001F_Ø@&lt;X.2à/¯@ÊM_x0010_÷ñÉ´@´_x0002_íî¹µ@¢[,e3¶@q_x0004_Ý_x0012_¹·@ë8·kûÞµ@¶B²Àå÷³@ï»1-©°@WÞâÏöDµ@6Ö`ÓÄ#Ä@é¨³`_x001D_ýÂ@¹ÿ%ãi¶@k¾ô_x001F_¸@_x0010__x000D_Ñ]v¶@Öúyjí£°@ð2=_x0007__x0015_¯@I$ZªRÃ·@¤bPç_x0013_µ¶@_x0017_;{yá¸@rÓ_x0003_­n_x0002_°@'k_x000C__x001D_ñwÍ@k_x0011_D{`¶@_x0003__x0005_ë_x0004_²í_x001F__x0015_±@_x0007_Ü_x000F_a'¶@Ëx{Ã¸@í^_x0008_»ú³@ÞXnóÐl²@ò_x0002_À¯@rËëµ@ÏOÈrW¹@eVßìU³Ë@%Y.hJÕ´@¶*éQµ@O_x0012_Îòa·@_x000C__x0004_ÝýÊ@._x0017_Âó³®¯@»à¦_x0005_6¯@kÖ&gt;Yp®¾@58Gù¶@_x0002_Ù3_x000F_õ³@_x0001__x0017__x001E__x0018_ùÑ¶@RÓ³Ì_x001F_±@?Ø±:t¶@»+L°@ñ_x0006__x0003_ä³@Ôí¦°Q·@Â_x0014_µ¾(¶@_x000E_ oG,µ@_x0006_ÊV&lt;íFÒ@¤¾j_x0002_ö¥²@´û8³ëÞÈ@Þ4ÒÅ@^Jµmâ°@_x0017_½_x0001__x0002__x0011_Y½@U_x0004__x001F_PlÄ@spÆzhÐ@$åÞG_x0006_=¯@ÀÜ§Ríªµ@;·-WÀ@ f_x001E__x0004_ì§µ@_x0012_º^¿¤s°@_x0010_	 É¯@¥ÕñN!g¾@®À8èeÒ²@_x001A_(L_x0017_IN¶@üøá_x001B_\°@3_x0008__x0015_9°@¼-M°ÅM¶@qíL-_x0004_¾@;"ÓØÝC±@vÂMÈK¯@Â®lº_x0003_¶@Sÿ³öãS°@bgaµA$°@_x0010_lYþ«T¼@÷Ì²'«¶@Y^ÊiÌ°@èQ°4°@Pòn÷×¯@9¤é2CÇ·@¦_x001A_8&gt;?B·@Ì#±ÌÊ´@íÚ¢S3±@@6&gt;Ó_x0007_k·@Ú#H0Ùð¯@_x0001__x0002_vmÑFÃ³@&amp;9YÎkµ@*Þþ4£i°@"&gt;¬\­³@Ï~H/éµ@p¼íÓé6Ñ@°W+_x0015_ü_x001E_·@ð±|^Ù@[:9ªTðµ@üµiÜÛ ¹@ª¦Ç)DØØ@$ðVDw´@±9Î4	IÄ@_x0011__x0008_o9¯¼·@îõÓÆ_x000F_°@+-ºu_x001E_&lt;´@/ûßÐ?¦³@&gt;a_x001F__x0002_3¶@\;FJ²@§Èî ÷ä±@Â)©·Ò_x001E_¿@Ùç¢8wFÛ@Ó_x001D_½_x0001__x000F_VÀ@Ì°#Â±s±@_x0016_¬ìåñ	°@_x0005_êH»	­´@»yúD_x000C_Í@¬	_x0019_µ5Ñ²@_Qzè¹@rP_x001A_Xõ^¶@Q%=_x000E_cÞ²@_x001F_7ö_x0003__x0004_Ýò±@ñ_x0002_m·_x001B_´@;_x0012_÷¤âx¯@±TµÞ&gt;Å@Tc¼ _x001E_´@Û¹_x000E_ÓTýµ@ä1­òi^²@	Ru¥_x000B_}¯@Dk¹ØÙ@{KIGô´@_x0019_·Þ_x0008_° ´@®r0´Î²@{ÆtwLô³@¥âC»ýÃ@i_x0001_yÊ4³@&amp;²ôwûà±@fûûP¯@Ù_x0003_&amp;qtµ@êÆ_x0007__x0005_òóÝ@_x0010_'¥Eº@ÜOWËÚÇ@_x0001__x0003__x0003__x0003__x000E__x0003__x0003__x0003_problem 4.xlsx_x0001__x0003__x0003__x0003__x0007__x0003__x0003__x0003_part(a)6_x0003__x0003__x0003__x0002__x0003__x0003__x0003_B8_x001D__x0003__x0003__x0003_=ROUND(@RiskNormal(120,15),0)%_x0003__x0003__x0003_Aver_x0002__x0004_age weekly demand (in units)_x0001_A8_x0001__x0001__x0001__x0002__x0002__x0002__x0002__x0002__x0002__x0002__x0002__x0002__x0002__x0002__x0008__x0002__x0002__x0002__x001A__x0002__x0002__x0002_ _x0002__x0002__x0002_Average weekly demand (in units)_x0001__x0002__x0002__x0002__x0002__x0002__x0002__x0002__x0002__x0002__x0002__x0002__x0002__x0002__x0002__x0002__x0002__x0002__x0002__x0002__x0003__x0002__x0002__x0002_B13_x001E__x0002__x0002__x0002_=RiskOutput()+AVERAGE(I16:I67)_x0012__x0002__x0002__x0002_Average Cost_x0001_A13_x0001__x0001__x0002__x0002__x0002__x0002__x0001__x0002__x0002__x0002__x0002__x0002__x0002__x0002__x0001__x0002__x0002__x0002__x000D__x0002__x0002__x0002__x0002__x0002__x0002__x0002__x000C__x0002__x0002__x0002_Average Cost_x0002__x0002__x0002__x0002__x0002__x0002__x0002__x0002__x0001__x0002_ÿÿÿÿÿÿÿÿÿÿÿÿÿÿÿÿÿÿÿÿÿÿÿÿÿÿÿÿÿÿ_x0004__x0005_ÿÿÿÿÿÿÿÿÿÿÿÿ_x0004__x0004__x0003__x0004__x0004__x0004_C16_x0014__x0004__x0004__x0004_=RiskNormal($B$8,15)_x0010__x0004__x0004__x0004_1_x0001_B16_x0001_C15_x0001_Demand_x0001__x0004__x0004__x0004__x0004__x0004__x0004__x0004__x0001__x0004__x0004__x0004__x0001__x0004__x0004__x0004__x0014__x0004__x0004__x0004__x0005__x0004__x0004__x0004_1 / Demand_x0001__x0004__x0004__x0004__x0004__x0004__x0004__x0004__x0004__x0004__x0004__x0004__x0004__x0004__x0004__x0004__x0004__x0004__x0004__x0004__x0003__x0004__x0004__x0004_C17_x0014__x0004__x0004__x0004_=RiskNormal($B$8,15)_x0010__x0004__x0004__x0004_2_x0001_B17_x0001_C15_x0001_Demand_x0001__x0004__x0004__x0004__x0004__x0004__x0004__x0004__x0002__x0004__x0004__x0004__x0001__x0004__x0004__x0004__x0014__x0004__x0004__x0004__x0005__x0004__x0004__x0004_2 / Demand_x0001__x0004__x0004__x0004__x0004__x0004__x0004__x0004__x0004__x0004__x0004__x0004__x0004__x0004__x0004__x0004__x0004__x0004__x0004__x0004__x0003__x0004__x0004__x0004_C18_x0014__x0004__x0004__x0004_=RiskNormal($B$8,_x0002__x0006_15)_x0010__x0002__x0002__x0002_3_x0001_B18_x0001_C15_x0001_Demand_x0001__x0002__x0002__x0002__x0002__x0002__x0002__x0002__x0003__x0002__x0002__x0002__x0001__x0002__x0002__x0002__x0014__x0002__x0002__x0002__x0006__x0002__x0002__x0002_3 / Demand_x0001__x0002__x0002__x0002__x0002__x0002__x0002__x0002__x0002__x0002__x0002__x0002__x0002__x0002__x0002__x0002__x0002__x0002__x0002__x0002__x0003__x0002__x0002__x0002_C19_x0014__x0002__x0002__x0002_=RiskNormal($B$8,15)_x0010__x0002__x0002__x0002_4_x0001_B19_x0001_C15_x0001_Demand_x0001__x0002__x0002__x0002__x0002__x0002__x0002__x0002__x0004__x0002__x0002__x0002__x0001__x0002__x0002__x0002__x0014__x0002__x0002__x0002__x0006__x0002__x0002__x0002_4 / Demand_x0001__x0002__x0002__x0002__x0002__x0002__x0002__x0002__x0002__x0002__x0002__x0002__x0002__x0002__x0002__x0002__x0002__x0002__x0002__x0002__x0003__x0002__x0002__x0002_C20_x0014__x0002__x0002__x0002_=RiskNormal($B$8,15)_x0010__x0002__x0002__x0002_5_x0001_B20_x0001_C15_x0001_Demand_x0001__x0002__x0002__x0002__x0002__x0002__x0002__x0002__x0005__x0002__x0002__x0002__x0001__x0002__x0002__x0002__x0014__x0002__x0002__x0002__x0004__x0002__x0004__x0002__x0002__x0002_5 / Demand_x0001__x0002__x0002__x0002__x0002__x0002__x0002__x0002__x0002__x0002__x0002__x0002__x0002__x0002__x0002__x0002__x0002__x0002__x0002__x0002__x0003__x0002__x0002__x0002_C21_x0014__x0002__x0002__x0002_=RiskNormal($B$8,15)_x0010__x0002__x0002__x0002_6_x0001_B21_x0001_C15_x0001_Demand_x0001__x0002__x0002__x0002__x0002__x0002__x0002__x0002__x0006__x0002__x0002__x0002__x0001__x0002__x0002__x0002__x0014__x0002__x0002__x0002__x0004__x0002__x0002__x0002_6 / Demand_x0001__x0002__x0002__x0002__x0002__x0002__x0002__x0002__x0002__x0002__x0002__x0002__x0002__x0002__x0002__x0002__x0002__x0002__x0002__x0002__x0003__x0002__x0002__x0002_C22_x0014__x0002__x0002__x0002_=RiskNormal($B$8,15)_x0010__x0002__x0002__x0002_7_x0001_B22_x0001_C15_x0001_Demand_x0001__x0002__x0002__x0002__x0002__x0002__x0002__x0002__x0007__x0002__x0002__x0002__x0001__x0002__x0002__x0002__x0014__x0002__x0002__x0002__x0004__x0002__x0002__x0002_7 / Demand_x0001__x0002__x0002__x0002__x0002__x0002__x0002__x0002__x0002__x0002__x0002__x0002__x0002__x0002__x0002__x0002__x0002__x0002__x0002__x0002__x0003__x0002__x0002__x0002_C23_x0002__x0004__x0014__x0002__x0002__x0002_=RiskNormal($B$8,15)_x0010__x0002__x0002__x0002_8_x0001_B23_x0001_C15_x0001_Demand_x0001__x0002__x0002__x0002__x0002__x0002__x0002__x0002__x0008__x0002__x0002__x0002__x0001__x0002__x0002__x0002__x0014__x0002__x0002__x0002__x0004__x0002__x0002__x0002_8 / Demand_x0001__x0002__x0002__x0002__x0002__x0002__x0002__x0002__x0002__x0002__x0002__x0002__x0002__x0002__x0002__x0002__x0002__x0002__x0002__x0002__x0003__x0002__x0002__x0002_C24_x0014__x0002__x0002__x0002_=RiskNormal($B$8,15)_x0010__x0002__x0002__x0002_9_x0001_B24_x0001_C15_x0001_Demand_x0001__x0002__x0002__x0002__x0002__x0002__x0002__x0002_	_x0002__x0002__x0002__x0001__x0002__x0002__x0002__x0014__x0002__x0002__x0002__x0004__x0002__x0002__x0002_9 / Demand_x0001__x0002__x0002__x0002__x0002__x0002__x0002__x0002__x0002__x0002__x0002__x0002__x0002__x0002__x0002__x0002__x0002__x0002__x0002__x0002__x0003__x0002__x0002__x0002_C25_x0014__x0002__x0002__x0002_=RiskNormal($B$8,15)_x0011__x0002__x0002__x0002_10_x0001_B25_x0001_C15_x0001_Dem_x0002__x0004_and_x0001__x0002__x0002__x0002__x0002__x0002__x0002__x0002__x0004__x0002__x0002__x0002__x0001__x0002__x0002__x0002__x0014__x0002__x0002__x0002__x000B__x0002__x0002__x0002_10 / Demand_x0001__x0002__x0002__x0002__x0002__x0002__x0002__x0002__x0002__x0002__x0002__x0002__x0002__x0002__x0002__x0002__x0002__x0002__x0002__x0002__x0003__x0002__x0002__x0002_C26_x0014__x0002__x0002__x0002_=RiskNormal($B$8,15)_x0011__x0002__x0002__x0002_11_x0001_B26_x0001_C15_x0001_Demand_x0001__x0002__x0002__x0002__x0002__x0002__x0002__x0002__x000B__x0002__x0002__x0002__x0001__x0002__x0002__x0002__x0014__x0002__x0002__x0002__x000B__x0002__x0002__x0002_11 / Demand_x0001__x0002__x0002__x0002__x0002__x0002__x0002__x0002__x0002__x0002__x0002__x0002__x0002__x0002__x0002__x0002__x0002__x0002__x0002__x0002__x0003__x0002__x0002__x0002_C27_x0014__x0002__x0002__x0002_=RiskNormal($B$8,15)_x0011__x0002__x0002__x0002_12_x0001_B27_x0001_C15_x0001_Demand_x0001__x0002__x0002__x0002__x0002__x0002__x0002__x0002__x000C__x0002__x0002__x0002__x0001__x0002__x0002__x0002__x0014__x0002__x0002__x0002__x000B__x0002__x0002__x0002_12 / Demand_x0002__x0004__x0001__x0002__x0002__x0002__x0002__x0002__x0002__x0002__x0002__x0002__x0002__x0002__x0002__x0002__x0002__x0002__x0002__x0002__x0002__x0002__x0003__x0002__x0002__x0002_C28_x0014__x0002__x0002__x0002_=RiskNormal($B$8,15)_x0011__x0002__x0002__x0002_13_x0001_B28_x0001_C15_x0001_Demand_x0001__x0002__x0002__x0002__x0002__x0002__x0002__x0002__x000D__x0002__x0002__x0002__x0001__x0002__x0002__x0002__x0014__x0002__x0002__x0002__x000B__x0002__x0002__x0002_13 / Demand_x0001__x0002__x0002__x0002__x0002__x0002__x0002__x0002__x0002__x0002__x0002__x0002__x0002__x0002__x0002__x0002__x0002__x0002__x0002__x0002__x0003__x0002__x0002__x0002_C29_x0014__x0002__x0002__x0002_=RiskNormal($B$8,15)_x0011__x0002__x0002__x0002_14_x0001_B29_x0001_C15_x0001_Demand_x0001__x0002__x0002__x0002__x0002__x0002__x0002__x0002__x000E__x0002__x0002__x0002__x0001__x0002__x0002__x0002__x0014__x0002__x0002__x0002__x000B__x0002__x0002__x0002_14 / Demand_x0001__x0002__x0002__x0002__x0002__x0002__x0002__x0002__x0002__x0002__x0002__x0002__x0002__x0002__x0002__x0002__x0002__x0002__x0002__x0002__x0003__x0002__x0002__x0002_C30_x0014__x0002__x0002__x0002_=RiskNo_x0002__x0004_rmal($B$8,15)_x0011__x0002__x0002__x0002_15_x0001_B30_x0001_C15_x0001_Demand_x0001__x0002__x0002__x0002__x0002__x0002__x0002__x0002__x000F__x0002__x0002__x0002__x0001__x0002__x0002__x0002__x0014__x0002__x0002__x0002__x000B__x0002__x0002__x0002_15 / Demand_x0001__x0002__x0002__x0002__x0002__x0002__x0002__x0002__x0002__x0002__x0002__x0002__x0002__x0002__x0002__x0002__x0002__x0002__x0002__x0002__x0003__x0002__x0002__x0002_C31_x0014__x0002__x0002__x0002_=RiskNormal($B$8,15)_x0011__x0002__x0002__x0002_16_x0001_B31_x0001_C15_x0001_Demand_x0001__x0002__x0002__x0002__x0002__x0002__x0002__x0002__x0010__x0002__x0002__x0002__x0001__x0002__x0002__x0002__x0014__x0002__x0002__x0002__x000B__x0002__x0002__x0002_16 / Demand_x0001__x0002__x0002__x0002__x0002__x0002__x0002__x0002__x0002__x0002__x0002__x0002__x0002__x0002__x0002__x0002__x0002__x0002__x0002__x0002__x0003__x0002__x0002__x0002_C32_x0014__x0002__x0002__x0002_=RiskNormal($B$8,15)_x0011__x0002__x0002__x0002_17_x0001_B32_x0001_C15_x0001_Demand_x0001__x0002__x0002__x0002__x0002__x0004__x0002__x0002__x0002__x0002__x0011__x0002__x0002__x0002__x0001__x0002__x0002__x0002__x0014__x0002__x0002__x0002__x000B__x0002__x0002__x0002_17 / Demand_x0001__x0002__x0002__x0002__x0002__x0002__x0002__x0002__x0002__x0002__x0002__x0002__x0002__x0002__x0002__x0002__x0002__x0002__x0002__x0002__x0003__x0002__x0002__x0002_C33_x0014__x0002__x0002__x0002_=RiskNormal($B$8,15)_x0011__x0002__x0002__x0002_18_x0001_B33_x0001_C15_x0001_Demand_x0001__x0002__x0002__x0002__x0002__x0002__x0002__x0002__x0012__x0002__x0002__x0002__x0001__x0002__x0002__x0002__x0014__x0002__x0002__x0002__x000B__x0002__x0002__x0002_18 / Demand_x0001__x0002__x0002__x0002__x0002__x0002__x0002__x0002__x0002__x0002__x0002__x0002__x0002__x0002__x0002__x0002__x0002__x0002__x0002__x0002__x0003__x0002__x0002__x0002_C34_x0014__x0002__x0002__x0002_=RiskNormal($B$8,15)_x0011__x0002__x0002__x0002_19_x0001_B34_x0001_C15_x0001_Demand_x0001__x0002__x0002__x0002__x0002__x0002__x0002__x0002__x0013__x0002__x0002__x0002__x0001__x0002__x0002__x0002__x0014__x0002__x0002__x0002__x000B__x0002__x0002__x0002_19 / Demand_x0001__x0002__x0002__x0002__x0002__x0002__x0002__x0002__x0004__x0002__x0002__x0002__x0002__x0002__x0002__x0002__x0002__x0002__x0002__x0002__x0002__x0002__x0003__x0002__x0002__x0002_C35_x0014__x0002__x0002__x0002_=RiskNormal($B$8,15)_x0011__x0002__x0002__x0002_20_x0001_B35_x0001_C15_x0001_Demand_x0001__x0002__x0002__x0002__x0002__x0002__x0002__x0002__x0014__x0002__x0002__x0002__x0001__x0002__x0002__x0002__x0014__x0002__x0002__x0002__x000B__x0002__x0002__x0002_20 / Demand_x0001__x0002__x0002__x0002__x0002__x0002__x0002__x0002__x0002__x0002__x0002__x0002__x0002__x0002__x0002__x0002__x0002__x0002__x0002__x0002__x0003__x0002__x0002__x0002_C36_x0014__x0002__x0002__x0002_=RiskNormal($B$8,15)_x0011__x0002__x0002__x0002_21_x0001_B36_x0001_C15_x0001_Demand_x0001__x0002__x0002__x0002__x0002__x0002__x0002__x0002__x0015__x0002__x0002__x0002__x0001__x0002__x0002__x0002__x0014__x0002__x0002__x0002__x000B__x0002__x0002__x0002_21 / Demand_x0001__x0002__x0002__x0002__x0002__x0002__x0002__x0002__x0002__x0002__x0002__x0002__x0002__x0002__x0002__x0002__x0002__x0002__x0002__x0002__x0003__x0002__x0002__x0002_C37_x0014__x0002__x0002__x0002_=RiskNormal($B_x0002__x0004_$8,15)_x0011__x0002__x0002__x0002_22_x0001_B37_x0001_C15_x0001_Demand_x0001__x0002__x0002__x0002__x0002__x0002__x0002__x0002__x0016__x0002__x0002__x0002__x0001__x0002__x0002__x0002__x0014__x0002__x0002__x0002__x000B__x0002__x0002__x0002_22 / Demand_x0001__x0002__x0002__x0002__x0002__x0002__x0002__x0002__x0002__x0002__x0002__x0002__x0002__x0002__x0002__x0002__x0002__x0002__x0002__x0002__x0003__x0002__x0002__x0002_C38_x0014__x0002__x0002__x0002_=RiskNormal($B$8,15)_x0011__x0002__x0002__x0002_23_x0001_B38_x0001_C15_x0001_Demand_x0001__x0002__x0002__x0002__x0002__x0002__x0002__x0002__x0017__x0002__x0002__x0002__x0001__x0002__x0002__x0002__x0014__x0002__x0002__x0002__x000B__x0002__x0002__x0002_23 / Demand_x0001__x0002__x0002__x0002__x0002__x0002__x0002__x0002__x0002__x0002__x0002__x0002__x0002__x0002__x0002__x0002__x0002__x0002__x0002__x0002__x0003__x0002__x0002__x0002_C39_x0014__x0002__x0002__x0002_=RiskNormal($B$8,15)_x0011__x0002__x0002__x0002_24_x0001_B39_x0001_C15_x0001_Demand_x0001__x0002__x0002__x0002__x0002__x0002__x0002__x0002__x0018__x0002__x0002__x0002__x0004__x0002__x0001__x0002__x0002__x0002__x0014__x0002__x0002__x0002__x000B__x0002__x0002__x0002_24 / Demand_x0001__x0002__x0002__x0002__x0002__x0002__x0002__x0002__x0002__x0002__x0002__x0002__x0002__x0002__x0002__x0002__x0002__x0002__x0002__x0002__x0003__x0002__x0002__x0002_C40_x0014__x0002__x0002__x0002_=RiskNormal($B$8,15)_x0011__x0002__x0002__x0002_25_x0001_B40_x0001_C15_x0001_Demand_x0001__x0002__x0002__x0002__x0002__x0002__x0002__x0002__x0019__x0002__x0002__x0002__x0001__x0002__x0002__x0002__x0014__x0002__x0002__x0002__x000B__x0002__x0002__x0002_25 / Demand_x0001__x0002__x0002__x0002__x0002__x0002__x0002__x0002__x0002__x0002__x0002__x0002__x0002__x0002__x0002__x0002__x0002__x0002__x0002__x0002__x0003__x0002__x0002__x0002_C41_x0014__x0002__x0002__x0002_=RiskNormal($B$8,15)_x0011__x0002__x0002__x0002_26_x0001_B41_x0001_C15_x0001_Demand_x0001__x0002__x0002__x0002__x0002__x0002__x0002__x0002__x001A__x0002__x0002__x0002__x0001__x0002__x0002__x0002__x0014__x0002__x0002__x0002__x000B__x0002__x0002__x0002_26 / Demand_x0001__x0002__x0002__x0002__x0002__x0002__x0002__x0002__x0002__x0002__x0002__x0002__x0002__x0002__x0002__x0004__x0002__x0002__x0002__x0002__x0002__x0002__x0003__x0002__x0002__x0002_C42_x0014__x0002__x0002__x0002_=RiskNormal($B$8,15)_x0011__x0002__x0002__x0002_27_x0001_B42_x0001_C15_x0001_Demand_x0001__x0002__x0002__x0002__x0002__x0002__x0002__x0002__x001B__x0002__x0002__x0002__x0001__x0002__x0002__x0002__x0014__x0002__x0002__x0002__x000B__x0002__x0002__x0002_27 / Demand_x0001__x0002__x0002__x0002__x0002__x0002__x0002__x0002__x0002__x0002__x0002__x0002__x0002__x0002__x0002__x0002__x0002__x0002__x0002__x0002__x0003__x0002__x0002__x0002_C43_x0014__x0002__x0002__x0002_=RiskNormal($B$8,15)_x0011__x0002__x0002__x0002_28_x0001_B43_x0001_C15_x0001_Demand_x0001__x0002__x0002__x0002__x0002__x0002__x0002__x0002__x001C__x0002__x0002__x0002__x0001__x0002__x0002__x0002__x0014__x0002__x0002__x0002__x000B__x0002__x0002__x0002_28 / Demand_x0001__x0002__x0002__x0002__x0002__x0002__x0002__x0002__x0002__x0002__x0002__x0002__x0002__x0002__x0002__x0002__x0002__x0002__x0002__x0002__x0003__x0002__x0002__x0002_C44_x0014__x0002__x0002__x0002_=RiskNormal($B$8,15)_x0011__x0002__x0004__x0002__x0002__x0002_29_x0001_B44_x0001_C15_x0001_Demand_x0001__x0002__x0002__x0002__x0002__x0002__x0002__x0002__x001D__x0002__x0002__x0002__x0001__x0002__x0002__x0002__x0014__x0002__x0002__x0002__x000B__x0002__x0002__x0002_29 / Demand_x0001__x0002__x0002__x0002__x0002__x0002__x0002__x0002__x0002__x0002__x0002__x0002__x0002__x0002__x0002__x0002__x0002__x0002__x0002__x0002__x0003__x0002__x0002__x0002_C45_x0014__x0002__x0002__x0002_=RiskNormal($B$8,15)_x0011__x0002__x0002__x0002_30_x0001_B45_x0001_C15_x0001_Demand_x0001__x0002__x0002__x0002__x0002__x0002__x0002__x0002__x001E__x0002__x0002__x0002__x0001__x0002__x0002__x0002__x0014__x0002__x0002__x0002__x000B__x0002__x0002__x0002_30 / Demand_x0001__x0002__x0002__x0002__x0002__x0002__x0002__x0002__x0002__x0002__x0002__x0002__x0002__x0002__x0002__x0002__x0002__x0002__x0002__x0002__x0003__x0002__x0002__x0002_C46_x0014__x0002__x0002__x0002_=RiskNormal($B$8,15)_x0011__x0002__x0002__x0002_31_x0001_B46_x0001_C15_x0001_Demand_x0001__x0002__x0002__x0002__x0002__x0002__x0002__x0002__x001F__x0002__x0002__x0002__x0001__x0002__x0002__x0002__x0014__x0002__x0002__x0004__x0002__x0002__x000B__x0002__x0002__x0002_31 / Demand_x0001__x0002__x0002__x0002__x0002__x0002__x0002__x0002__x0002__x0002__x0002__x0002__x0002__x0002__x0002__x0002__x0002__x0002__x0002__x0002__x0003__x0002__x0002__x0002_C47_x0014__x0002__x0002__x0002_=RiskNormal($B$8,15)_x0011__x0002__x0002__x0002_32_x0001_B47_x0001_C15_x0001_Demand_x0001__x0002__x0002__x0002__x0002__x0002__x0002__x0002_ _x0002__x0002__x0002__x0001__x0002__x0002__x0002__x0014__x0002__x0002__x0002__x000B__x0002__x0002__x0002_32 / Demand_x0001__x0002__x0002__x0002__x0002__x0002__x0002__x0002__x0002__x0002__x0002__x0002__x0002__x0002__x0002__x0002__x0002__x0002__x0002__x0002__x0003__x0002__x0002__x0002_C48_x0014__x0002__x0002__x0002_=RiskNormal($B$8,15)_x0011__x0002__x0002__x0002_33_x0001_B48_x0001_C15_x0001_Demand_x0001__x0002__x0002__x0002__x0002__x0002__x0002__x0002_!_x0002__x0002__x0002__x0001__x0002__x0002__x0002__x0014__x0002__x0002__x0002__x000B__x0002__x0002__x0002_33 / Demand_x0001__x0002__x0002__x0002__x0002__x0002__x0002__x0002__x0002__x0002__x0002__x0002__x0002__x0002__x0002__x0002__x0002__x0002__x0002__x0002__x0003__x0002__x0004__x0002__x0002__x0002_C49_x0014__x0002__x0002__x0002_=RiskNormal($B$8,15)_x0011__x0002__x0002__x0002_34_x0001_B49_x0001_C15_x0001_Demand_x0001__x0002__x0002__x0002__x0002__x0002__x0002__x0002_"_x0002__x0002__x0002__x0001__x0002__x0002__x0002__x0014__x0002__x0002__x0002__x000B__x0002__x0002__x0002_34 / Demand_x0001__x0002__x0002__x0002__x0002__x0002__x0002__x0002__x0002__x0002__x0002__x0002__x0002__x0002__x0002__x0002__x0002__x0002__x0002__x0002__x0003__x0002__x0002__x0002_C50_x0014__x0002__x0002__x0002_=RiskNormal($B$8,15)_x0011__x0002__x0002__x0002_35_x0001_B50_x0001_C15_x0001_Demand_x0001__x0002__x0002__x0002__x0002__x0002__x0002__x0002_#_x0002__x0002__x0002__x0001__x0002__x0002__x0002__x0014__x0002__x0002__x0002__x000B__x0002__x0002__x0002_35 / Demand_x0001__x0002__x0002__x0002__x0002__x0002__x0002__x0002__x0002__x0002__x0002__x0002__x0002__x0002__x0002__x0002__x0002__x0002__x0002__x0002__x0003__x0002__x0002__x0002_C51_x0014__x0002__x0002__x0002_=RiskNormal($B$8,15)_x0011__x0002__x0002__x0002_36_x0001_B_x0002__x0004_51_x0001_C15_x0001_Demand_x0001__x0002__x0002__x0002__x0002__x0002__x0002__x0002_$_x0002__x0002__x0002__x0001__x0002__x0002__x0002__x0014__x0002__x0002__x0002__x000B__x0002__x0002__x0002_36 / Demand_x0001__x0002__x0002__x0002__x0002__x0002__x0002__x0002__x0002__x0002__x0002__x0002__x0002__x0002__x0002__x0002__x0002__x0002__x0002__x0002__x0003__x0002__x0002__x0002_C52_x0014__x0002__x0002__x0002_=RiskNormal($B$8,15)_x0011__x0002__x0002__x0002_37_x0001_B52_x0001_C15_x0001_Demand_x0001__x0002__x0002__x0002__x0002__x0002__x0002__x0002_%_x0002__x0002__x0002__x0001__x0002__x0002__x0002__x0014__x0002__x0002__x0002__x000B__x0002__x0002__x0002_37 / Demand_x0001__x0002__x0002__x0002__x0002__x0002__x0002__x0002__x0002__x0002__x0002__x0002__x0002__x0002__x0002__x0002__x0002__x0002__x0002__x0002__x0003__x0002__x0002__x0002_C53_x0014__x0002__x0002__x0002_=RiskNormal($B$8,15)_x0011__x0002__x0002__x0002_38_x0001_B53_x0001_C15_x0001_Demand_x0001__x0002__x0002__x0002__x0002__x0002__x0002__x0002_&amp;_x0002__x0002__x0002__x0001__x0002__x0002__x0002__x0014__x0002__x0002__x0002__x000B__x0002__x0002__x0002_3_x0002__x0004_8 / Demand_x0001__x0002__x0002__x0002__x0002__x0002__x0002__x0002__x0002__x0002__x0002__x0002__x0002__x0002__x0002__x0002__x0002__x0002__x0002__x0002__x0003__x0002__x0002__x0002_C54_x0014__x0002__x0002__x0002_=RiskNormal($B$8,15)_x0011__x0002__x0002__x0002_39_x0001_B54_x0001_C15_x0001_Demand_x0001__x0002__x0002__x0002__x0002__x0002__x0002__x0002_'_x0002__x0002__x0002__x0001__x0002__x0002__x0002__x0014__x0002__x0002__x0002__x000B__x0002__x0002__x0002_39 / Demand_x0001__x0002__x0002__x0002__x0002__x0002__x0002__x0002__x0002__x0002__x0002__x0002__x0002__x0002__x0002__x0002__x0002__x0002__x0002__x0002__x0003__x0002__x0002__x0002_C55_x0014__x0002__x0002__x0002_=RiskNormal($B$8,15)_x0011__x0002__x0002__x0002_40_x0001_B55_x0001_C15_x0001_Demand_x0001__x0002__x0002__x0002__x0002__x0002__x0002__x0002_(_x0002__x0002__x0002__x0001__x0002__x0002__x0002__x0014__x0002__x0002__x0002__x000B__x0002__x0002__x0002_40 / Demand_x0001__x0002__x0002__x0002__x0002__x0002__x0002__x0002__x0002__x0002__x0002__x0002__x0002__x0002__x0002__x0002__x0002__x0002__x0002__x0002__x0003__x0002__x0002__x0002_C56_x0014__x0002__x0004__x0002__x0002__x0002_=RiskNormal($B$8,15)_x0011__x0002__x0002__x0002_41_x0001_B56_x0001_C15_x0001_Demand_x0001__x0002__x0002__x0002__x0002__x0002__x0002__x0002_)_x0002__x0002__x0002__x0001__x0002__x0002__x0002__x0014__x0002__x0002__x0002__x000B__x0002__x0002__x0002_41 / Demand_x0001__x0002__x0002__x0002__x0002__x0002__x0002__x0002__x0002__x0002__x0002__x0002__x0002__x0002__x0002__x0002__x0002__x0002__x0002__x0002__x0003__x0002__x0002__x0002_C57_x0014__x0002__x0002__x0002_=RiskNormal($B$8,15)_x0011__x0002__x0002__x0002_42_x0001_B57_x0001_C15_x0001_Demand_x0001__x0002__x0002__x0002__x0002__x0002__x0002__x0002_*_x0002__x0002__x0002__x0001__x0002__x0002__x0002__x0014__x0002__x0002__x0002__x000B__x0002__x0002__x0002_42 / Demand_x0001__x0002__x0002__x0002__x0002__x0002__x0002__x0002__x0002__x0002__x0002__x0002__x0002__x0002__x0002__x0002__x0002__x0002__x0002__x0002__x0003__x0002__x0002__x0002_C58_x0014__x0002__x0002__x0002_=RiskNormal($B$8,15)_x0011__x0002__x0002__x0002_43_x0001_B58_x0001_C15_x0001__x0002__x0004_Demand_x0001__x0002__x0002__x0002__x0002__x0002__x0002__x0002_+_x0002__x0002__x0002__x0001__x0002__x0002__x0002__x0014__x0002__x0002__x0002__x000B__x0002__x0002__x0002_43 / Demand_x0001__x0002__x0002__x0002__x0002__x0002__x0002__x0002__x0002__x0002__x0002__x0002__x0002__x0002__x0002__x0002__x0002__x0002__x0002__x0002__x0003__x0002__x0002__x0002_C59_x0014__x0002__x0002__x0002_=RiskNormal($B$8,15)_x0011__x0002__x0002__x0002_44_x0001_B59_x0001_C15_x0001_Demand_x0001__x0002__x0002__x0002__x0002__x0002__x0002__x0002_,_x0002__x0002__x0002__x0001__x0002__x0002__x0002__x0014__x0002__x0002__x0002__x000B__x0002__x0002__x0002_44 / Demand_x0001__x0002__x0002__x0002__x0002__x0002__x0002__x0002__x0002__x0002__x0002__x0002__x0002__x0002__x0002__x0002__x0002__x0002__x0002__x0002__x0003__x0002__x0002__x0002_C60_x0014__x0002__x0002__x0002_=RiskNormal($B$8,15)_x0011__x0002__x0002__x0002_45_x0001_B60_x0001_C15_x0001_Demand_x0001__x0002__x0002__x0002__x0002__x0002__x0002__x0002_-_x0002__x0002__x0002__x0001__x0002__x0002__x0002__x0014__x0002__x0002__x0002__x000B__x0002__x0002__x0002_45 / Dem_x0002__x0004_and_x0001__x0002__x0002__x0002__x0002__x0002__x0002__x0002__x0002__x0002__x0002__x0002__x0002__x0002__x0002__x0002__x0002__x0002__x0002__x0002__x0003__x0002__x0002__x0002_C61_x0014__x0002__x0002__x0002_=RiskNormal($B$8,15)_x0011__x0002__x0002__x0002_46_x0001_B61_x0001_C15_x0001_Demand_x0001__x0002__x0002__x0002__x0002__x0002__x0002__x0002_._x0002__x0002__x0002__x0001__x0002__x0002__x0002__x0014__x0002__x0002__x0002__x000B__x0002__x0002__x0002_46 / Demand_x0001__x0002__x0002__x0002__x0002__x0002__x0002__x0002__x0002__x0002__x0002__x0002__x0002__x0002__x0002__x0002__x0002__x0002__x0002__x0002__x0003__x0002__x0002__x0002_C62_x0014__x0002__x0002__x0002_=RiskNormal($B$8,15)_x0011__x0002__x0002__x0002_47_x0001_B62_x0001_C15_x0001_Demand_x0001__x0002__x0002__x0002__x0002__x0002__x0002__x0002_/_x0002__x0002__x0002__x0001__x0002__x0002__x0002__x0014__x0002__x0002__x0002__x000B__x0002__x0002__x0002_47 / Demand_x0001__x0002__x0002__x0002__x0002__x0002__x0002__x0002__x0002__x0002__x0002__x0002__x0002__x0002__x0002__x0002__x0002__x0002__x0002__x0002__x0003__x0002__x0002__x0002_C63_x0014__x0002__x0002__x0002_=Ris_x0002__x0004_kNormal($B$8,15)_x0011__x0002__x0002__x0002_48_x0001_B63_x0001_C15_x0001_Demand_x0001__x0002__x0002__x0002__x0002__x0002__x0002__x0002_0_x0002__x0002__x0002__x0001__x0002__x0002__x0002__x0014__x0002__x0002__x0002__x000B__x0002__x0002__x0002_48 / Demand_x0001__x0002__x0002__x0002__x0002__x0002__x0002__x0002__x0002__x0002__x0002__x0002__x0002__x0002__x0002__x0002__x0002__x0002__x0002__x0002__x0003__x0002__x0002__x0002_C64_x0014__x0002__x0002__x0002_=RiskNormal($B$8,15)_x0011__x0002__x0002__x0002_49_x0001_B64_x0001_C15_x0001_Demand_x0001__x0002__x0002__x0002__x0002__x0002__x0002__x0002_1_x0002__x0002__x0002__x0001__x0002__x0002__x0002__x0014__x0002__x0002__x0002__x000B__x0002__x0002__x0002_49 / Demand_x0001__x0002__x0002__x0002__x0002__x0002__x0002__x0002__x0002__x0002__x0002__x0002__x0002__x0002__x0002__x0002__x0002__x0002__x0002__x0002__x0003__x0002__x0002__x0002_C65_x0014__x0002__x0002__x0002_=RiskNormal($B$8,15)_x0011__x0002__x0002__x0002_50_x0001_B65_x0001_C15_x0001_Demand_x0001__x0002__x0004__x0002__x0002__x0002__x0002__x0002__x0002__x0002_2_x0002__x0002__x0002__x0001__x0002__x0002__x0002__x0014__x0002__x0002__x0002__x000B__x0002__x0002__x0002_50 / Demand_x0001__x0002__x0002__x0002__x0002__x0002__x0002__x0002__x0002__x0002__x0002__x0002__x0002__x0002__x0002__x0002__x0002__x0002__x0002__x0002__x0003__x0002__x0002__x0002_C66_x0014__x0002__x0002__x0002_=RiskNormal($B$8,15)_x0011__x0002__x0002__x0002_51_x0001_B66_x0001_C15_x0001_Demand_x0001__x0002__x0002__x0002__x0002__x0002__x0002__x0002_3_x0002__x0002__x0002__x0001__x0002__x0002__x0002__x0014__x0002__x0002__x0002__x000B__x0002__x0002__x0002_51 / Demand_x0001__x0002__x0002__x0002__x0002__x0002__x0002__x0002__x0002__x0002__x0002__x0002__x0002__x0002__x0002__x0002__x0002__x0002__x0002__x0002__x0003__x0002__x0002__x0002_C67_x0014__x0002__x0002__x0002_=RiskNormal($B$8,15)_x0011__x0002__x0002__x0002_52_x0001_B67_x0001_C15_x0001_Demand_x0001__x0002__x0002__x0002__x0002__x0002__x0002__x0002_4_x0002__x0002__x0002__x0001__x0002__x0002__x0002__x0014__x0002__x0002__x0002__x000B__x0002__x0002__x0002_52 / Demand_x0001__x0002__x0002__x0002__x0002__x0003__x0002__x0002__x0002__x0002__x0002__x0002__x0002__x0002__x0002__x0002__x0002__x0002__x0002__x0002__x0002__x0002__x0002__x0002__x0002__x0002__x0001__x0002__x0002__x0002__x0005__x0002__x0002__x0002_Sim 1_x0002__x0002__x0002__x0002__x0002__x0002__x0008__x0002__x0002__x0002_G6JQW9SS_x0001__x0002__x0002__x0002__x000B__x0002__x0002__x0002_3_x0002__x0002_ÿÿÿÿÿð_x0002__x0002__x0001__x0002__x0002_c_x0001__x0002__x0002_2L6MYXVUVZWCL9DKIEGX1YXM_x0002__x0002__x0002_ÿÿÿÿ_x0002__x0002_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</t>
  </si>
  <si>
    <t>12be34c9765bb9557d7f3f27ac7094fe_x0002__x0004_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_x0002__x0002_ÿÿÿÿ _x0001__x0002__x0002_ _x0002__x0002__x0002_ÏÃXÐo Ú_x0001_ý_²_x000D_G¼Ú_x0001_n_x000E_G¼Ú_x0001__x0010_'_x0002__x0002_é_x0017__x0002__x0002__x0002__x0003__x0002__x0002__x0010__x0001__x0002__x0002__x0002__x0002__x000E__x0002__x0002_problem 4.xlsx_x0018__x0002__x0002__x0002_2L6MY_x0002__x0003_XVUVZWCL9DKIEGX1YXM_x0001__x0002__x0002__x0002__x0002__x0007__x0002__x0002_part(a)6_x0002__x0002__x0002__x0002__x0007__x0002__x0002__x0002__x0001__x0002__x001D__x0002__x0002_=ROUND(@RiskNormal(120,15),0)%_x0002__x0002_Average weekly demand (in units)_x0001_A8_x0001__x0001__x0002__x0001__x0002__x0002__x0002__x0002__x0002__x0002__x0002__x0002__x0008__x0002__x0002__x0002__x001A__x0002__x0002__x0002__x0002__x0002__x0002__x0001__x0002_ÿÿÿÿ_x0002__x0002__x0002__x0002__x0002__x0002__x0002__x0002__x0002__x0002__x0002__x0002__x0002__x0002__x0002__x0002__x0002__x000C__x0002__x0002__x0002__x0001__x0002__x001E__x0002__x0002_=RiskOutput()+AVERAGE(I16:I67)_x0012__x0002__x0002_Average Cost_x0001_A13_x0001__x0001__x0002__x0002__x0002__x0002__x0002__x0001__x0002__x0002__x0002__x0002__x0002__x0002__x0002__x0002__x0001__x0002__x0002__x0002__x000D__x0002__x0002__x0003__x0004__x0003__x0003__x0003__x0003__x0003__x0003__x0003__x0003__x0003__x0003__x0003__x0003__x0003__x0001_ÿÿÿÿÿÿÿÿÿÿÿÿÿÿÿÿÿÿÿÿÿÿÿÿÿÿÿÿÿÿÿÿÿÿÿÿÿÿÿÿÿÿ_x0003_ÿÿ_x0003__x000F__x0003__x0003__x0003__x0002__x0003__x0014__x0003__x0003_=RiskNormal($B$8,15)_x0010__x0003__x0003_1_x0001_B16_x0001_C15_x0001_Demand_x0003__x0001__x0003__x0003__x0003__x0003__x0001__x0003__x0003__x0003__x0001__x0003__x0003__x0003__x0014__x0003__x0003__x0003__x0003__x0003__x0003__x0001__x0003_ÿÿÿÿ_x0003__x0003__x0003__x0003__x0003__x0003__x0003__x0003__x0003__x0003__x0003__x0003__x0003__x0003__x0003__x0003__x0003__x0010__x0003__x0003__x0003__x0002__x0003__x0014__x0003__x0003_=RiskNormal($B$8,15)_x0010__x0003__x0003_2_x0001_B17_x0001_C15_x0001_Demand_x0003__x0001__x0003__x0003__x0003__x0003__x0002__x0003__x0003__x0003__x0001__x0003__x0003__x0003__x0014__x0003__x0003__x0003__x0003__x0003__x0003__x0001__x0003_ÿÿÿÿ_x0003__x0003__x0003__x0003__x0003__x0003__x0003__x0003__x0003__x0003__x0005__x0006__x0005__x0005__x0005__x0005__x0005__x0005__x0005__x0011__x0005__x0005__x0005__x0002__x0005__x0014__x0005__x0005_=RiskNormal($B$8,15)_x0010__x0005__x0005_3_x0001_B18_x0001_C15_x0001_Demand_x0005__x0001__x0005__x0005__x0005__x0005__x0003__x0005__x0005__x0005__x0001__x0005__x0005__x0005__x0014__x0005__x0005__x0005__x0005__x0005__x0005__x0001__x0005_ÿÿÿÿ_x0005__x0005__x0005__x0005__x0005__x0005__x0005__x0005__x0005__x0005__x0005__x0005__x0005__x0005__x0005__x0005__x0005__x0012__x0005__x0005__x0005__x0002__x0005__x0014__x0005__x0005_=RiskNormal($B$8,15)_x0010__x0005__x0005_4_x0001_B19_x0001_C15_x0001_Demand_x0005__x0001__x0005__x0005__x0005__x0005__x0004__x0005__x0005__x0005__x0001__x0005__x0005__x0005__x0014__x0005__x0005__x0005__x0005__x0005__x0005__x0001__x0005_ÿÿÿÿ_x0005__x0005__x0005__x0005__x0005__x0005__x0005__x0005__x0005__x0005__x0005__x0005__x0005__x0005__x0005__x0005__x0005__x0013__x0005__x0005__x0005__x0002__x0005__x0014__x0005__x0005_=RiskNormal($B$8,15)_x0010__x0005__x0005_5_x0001_B20_x0001_C15_x0001_De_x0003__x0004_mand_x0003__x0001__x0003__x0003__x0003__x0003__x0005__x0003__x0003__x0003__x0001__x0003__x0003__x0003__x0014__x0003__x0003__x0003__x0003__x0003__x0003__x0001__x0003_ÿÿÿÿ_x0003__x0003__x0003__x0003__x0003__x0003__x0003__x0003__x0003__x0003__x0003__x0003__x0003__x0003__x0003__x0003__x0003__x0014__x0003__x0003__x0003__x0002__x0003__x0014__x0003__x0003_=RiskNormal($B$8,15)_x0010__x0003__x0003_6_x0001_B21_x0001_C15_x0001_Demand_x0003__x0001__x0003__x0003__x0003__x0003__x0006__x0003__x0003__x0003__x0001__x0003__x0003__x0003__x0014__x0003__x0003__x0003__x0003__x0003__x0003__x0001__x0003_ÿÿÿÿ_x0003__x0003__x0003__x0003__x0003__x0003__x0003__x0003__x0003__x0003__x0003__x0003__x0003__x0003__x0003__x0003__x0003__x0015__x0003__x0003__x0003__x0002__x0003__x0014__x0003__x0003_=RiskNormal($B$8,15)_x0010__x0003__x0003_7_x0001_B22_x0001_C15_x0001_Demand_x0003__x0001__x0003__x0003__x0003__x0003__x0007__x0003__x0003__x0003__x0001__x0003__x0003__x0003__x0014__x0003__x0003__x0003__x0003__x0003__x0003__x0001__x0003_ÿÿÿÿ_x0003__x0003__x0003__x0003__x0003__x0003__x0003__x0003__x0003__x0003__x0003__x0003__x0003__x0003__x0003__x0003__x0003__x0016__x0003__x0004__x0003__x0003__x0003__x0002__x0003__x0014__x0003__x0003_=RiskNormal($B$8,15)_x0010__x0003__x0003_8_x0001_B23_x0001_C15_x0001_Demand_x0003__x0001__x0003__x0003__x0003__x0003__x0008__x0003__x0003__x0003__x0001__x0003__x0003__x0003__x0014__x0003__x0003__x0003__x0003__x0003__x0003__x0001__x0003_ÿÿÿÿ_x0003__x0003__x0003__x0003__x0003__x0003__x0003__x0003__x0003__x0003__x0003__x0003__x0003__x0003__x0003__x0003__x0003__x0017__x0003__x0003__x0003__x0002__x0003__x0014__x0003__x0003_=RiskNormal($B$8,15)_x0010__x0003__x0003_9_x0001_B24_x0001_C15_x0001_Demand_x0003__x0001__x0003__x0003__x0003__x0003_	_x0003__x0003__x0003__x0001__x0003__x0003__x0003__x0014__x0003__x0003__x0003__x0003__x0003__x0003__x0001__x0003_ÿÿÿÿ_x0003__x0003__x0003__x0003__x0003__x0003__x0003__x0003__x0003__x0003__x0003__x0003__x0003__x0003__x0003__x0003__x0003__x0018__x0003__x0003__x0003__x0002__x0003__x0014__x0003__x0003_=RiskNormal($B$8,15)_x0011__x0003__x0003_10_x0001_B25_x0001_C15_x0001_Demand_x0003__x0001__x0003__x0003__x0003__x0004__x0003__x0003__x0004__x0003__x0003__x0003__x0001__x0003__x0003__x0003__x0014__x0003__x0003__x0003__x0003__x0003__x0003__x0001__x0003_ÿÿÿÿ_x0003__x0003__x0003__x0003__x0003__x0003__x0003__x0003__x0003__x0003__x0003__x0003__x0003__x0003__x0003__x0003__x0003__x0019__x0003__x0003__x0003__x0002__x0003__x0014__x0003__x0003_=RiskNormal($B$8,15)_x0011__x0003__x0003_11_x0001_B26_x0001_C15_x0001_Demand_x0003__x0001__x0003__x0003__x0003__x0003__x000B__x0003__x0003__x0003__x0001__x0003__x0003__x0003__x0014__x0003__x0003__x0003__x0003__x0003__x0003__x0001__x0003_ÿÿÿÿ_x0003__x0003__x0003__x0003__x0003__x0003__x0003__x0003__x0003__x0003__x0003__x0003__x0003__x0003__x0003__x0003__x0003__x001A__x0003__x0003__x0003__x0002__x0003__x0014__x0003__x0003_=RiskNormal($B$8,15)_x0011__x0003__x0003_12_x0001_B27_x0001_C15_x0001_Demand_x0003__x0001__x0003__x0003__x0003__x0003__x000C__x0003__x0003__x0003__x0001__x0003__x0003__x0003__x0014__x0003__x0003__x0003__x0003__x0003__x0003__x0001__x0003_ÿÿÿÿ_x0003__x0003__x0003__x0003__x0003__x0003__x0003__x0003__x0003__x0003__x0003__x0003__x0003__x0003__x0003__x0003__x0003__x001B__x0003__x0003__x0003__x0002__x0003__x0014__x0003__x0004__x0003__x0003_=RiskNormal($B$8,15)_x0011__x0003__x0003_13_x0001_B28_x0001_C15_x0001_Demand_x0003__x0001__x0003__x0003__x0003__x0003__x000D__x0003__x0003__x0003__x0001__x0003__x0003__x0003__x0014__x0003__x0003__x0003__x0003__x0003__x0003__x0001__x0003_ÿÿÿÿ_x0003__x0003__x0003__x0003__x0003__x0003__x0003__x0003__x0003__x0003__x0003__x0003__x0003__x0003__x0003__x0003__x0003__x001C__x0003__x0003__x0003__x0002__x0003__x0014__x0003__x0003_=RiskNormal($B$8,15)_x0011__x0003__x0003_14_x0001_B29_x0001_C15_x0001_Demand_x0003__x0001__x0003__x0003__x0003__x0003__x000E__x0003__x0003__x0003__x0001__x0003__x0003__x0003__x0014__x0003__x0003__x0003__x0003__x0003__x0003__x0001__x0003_ÿÿÿÿ_x0003__x0003__x0003__x0003__x0003__x0003__x0003__x0003__x0003__x0003__x0003__x0003__x0003__x0003__x0003__x0003__x0003__x001D__x0003__x0003__x0003__x0002__x0003__x0014__x0003__x0003_=RiskNormal($B$8,15)_x0011__x0003__x0003_15_x0001_B30_x0001_C15_x0001_Demand_x0003__x0001__x0003__x0003__x0003__x0003__x000F__x0003__x0003__x0004__x0003__x0003__x0001__x0003__x0003__x0003__x0014__x0003__x0003__x0003__x0003__x0003__x0003__x0001__x0003_ÿÿÿÿ_x0003__x0003__x0003__x0003__x0003__x0003__x0003__x0003__x0003__x0003__x0003__x0003__x0003__x0003__x0003__x0003__x0003__x001E__x0003__x0003__x0003__x0002__x0003__x0014__x0003__x0003_=RiskNormal($B$8,15)_x0011__x0003__x0003_16_x0001_B31_x0001_C15_x0001_Demand_x0003__x0001__x0003__x0003__x0003__x0003__x0010__x0003__x0003__x0003__x0001__x0003__x0003__x0003__x0014__x0003__x0003__x0003__x0003__x0003__x0003__x0001__x0003_ÿÿÿÿ_x0003__x0003__x0003__x0003__x0003__x0003__x0003__x0003__x0003__x0003__x0003__x0003__x0003__x0003__x0003__x0003__x0003__x001F__x0003__x0003__x0003__x0002__x0003__x0014__x0003__x0003_=RiskNormal($B$8,15)_x0011__x0003__x0003_17_x0001_B32_x0001_C15_x0001_Demand_x0003__x0001__x0003__x0003__x0003__x0003__x0011__x0003__x0003__x0003__x0001__x0003__x0003__x0003__x0014__x0003__x0003__x0003__x0003__x0003__x0003__x0001__x0003_ÿÿÿÿ_x0003__x0003__x0003__x0003__x0003__x0003__x0003__x0003__x0003__x0003__x0003__x0003__x0003__x0003__x0003__x0003__x0003_ _x0003__x0003__x0003__x0002__x0003__x0014__x0003__x0003_=_x0003__x0004_RiskNormal($B$8,15)_x0011__x0003__x0003_18_x0001_B33_x0001_C15_x0001_Demand_x0003__x0001__x0003__x0003__x0003__x0003__x0012__x0003__x0003__x0003__x0001__x0003__x0003__x0003__x0014__x0003__x0003__x0003__x0003__x0003__x0003__x0001__x0003_ÿÿÿÿ_x0003__x0003__x0003__x0003__x0003__x0003__x0003__x0003__x0003__x0003__x0003__x0003__x0003__x0003__x0003__x0003__x0003_!_x0003__x0003__x0003__x0002__x0003__x0014__x0003__x0003_=RiskNormal($B$8,15)_x0011__x0003__x0003_19_x0001_B34_x0001_C15_x0001_Demand_x0003__x0001__x0003__x0003__x0003__x0003__x0013__x0003__x0003__x0003__x0001__x0003__x0003__x0003__x0014__x0003__x0003__x0003__x0003__x0003__x0003__x0001__x0003_ÿÿÿÿ_x0003__x0003__x0003__x0003__x0003__x0003__x0003__x0003__x0003__x0003__x0003__x0003__x0003__x0003__x0003__x0003__x0003_"_x0003__x0003__x0003__x0002__x0003__x0014__x0003__x0003_=RiskNormal($B$8,15)_x0011__x0003__x0003_20_x0001_B35_x0001_C15_x0001_Demand_x0003__x0001__x0003__x0003__x0003__x0003__x0014__x0003__x0003__x0003__x0001__x0003__x0003__x0004__x0003__x0003__x0014__x0003__x0003__x0003__x0003__x0003__x0003__x0001__x0003_ÿÿÿÿ_x0003__x0003__x0003__x0003__x0003__x0003__x0003__x0003__x0003__x0003__x0003__x0003__x0003__x0003__x0003__x0003__x0003_#_x0003__x0003__x0003__x0002__x0003__x0014__x0003__x0003_=RiskNormal($B$8,15)_x0011__x0003__x0003_21_x0001_B36_x0001_C15_x0001_Demand_x0003__x0001__x0003__x0003__x0003__x0003__x0015__x0003__x0003__x0003__x0001__x0003__x0003__x0003__x0014__x0003__x0003__x0003__x0003__x0003__x0003__x0001__x0003_ÿÿÿÿ_x0003__x0003__x0003__x0003__x0003__x0003__x0003__x0003__x0003__x0003__x0003__x0003__x0003__x0003__x0003__x0003__x0003_$_x0003__x0003__x0003__x0002__x0003__x0014__x0003__x0003_=RiskNormal($B$8,15)_x0011__x0003__x0003_22_x0001_B37_x0001_C15_x0001_Demand_x0003__x0001__x0003__x0003__x0003__x0003__x0016__x0003__x0003__x0003__x0001__x0003__x0003__x0003__x0014__x0003__x0003__x0003__x0003__x0003__x0003__x0001__x0003_ÿÿÿÿ_x0003__x0003__x0003__x0003__x0003__x0003__x0003__x0003__x0003__x0003__x0003__x0003__x0003__x0003__x0003__x0003__x0003_%_x0003__x0003__x0003__x0002__x0003__x0014__x0003__x0003_=Risk_x0003__x0004_Normal($B$8,15)_x0011__x0003__x0003_23_x0001_B38_x0001_C15_x0001_Demand_x0003__x0001__x0003__x0003__x0003__x0003__x0017__x0003__x0003__x0003__x0001__x0003__x0003__x0003__x0014__x0003__x0003__x0003__x0003__x0003__x0003__x0001__x0003_ÿÿÿÿ_x0003__x0003__x0003__x0003__x0003__x0003__x0003__x0003__x0003__x0003__x0003__x0003__x0003__x0003__x0003__x0003__x0003_&amp;_x0003__x0003__x0003__x0002__x0003__x0014__x0003__x0003_=RiskNormal($B$8,15)_x0011__x0003__x0003_24_x0001_B39_x0001_C15_x0001_Demand_x0003__x0001__x0003__x0003__x0003__x0003__x0018__x0003__x0003__x0003__x0001__x0003__x0003__x0003__x0014__x0003__x0003__x0003__x0003__x0003__x0003__x0001__x0003_ÿÿÿÿ_x0003__x0003__x0003__x0003__x0003__x0003__x0003__x0003__x0003__x0003__x0003__x0003__x0003__x0003__x0003__x0003__x0003_'_x0003__x0003__x0003__x0002__x0003__x0014__x0003__x0003_=RiskNormal($B$8,15)_x0011__x0003__x0003_25_x0001_B40_x0001_C15_x0001_Demand_x0003__x0001__x0003__x0003__x0003__x0003__x0019__x0003__x0003__x0003__x0001__x0003__x0003__x0003__x0014__x0003__x0003__x0004__x0003__x0003__x0003__x0003__x0003__x0001__x0003_ÿÿÿÿ_x0003__x0003__x0003__x0003__x0003__x0003__x0003__x0003__x0003__x0003__x0003__x0003__x0003__x0003__x0003__x0003__x0003_(_x0003__x0003__x0003__x0002__x0003__x0014__x0003__x0003_=RiskNormal($B$8,15)_x0011__x0003__x0003_26_x0001_B41_x0001_C15_x0001_Demand_x0003__x0001__x0003__x0003__x0003__x0003__x001A__x0003__x0003__x0003__x0001__x0003__x0003__x0003__x0014__x0003__x0003__x0003__x0003__x0003__x0003__x0001__x0003_ÿÿÿÿ_x0003__x0003__x0003__x0003__x0003__x0003__x0003__x0003__x0003__x0003__x0003__x0003__x0003__x0003__x0003__x0003__x0003_)_x0003__x0003__x0003__x0002__x0003__x0014__x0003__x0003_=RiskNormal($B$8,15)_x0011__x0003__x0003_27_x0001_B42_x0001_C15_x0001_Demand_x0003__x0001__x0003__x0003__x0003__x0003__x001B__x0003__x0003__x0003__x0001__x0003__x0003__x0003__x0014__x0003__x0003__x0003__x0003__x0003__x0003__x0001__x0003_ÿÿÿÿ_x0003__x0003__x0003__x0003__x0003__x0003__x0003__x0003__x0003__x0003__x0003__x0003__x0003__x0003__x0003__x0003__x0003_*_x0003__x0003__x0003__x0002__x0003__x0014__x0003__x0003_=RiskNorm_x0003__x0004_al($B$8,15)_x0011__x0003__x0003_28_x0001_B43_x0001_C15_x0001_Demand_x0003__x0001__x0003__x0003__x0003__x0003__x001C__x0003__x0003__x0003__x0001__x0003__x0003__x0003__x0014__x0003__x0003__x0003__x0003__x0003__x0003__x0001__x0003_ÿÿÿÿ_x0003__x0003__x0003__x0003__x0003__x0003__x0003__x0003__x0003__x0003__x0003__x0003__x0003__x0003__x0003__x0003__x0003_+_x0003__x0003__x0003__x0002__x0003__x0014__x0003__x0003_=RiskNormal($B$8,15)_x0011__x0003__x0003_29_x0001_B44_x0001_C15_x0001_Demand_x0003__x0001__x0003__x0003__x0003__x0003__x001D__x0003__x0003__x0003__x0001__x0003__x0003__x0003__x0014__x0003__x0003__x0003__x0003__x0003__x0003__x0001__x0003_ÿÿÿÿ_x0003__x0003__x0003__x0003__x0003__x0003__x0003__x0003__x0003__x0003__x0003__x0003__x0003__x0003__x0003__x0003__x0003_,_x0003__x0003__x0003__x0002__x0003__x0014__x0003__x0003_=RiskNormal($B$8,15)_x0011__x0003__x0003_30_x0001_B45_x0001_C15_x0001_Demand_x0003__x0001__x0003__x0003__x0003__x0003__x001E__x0003__x0003__x0003__x0001__x0003__x0003__x0003__x0014__x0003__x0003__x0003__x0003__x0003__x0003__x0004__x0003__x0001__x0003_ÿÿÿÿ_x0003__x0003__x0003__x0003__x0003__x0003__x0003__x0003__x0003__x0003__x0003__x0003__x0003__x0003__x0003__x0003__x0003_-_x0003__x0003__x0003__x0002__x0003__x0014__x0003__x0003_=RiskNormal($B$8,15)_x0011__x0003__x0003_31_x0001_B46_x0001_C15_x0001_Demand_x0003__x0001__x0003__x0003__x0003__x0003__x001F__x0003__x0003__x0003__x0001__x0003__x0003__x0003__x0014__x0003__x0003__x0003__x0003__x0003__x0003__x0001__x0003_ÿÿÿÿ_x0003__x0003__x0003__x0003__x0003__x0003__x0003__x0003__x0003__x0003__x0003__x0003__x0003__x0003__x0003__x0003__x0003_._x0003__x0003__x0003__x0002__x0003__x0014__x0003__x0003_=RiskNormal($B$8,15)_x0011__x0003__x0003_32_x0001_B47_x0001_C15_x0001_Demand_x0003__x0001__x0003__x0003__x0003__x0003_ _x0003__x0003__x0003__x0001__x0003__x0003__x0003__x0014__x0003__x0003__x0003__x0003__x0003__x0003__x0001__x0003_ÿÿÿÿ_x0003__x0003__x0003__x0003__x0003__x0003__x0003__x0003__x0003__x0003__x0003__x0003__x0003__x0003__x0003__x0003__x0003_/_x0003__x0003__x0003__x0002__x0003__x0014__x0003__x0003_=RiskNormal($_x0003__x0004_B$8,15)_x0011__x0003__x0003_33_x0001_B48_x0001_C15_x0001_Demand_x0003__x0001__x0003__x0003__x0003__x0003_!_x0003__x0003__x0003__x0001__x0003__x0003__x0003__x0014__x0003__x0003__x0003__x0003__x0003__x0003__x0001__x0003_ÿÿÿÿ_x0003__x0003__x0003__x0003__x0003__x0003__x0003__x0003__x0003__x0003__x0003__x0003__x0003__x0003__x0003__x0003__x0003_0_x0003__x0003__x0003__x0002__x0003__x0014__x0003__x0003_=RiskNormal($B$8,15)_x0011__x0003__x0003_34_x0001_B49_x0001_C15_x0001_Demand_x0003__x0001__x0003__x0003__x0003__x0003_"_x0003__x0003__x0003__x0001__x0003__x0003__x0003__x0014__x0003__x0003__x0003__x0003__x0003__x0003__x0001__x0003_ÿÿÿÿ_x0003__x0003__x0003__x0003__x0003__x0003__x0003__x0003__x0003__x0003__x0003__x0003__x0003__x0003__x0003__x0003__x0003_1_x0003__x0003__x0003__x0002__x0003__x0014__x0003__x0003_=RiskNormal($B$8,15)_x0011__x0003__x0003_35_x0001_B50_x0001_C15_x0001_Demand_x0003__x0001__x0003__x0003__x0003__x0003_#_x0003__x0003__x0003__x0001__x0003__x0003__x0003__x0014__x0003__x0003__x0003__x0003__x0003__x0003__x0001__x0003__x0003__x0004_ÿÿÿÿ_x0003__x0003__x0003__x0003__x0003__x0003__x0003__x0003__x0003__x0003__x0003__x0003__x0003__x0003__x0003__x0003__x0003_2_x0003__x0003__x0003__x0002__x0003__x0014__x0003__x0003_=RiskNormal($B$8,15)_x0011__x0003__x0003_36_x0001_B51_x0001_C15_x0001_Demand_x0003__x0001__x0003__x0003__x0003__x0003_$_x0003__x0003__x0003__x0001__x0003__x0003__x0003__x0014__x0003__x0003__x0003__x0003__x0003__x0003__x0001__x0003_ÿÿÿÿ_x0003__x0003__x0003__x0003__x0003__x0003__x0003__x0003__x0003__x0003__x0003__x0003__x0003__x0003__x0003__x0003__x0003_3_x0003__x0003__x0003__x0002__x0003__x0014__x0003__x0003_=RiskNormal($B$8,15)_x0011__x0003__x0003_37_x0001_B52_x0001_C15_x0001_Demand_x0003__x0001__x0003__x0003__x0003__x0003_%_x0003__x0003__x0003__x0001__x0003__x0003__x0003__x0014__x0003__x0003__x0003__x0003__x0003__x0003__x0001__x0003_ÿÿÿÿ_x0003__x0003__x0003__x0003__x0003__x0003__x0003__x0003__x0003__x0003__x0003__x0003__x0003__x0003__x0003__x0003__x0003_4_x0003__x0003__x0003__x0002__x0003__x0014__x0003__x0003_=RiskNormal($B$8,_x0003__x0004_15)_x0011__x0003__x0003_38_x0001_B53_x0001_C15_x0001_Demand_x0003__x0001__x0003__x0003__x0003__x0003_&amp;_x0003__x0003__x0003__x0001__x0003__x0003__x0003__x0014__x0003__x0003__x0003__x0003__x0003__x0003__x0001__x0003_ÿÿÿÿ_x0003__x0003__x0003__x0003__x0003__x0003__x0003__x0003__x0003__x0003__x0003__x0003__x0003__x0003__x0003__x0003__x0003_5_x0003__x0003__x0003__x0002__x0003__x0014__x0003__x0003_=RiskNormal($B$8,15)_x0011__x0003__x0003_39_x0001_B54_x0001_C15_x0001_Demand_x0003__x0001__x0003__x0003__x0003__x0003_'_x0003__x0003__x0003__x0001__x0003__x0003__x0003__x0014__x0003__x0003__x0003__x0003__x0003__x0003__x0001__x0003_ÿÿÿÿ_x0003__x0003__x0003__x0003__x0003__x0003__x0003__x0003__x0003__x0003__x0003__x0003__x0003__x0003__x0003__x0003__x0003_6_x0003__x0003__x0003__x0002__x0003__x0014__x0003__x0003_=RiskNormal($B$8,15)_x0011__x0003__x0003_40_x0001_B55_x0001_C15_x0001_Demand_x0003__x0001__x0003__x0003__x0003__x0003_(_x0003__x0003__x0003__x0001__x0003__x0003__x0003__x0014__x0003__x0003__x0003__x0003__x0003__x0003__x0001__x0003_ÿÿÿÿ_x0003__x0004__x0003__x0003__x0003__x0003__x0003__x0003__x0003__x0003__x0003__x0003__x0003__x0003__x0003__x0003__x0003__x0003__x0003_7_x0003__x0003__x0003__x0002__x0003__x0014__x0003__x0003_=RiskNormal($B$8,15)_x0011__x0003__x0003_41_x0001_B56_x0001_C15_x0001_Demand_x0003__x0001__x0003__x0003__x0003__x0003_)_x0003__x0003__x0003__x0001__x0003__x0003__x0003__x0014__x0003__x0003__x0003__x0003__x0003__x0003__x0001__x0003_ÿÿÿÿ_x0003__x0003__x0003__x0003__x0003__x0003__x0003__x0003__x0003__x0003__x0003__x0003__x0003__x0003__x0003__x0003__x0003_8_x0003__x0003__x0003__x0002__x0003__x0014__x0003__x0003_=RiskNormal($B$8,15)_x0011__x0003__x0003_42_x0001_B57_x0001_C15_x0001_Demand_x0003__x0001__x0003__x0003__x0003__x0003_*_x0003__x0003__x0003__x0001__x0003__x0003__x0003__x0014__x0003__x0003__x0003__x0003__x0003__x0003__x0001__x0003_ÿÿÿÿ_x0003__x0003__x0003__x0003__x0003__x0003__x0003__x0003__x0003__x0003__x0003__x0003__x0003__x0003__x0003__x0003__x0003_9_x0003__x0003__x0003__x0002__x0003__x0014__x0003__x0003_=RiskNormal($B$8,15)_x0011__x0003__x0004__x0003__x0003_43_x0001_B58_x0001_C15_x0001_Demand_x0003__x0001__x0003__x0003__x0003__x0003_+_x0003__x0003__x0003__x0001__x0003__x0003__x0003__x0014__x0003__x0003__x0003__x0003__x0003__x0003__x0001__x0003_ÿÿÿÿ_x0003__x0003__x0003__x0003__x0003__x0003__x0003__x0003__x0003__x0003__x0003__x0003__x0003__x0003__x0003__x0003__x0003_:_x0003__x0003__x0003__x0002__x0003__x0014__x0003__x0003_=RiskNormal($B$8,15)_x0011__x0003__x0003_44_x0001_B59_x0001_C15_x0001_Demand_x0003__x0001__x0003__x0003__x0003__x0003_,_x0003__x0003__x0003__x0001__x0003__x0003__x0003__x0014__x0003__x0003__x0003__x0003__x0003__x0003__x0001__x0003_ÿÿÿÿ_x0003__x0003__x0003__x0003__x0003__x0003__x0003__x0003__x0003__x0003__x0003__x0003__x0003__x0003__x0003__x0003__x0003_;_x0003__x0003__x0003__x0002__x0003__x0014__x0003__x0003_=RiskNormal($B$8,15)_x0011__x0003__x0003_45_x0001_B60_x0001_C15_x0001_Demand_x0003__x0001__x0003__x0003__x0003__x0003_-_x0003__x0003__x0003__x0001__x0003__x0003__x0003__x0014__x0003__x0003__x0003__x0003__x0003__x0003__x0001__x0003_ÿÿÿÿ_x0003__x0003__x0003__x0003__x0004__x0003__x0003__x0003__x0003__x0003__x0003__x0003__x0003__x0003__x0003__x0003__x0003__x0003__x0003_&lt;_x0003__x0003__x0003__x0002__x0003__x0014__x0003__x0003_=RiskNormal($B$8,15)_x0011__x0003__x0003_46_x0001_B61_x0001_C15_x0001_Demand_x0003__x0001__x0003__x0003__x0003__x0003_._x0003__x0003__x0003__x0001__x0003__x0003__x0003__x0014__x0003__x0003__x0003__x0003__x0003__x0003__x0001__x0003_ÿÿÿÿ_x0003__x0003__x0003__x0003__x0003__x0003__x0003__x0003__x0003__x0003__x0003__x0003__x0003__x0003__x0003__x0003__x0003_=_x0003__x0003__x0003__x0002__x0003__x0014__x0003__x0003_=RiskNormal($B$8,15)_x0011__x0003__x0003_47_x0001_B62_x0001_C15_x0001_Demand_x0003__x0001__x0003__x0003__x0003__x0003_/_x0003__x0003__x0003__x0001__x0003__x0003__x0003__x0014__x0003__x0003__x0003__x0003__x0003__x0003__x0001__x0003_ÿÿÿÿ_x0003__x0003__x0003__x0003__x0003__x0003__x0003__x0003__x0003__x0003__x0003__x0003__x0003__x0003__x0003__x0003__x0003_&gt;_x0003__x0003__x0003__x0002__x0003__x0014__x0003__x0003_=RiskNormal($B$8,15)_x0011__x0003__x0003_4_x0003__x0004_8_x0001_B63_x0001_C15_x0001_Demand_x0003__x0001__x0003__x0003__x0003__x0003_0_x0003__x0003__x0003__x0001__x0003__x0003__x0003__x0014__x0003__x0003__x0003__x0003__x0003__x0003__x0001__x0003_ÿÿÿÿ_x0003__x0003__x0003__x0003__x0003__x0003__x0003__x0003__x0003__x0003__x0003__x0003__x0003__x0003__x0003__x0003__x0003_?_x0003__x0003__x0003__x0002__x0003__x0014__x0003__x0003_=RiskNormal($B$8,15)_x0011__x0003__x0003_49_x0001_B64_x0001_C15_x0001_Demand_x0003__x0001__x0003__x0003__x0003__x0003_1_x0003__x0003__x0003__x0001__x0003__x0003__x0003__x0014__x0003__x0003__x0003__x0003__x0003__x0003__x0001__x0003_ÿÿÿÿ_x0003__x0003__x0003__x0003__x0003__x0003__x0003__x0003__x0003__x0003__x0003__x0003__x0003__x0003__x0003__x0003__x0003_@_x0003__x0003__x0003__x0002__x0003__x0014__x0003__x0003_=RiskNormal($B$8,15)_x0011__x0003__x0003_50_x0001_B65_x0001_C15_x0001_Demand_x0003__x0001__x0003__x0003__x0003__x0003_2_x0003__x0003__x0003__x0001__x0003__x0003__x0003__x0014__x0003__x0003__x0003__x0003__x0003__x0003__x0001__x0003_ÿÿÿÿ_x0003__x0003__x0003__x0003__x0003__x0003__x0003__x0004__x0003__x0003__x0003__x0003__x0003__x0003__x0003__x0003__x0003__x0003__x0003_A_x0003__x0003__x0003__x0002__x0003__x0014__x0003__x0003_=RiskNormal($B$8,15)_x0011__x0003__x0003_51_x0001_B66_x0001_C15_x0001_Demand_x0003__x0001__x0003__x0003__x0003__x0003_3_x0003__x0003__x0003__x0001__x0003__x0003__x0003__x0014__x0003__x0003__x0003__x0003__x0003__x0003__x0001__x0003_ÿÿÿÿ_x0003__x0003__x0003__x0003__x0003__x0003__x0003__x0003__x0003__x0003__x0003__x0003__x0003__x0003__x0003__x0003__x0003_B_x0003__x0003__x0003__x0002__x0003__x0014__x0003__x0003_=RiskNormal($B$8,15)_x0011__x0003__x0003_52_x0001_B67_x0001_C15_x0001_Demand_x0003__x0001__x0003__x0003__x0003__x0003_4_x0003__x0003__x0003__x0001__x0003__x0003__x0003__x0014__x0003__x0003__x0003__x0003__x0003__x0003__x0001__x0003_ÿÿÿÿ_x0003__x0003__x0003__x0003__x0003__x0003__x0003__x0003__x0003__x0003__x0003__x0003__x0003__x0003__x0003__x0003_5_x0003__x0003__x0003__x0003__x0003__x0003__x0003__x0001__x0003__x0003__x0003__x0003__x0003__x0003__x0003_5_x0003__x0003__x0003__x0003__x0003__x0003__x0003__x0003__x0003__x0003__x0003__x0003__x0003__x0003__x0003__x0003__x0003__x0002__x0003__x0003__x0003__x0003__x0003__x0001__x0002__x0001__x0001__x0001__x0001__x0003__x0001__x0001__x0001__x0001__x0001__x0001__x0001__x0001__x0001__x0004__x0001__x0001__x0001__x0001__x0001__x0001__x0001__x0001__x0001__x0005__x0001__x0001__x0001__x0001__x0001__x0001__x0001__x0001__x0001__x0006__x0001__x0001__x0001__x0001__x0001__x0001__x0001__x0001__x0001__x0007__x0001__x0001__x0001__x0001__x0001__x0001__x0001__x0001__x0001__x0008__x0001__x0001__x0001__x0001__x0001__x0001__x0001__x0001__x0001_	_x0001__x0001__x0001__x0001__x0001__x0001__x0001__x0001__x0001__x0002__x0001__x0001__x0001__x0001__x0001__x0001__x0001__x0001__x0001__x000B__x0001__x0001__x0001__x0001__x0001__x0001__x0001__x0001__x0001__x000C__x0001__x0001__x0001__x0001__x0001__x0001__x0001__x0001__x0001__x000D__x0001__x0001__x0001__x0001__x0001__x0001__x0001__x0001__x0001__x000E__x0001__x0001__x0001__x0001__x0001__x0001__x0001__x0001__x0001__x000F__x0001__x0001__x0001__x0001__x0001__x0001__x0001__x0001__x0001__x0010__x0001__x0001__x0001__x0001__x0001__x0001__x0001__x0001__x0001__x0011__x0001__x0001__x0001__x0001__x0001__x0001__x0001__x0001__x0001__x0012__x0001__x0001__x0001__x0001__x0001__x0001__x0001__x0001__x0001__x0013__x0001__x0001__x0001__x0001__x0001__x0001__x0001__x0001__x0001__x0014__x0001__x0001__x0001__x0001__x0001__x0001__x0001__x0001__x0001__x0015__x0001__x0001__x0001__x0001__x0001__x0001__x0001__x0001__x0001__x0016__x0001__x0001__x0001__x0001__x0001__x0001__x0001__x0001__x0001__x0017__x0001__x0001__x0001__x0001__x0001__x0001__x0001__x0001__x0001__x0018__x0001__x0001__x0001__x0001__x0001__x0001__x0001__x0001__x0001__x0019__x0001__x0001__x0001__x0001__x0001__x0001__x0001__x0001__x0001__x001A__x0001__x0001__x0001__x0001__x0001__x0001__x0001__x0001__x0001__x001B__x0001__x0001__x0001__x0001__x0001__x0001__x0001__x0001__x0002__x0001__x0001__x001C__x0001__x0001__x0001__x0001__x0001__x0001__x0001__x0001__x0001__x001D__x0001__x0001__x0001__x0001__x0001__x0001__x0001__x0001__x0001__x001E__x0001__x0001__x0001__x0001__x0001__x0001__x0001__x0001__x0001__x001F__x0001__x0001__x0001__x0001__x0001__x0001__x0001__x0001__x0001_ _x0001__x0001__x0001__x0001__x0001__x0001__x0001__x0001__x0001_!_x0001__x0001__x0001__x0001__x0001__x0001__x0001__x0001__x0001_"_x0001__x0001__x0001__x0001__x0001__x0001__x0001__x0001__x0001_#_x0001__x0001__x0001__x0001__x0001__x0001__x0001__x0001__x0001_$_x0001__x0001__x0001__x0001__x0001__x0001__x0001__x0001__x0001_%_x0001__x0001__x0001__x0001__x0001__x0001__x0001__x0001__x0001_&amp;_x0001__x0001__x0001__x0001__x0001__x0001__x0001__x0001__x0001_'_x0001__x0001__x0001__x0001__x0001__x0001__x0001__x0001__x0001_(_x0001__x0001__x0001__x0001__x0001__x0001__x0001__x0001__x0001_)_x0001__x0001__x0001__x0001__x0001__x0001__x0001__x0001__x0001_*_x0001__x0001__x0001__x0001__x0001__x0001__x0001__x0001__x0001_+_x0001__x0001__x0001__x0001__x0001__x0001__x0001__x0001__x0001_,_x0001__x0001__x0001__x0001__x0001__x0001__x0001__x0001__x0001_-_x0001__x0001__x0001__x0001__x0001__x0001__x0001__x0001__x0001_._x0001__x0001__x0001__x0001__x0001__x0001__x0001__x0001__x0001_/_x0001__x0001__x0001__x0001__x0001__x0001__x0001__x0001__x0001_0_x0001__x0001__x0001__x0001__x0001__x0001__x0001__x0001__x0001_1_x0001__x0001__x0001__x0001__x0001__x0001__x0001__x0001__x0001_2_x0001__x0001__x0001__x0001__x0001__x0001__x0001__x0001__x0001_3_x0001__x0001__x0001__x0001__x0001__x0001__x0001__x0001__x0001_4_x0001__x0001__x0001__x0001__x0001__x0001__x0001__x0001__x0001__x0002__x0003_5_x0002__x0002__x0002__x0002__x0002__x0001__x0002__x0002__x0002__x0002__x0002__x0002__x0002__x0001__x0002__x0002__x0002__x0002__x0002__x0002__x0002__x0002__x0002__x0002__x0002__x0002__x0002__x0012_'_x0002__x0002_´_x0001__x0002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0001__x0001__x0001_ N_x0001__x0001_ä_x0001__x0001__x0001__x0001__x0001__x0001__x0001__x0001__x0001__x0001__x0001__x0001__x0001__x0001__x0001__x0001__x0001__x0001__x0001__x0001__x0001__x0001__x0001__x0001__x0001__x0001__x0001__x0001__x0001__x0001__x0001__x0001__x0001__x0001__x0001__x0001__x0004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!N_x0001__x0001__x0003__x0002__x0001__x0001__x0007__x0001__x0001_GeneralH_x0001__x0001_" "[$£-809]* #,##0" ";"-"[$£-809]* #,##0"_x0001__x0002_ ";" "[$£-809]* "-"#" ";" "@" "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_x0001__x0003_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0004__x0001__x0001_0.00_x0001__x0001__x0001__x0001_"N_x0001__x0001__x0002__x0001__x0001__x0001__x0001__x0001__x0001__x0001__x0001_ÿÿÿÿ_x0001__x0001__x0001_ÿÿÿÿ_x0001__x0001__x0001__x0001__x0001__x0001_ÿÿÿÿ_x0001__x0001__x0001__x0001__x0001__x0001_ÿÿÿÿ_x0001__x0001__x0002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0002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0001__x0001__x0001__x0001__x0001_ÿÿÿÿ_x0001__x0002__x0003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_x0002_#N_x0002__x0002_°_x0001__x0002__x0002_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_x0001__x0002_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ÿÿÿ÷ÿÿÿÿ_x0003__x0004_ÿÿÿ÷ÿÿÿÿÿÿÿ÷ÿÿÿÿÿÿÿ÷ÿÿÿÿÿÿÿ$N_x0003__x0003__x0008__x0003__x0003__x0003__x0011_'_x0003__x0003__x000C__x0003__x0003__x0003__x0001__x0003__x0003__x0003__x0013_'_x0003__x0003__x0010__x0003__x0003__x0003__x0001__x0003__x0003__x0003_¢4ô_x0004__x0015_'_x0003__x0003_p_x0003__x0003__x0003_d_x0003__x0003__x0003__x0003__x0003__x0003__x0003__x0003__x0001_d_x0003__x0003__x0003_ô_x0001__x0003__x0003_0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ÿÿÿÿ_x0001_6_x0003__x0003__x0003_ÿÿÿÿ_x0003__x0003__x0003__x0003__x0003__x0003__x0003__x0003__x0003__x0001__x0003__x0003__x0003_ÿÿÿÿ_x0003__x0003__x0003__x0003_ÿÿÿÿ_x0016_'_x0003__x0003__x000C__x0003__x0003__x0003__x0003__x0003__x0003__x0003__x0017_'_x0003__x0003_b_x0002__x0003__x0003__x0001__x0003__x0003__x0003_5_x0003__x0003__x0003__x0012__x0003__x0003_RiskNormal(120,15)_x0007__x0003__x0003_Error=3_x0007__x0003__x0003_Error=3_x0007__x0003__x0003_E_x0001__x0002_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_x0001__x0002_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Error=3_x0007__x0001__x0001__x0002__x0003_Error=3_x0007__x0002__x0002_Error=3_x0007__x0002__x0002_Error=3_x0007__x0002__x0002_Error=3_x0018_'_x0002__x0002__x000C__x0002__x0002__x0002_,_x0002_._x0002__x0019_'_x0002__x0002__x000C__x0002__x0002__x0002__x0001__x0002__x0002__x0002__x001A_'_x0002__x0002__x000C__x0002__x0002__x0002__x0002__x0002__x0002__x0002__x0001__x0002__x0002_ÿÿÿÿ</t>
  </si>
  <si>
    <t>03be3bad7920f0e012a671db578770920|1|235201|f7cdc7f3543a5c555f2c13dd4e9f39a6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</si>
</sst>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&quot;[$£-809]* #,##0&quot; &quot;;&quot;-&quot;[$£-809]* #,##0&quot; &quot;;&quot; &quot;[$£-809]* &quot;-&quot;#&quot; &quot;;&quot; &quot;@&quot; &quot;"/>
    <numFmt numFmtId="165" formatCode="#,##0.000"/>
    <numFmt numFmtId="166" formatCode="[$£]\ #,##0.00"/>
    <numFmt numFmtId="167" formatCode="0.0000"/>
  </numFmts>
  <fonts count="3" x14ac:knownFonts="1">
    <font>
      <sz val="11"/>
      <color rgb="FF000000"/>
      <name val="Aptos Narrow"/>
      <family val="2"/>
    </font>
    <font>
      <b/>
      <sz val="14"/>
      <color rgb="FF000000"/>
      <name val="Aptos Display"/>
      <family val="2"/>
      <scheme val="major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medium">
        <color theme="1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 tint="-0.34998626667073579"/>
      </left>
      <right style="hair">
        <color theme="0" tint="-0.249977111117893"/>
      </right>
      <top style="thin">
        <color theme="0" tint="-0.249977111117893"/>
      </top>
      <bottom style="hair">
        <color theme="0" tint="-0.249977111117893"/>
      </bottom>
      <diagonal/>
    </border>
    <border>
      <left style="medium">
        <color theme="1" tint="-0.34998626667073579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 tint="-0.249977111117893"/>
      </left>
      <right style="medium">
        <color theme="1" tint="-0.34998626667073579"/>
      </right>
      <top style="thin">
        <color theme="0" tint="-0.249977111117893"/>
      </top>
      <bottom/>
      <diagonal/>
    </border>
    <border>
      <left style="hair">
        <color theme="0" tint="-0.249977111117893"/>
      </left>
      <right style="medium">
        <color theme="1" tint="-0.34998626667073579"/>
      </right>
      <top style="thin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medium">
        <color theme="1" tint="-0.34998626667073579"/>
      </right>
      <top style="hair">
        <color theme="0" tint="-0.249977111117893"/>
      </top>
      <bottom style="hair">
        <color theme="0" tint="-0.249977111117893"/>
      </bottom>
      <diagonal/>
    </border>
    <border>
      <left style="medium">
        <color theme="1" tint="-0.34998626667073579"/>
      </left>
      <right style="hair">
        <color theme="0" tint="-0.249977111117893"/>
      </right>
      <top style="hair">
        <color theme="0" tint="-0.249977111117893"/>
      </top>
      <bottom style="medium">
        <color theme="1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1" tint="-0.34998626667073579"/>
      </bottom>
      <diagonal/>
    </border>
    <border>
      <left style="hair">
        <color theme="0" tint="-0.249977111117893"/>
      </left>
      <right style="medium">
        <color theme="1" tint="-0.34998626667073579"/>
      </right>
      <top style="hair">
        <color theme="0" tint="-0.249977111117893"/>
      </top>
      <bottom style="medium">
        <color theme="1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hair">
        <color theme="0" tint="-0.249977111117893"/>
      </right>
      <top style="thin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medium">
        <color theme="1" tint="-0.34998626667073579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/>
      <diagonal/>
    </border>
    <border>
      <left style="hair">
        <color theme="0" tint="-0.249977111117893"/>
      </left>
      <right style="thin">
        <color auto="1"/>
      </right>
      <top style="thin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thin">
        <color auto="1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thin">
        <color auto="1"/>
      </right>
      <top style="hair">
        <color theme="0" tint="-0.249977111117893"/>
      </top>
      <bottom style="medium">
        <color theme="1" tint="-0.34998626667073579"/>
      </bottom>
      <diagonal/>
    </border>
    <border>
      <left style="medium">
        <color theme="1" tint="-0.34998626667073579"/>
      </left>
      <right/>
      <top style="medium">
        <color theme="1" tint="-0.34998626667073579"/>
      </top>
      <bottom style="thin">
        <color theme="0" tint="-0.249977111117893"/>
      </bottom>
      <diagonal/>
    </border>
    <border>
      <left/>
      <right/>
      <top style="medium">
        <color theme="1" tint="-0.34998626667073579"/>
      </top>
      <bottom style="thin">
        <color theme="0" tint="-0.249977111117893"/>
      </bottom>
      <diagonal/>
    </border>
    <border>
      <left/>
      <right style="thin">
        <color auto="1"/>
      </right>
      <top style="medium">
        <color theme="1" tint="-0.34998626667073579"/>
      </top>
      <bottom style="thin">
        <color theme="0" tint="-0.249977111117893"/>
      </bottom>
      <diagonal/>
    </border>
    <border>
      <left style="thin">
        <color auto="1"/>
      </left>
      <right/>
      <top style="medium">
        <color theme="1" tint="-0.34998626667073579"/>
      </top>
      <bottom style="thin">
        <color theme="0" tint="-0.249977111117893"/>
      </bottom>
      <diagonal/>
    </border>
    <border>
      <left/>
      <right style="medium">
        <color theme="1" tint="-0.34998626667073579"/>
      </right>
      <top style="medium">
        <color theme="1" tint="-0.34998626667073579"/>
      </top>
      <bottom style="thin">
        <color theme="0" tint="-0.249977111117893"/>
      </bottom>
      <diagonal/>
    </border>
    <border>
      <left style="medium">
        <color theme="1" tint="-0.34998626667073579"/>
      </left>
      <right style="thin">
        <color theme="0" tint="-0.249977111117893"/>
      </right>
      <top style="medium">
        <color theme="1" tint="-0.34998626667073579"/>
      </top>
      <bottom/>
      <diagonal/>
    </border>
    <border>
      <left style="thin">
        <color theme="0" tint="-0.249977111117893"/>
      </left>
      <right style="medium">
        <color theme="1" tint="-0.34998626667073579"/>
      </right>
      <top style="medium">
        <color theme="1" tint="-0.34998626667073579"/>
      </top>
      <bottom/>
      <diagonal/>
    </border>
    <border>
      <left style="medium">
        <color theme="1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-0.34998626667073579"/>
      </top>
      <bottom/>
      <diagonal/>
    </border>
    <border>
      <left style="medium">
        <color theme="1" tint="-0.34998626667073579"/>
      </left>
      <right style="thin">
        <color theme="0" tint="-0.249977111117893"/>
      </right>
      <top style="thin">
        <color theme="0" tint="-0.249977111117893"/>
      </top>
      <bottom style="medium">
        <color theme="1" tint="-0.34998626667073579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quotePrefix="1"/>
    <xf numFmtId="0" fontId="0" fillId="2" borderId="0" xfId="0" applyFill="1"/>
    <xf numFmtId="164" fontId="0" fillId="3" borderId="0" xfId="0" applyNumberFormat="1" applyFill="1"/>
    <xf numFmtId="0" fontId="1" fillId="4" borderId="0" xfId="0" applyFont="1" applyFill="1"/>
    <xf numFmtId="0" fontId="2" fillId="5" borderId="1" xfId="0" applyFont="1" applyFill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5" borderId="4" xfId="0" applyFont="1" applyFill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5" borderId="7" xfId="0" applyFont="1" applyFill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5" borderId="13" xfId="0" applyFont="1" applyFill="1" applyBorder="1" applyAlignment="1">
      <alignment horizontal="left"/>
    </xf>
    <xf numFmtId="0" fontId="2" fillId="0" borderId="14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5" borderId="17" xfId="0" applyFont="1" applyFill="1" applyBorder="1" applyAlignment="1">
      <alignment horizontal="left"/>
    </xf>
    <xf numFmtId="165" fontId="2" fillId="0" borderId="18" xfId="0" applyNumberFormat="1" applyFont="1" applyBorder="1" applyAlignment="1">
      <alignment horizontal="right"/>
    </xf>
    <xf numFmtId="165" fontId="2" fillId="0" borderId="19" xfId="0" applyNumberFormat="1" applyFont="1" applyBorder="1" applyAlignment="1">
      <alignment horizontal="right"/>
    </xf>
    <xf numFmtId="165" fontId="2" fillId="0" borderId="20" xfId="0" applyNumberFormat="1" applyFont="1" applyBorder="1" applyAlignment="1">
      <alignment horizontal="right"/>
    </xf>
    <xf numFmtId="166" fontId="2" fillId="0" borderId="14" xfId="0" applyNumberFormat="1" applyFont="1" applyBorder="1" applyAlignment="1">
      <alignment horizontal="right"/>
    </xf>
    <xf numFmtId="166" fontId="2" fillId="0" borderId="15" xfId="0" applyNumberFormat="1" applyFont="1" applyBorder="1" applyAlignment="1">
      <alignment horizontal="right"/>
    </xf>
    <xf numFmtId="166" fontId="2" fillId="0" borderId="16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166" fontId="2" fillId="0" borderId="11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2" fillId="0" borderId="3" xfId="0" applyNumberFormat="1" applyFont="1" applyBorder="1" applyAlignment="1">
      <alignment horizontal="right"/>
    </xf>
    <xf numFmtId="165" fontId="2" fillId="0" borderId="11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167" fontId="2" fillId="0" borderId="3" xfId="0" applyNumberFormat="1" applyFont="1" applyBorder="1" applyAlignment="1">
      <alignment horizontal="right"/>
    </xf>
    <xf numFmtId="167" fontId="2" fillId="0" borderId="11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66" fontId="2" fillId="0" borderId="9" xfId="0" applyNumberFormat="1" applyFont="1" applyBorder="1" applyAlignment="1">
      <alignment horizontal="right"/>
    </xf>
    <xf numFmtId="166" fontId="2" fillId="0" borderId="12" xfId="0" applyNumberFormat="1" applyFont="1" applyBorder="1" applyAlignment="1">
      <alignment horizontal="right"/>
    </xf>
    <xf numFmtId="9" fontId="2" fillId="5" borderId="1" xfId="0" applyNumberFormat="1" applyFont="1" applyFill="1" applyBorder="1" applyAlignment="1">
      <alignment horizontal="left"/>
    </xf>
    <xf numFmtId="9" fontId="2" fillId="5" borderId="7" xfId="0" applyNumberFormat="1" applyFont="1" applyFill="1" applyBorder="1" applyAlignment="1">
      <alignment horizontal="left"/>
    </xf>
    <xf numFmtId="0" fontId="2" fillId="5" borderId="26" xfId="0" applyFont="1" applyFill="1" applyBorder="1" applyAlignment="1">
      <alignment horizontal="left"/>
    </xf>
    <xf numFmtId="0" fontId="2" fillId="5" borderId="27" xfId="0" applyFont="1" applyFill="1" applyBorder="1" applyAlignment="1">
      <alignment horizontal="left"/>
    </xf>
    <xf numFmtId="0" fontId="2" fillId="5" borderId="28" xfId="0" applyFont="1" applyFill="1" applyBorder="1" applyAlignment="1">
      <alignment horizontal="left"/>
    </xf>
    <xf numFmtId="0" fontId="2" fillId="5" borderId="29" xfId="0" applyFont="1" applyFill="1" applyBorder="1" applyAlignment="1">
      <alignment horizontal="left"/>
    </xf>
    <xf numFmtId="0" fontId="2" fillId="5" borderId="30" xfId="0" applyFont="1" applyFill="1" applyBorder="1" applyAlignment="1">
      <alignment horizontal="left"/>
    </xf>
    <xf numFmtId="166" fontId="2" fillId="5" borderId="28" xfId="0" applyNumberFormat="1" applyFont="1" applyFill="1" applyBorder="1" applyAlignment="1">
      <alignment horizontal="right"/>
    </xf>
    <xf numFmtId="166" fontId="2" fillId="5" borderId="30" xfId="0" applyNumberFormat="1" applyFont="1" applyFill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5" fontId="2" fillId="0" borderId="10" xfId="0" applyNumberFormat="1" applyFont="1" applyBorder="1" applyAlignment="1">
      <alignment horizontal="right"/>
    </xf>
    <xf numFmtId="9" fontId="2" fillId="5" borderId="28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Inventory</a:t>
            </a:r>
            <a:r>
              <a:rPr lang="en-IN" baseline="0"/>
              <a:t> over a </a:t>
            </a:r>
          </a:p>
          <a:p>
            <a:pPr>
              <a:defRPr/>
            </a:pPr>
            <a:r>
              <a:rPr lang="en-IN" baseline="0"/>
              <a:t>time</a:t>
            </a:r>
            <a:endParaRPr lang="en-IN"/>
          </a:p>
        </c:rich>
      </c:tx>
      <c:layout>
        <c:manualLayout>
          <c:xMode val="edge"/>
          <c:yMode val="edge"/>
          <c:x val="0.4257567804024496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'part(a)'!$E$16:$E$68</c:f>
              <c:numCache>
                <c:formatCode>0.00</c:formatCode>
                <c:ptCount val="53"/>
                <c:pt idx="0" formatCode="General">
                  <c:v>180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5-4855-8B1A-23095E9EE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996496"/>
        <c:axId val="2102324768"/>
      </c:lineChart>
      <c:catAx>
        <c:axId val="200199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24768"/>
        <c:crosses val="autoZero"/>
        <c:auto val="1"/>
        <c:lblAlgn val="ctr"/>
        <c:lblOffset val="100"/>
        <c:noMultiLvlLbl val="0"/>
      </c:catAx>
      <c:valAx>
        <c:axId val="21023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99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>
                <a:solidFill>
                  <a:srgbClr val="595959"/>
                </a:solidFill>
              </a:defRPr>
            </a:pPr>
            <a:r>
              <a:rPr lang="en-IN"/>
              <a:t>Cumulative Distributions of Average Cost / Demand Variablity(Given mean 120,stdev) for Changing Values of Cell B11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Value: 30.00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parta!$C$38:$C$88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C-4DE3-8C2F-5512B66F3FA4}"/>
            </c:ext>
          </c:extLst>
        </c:ser>
        <c:ser>
          <c:idx val="1"/>
          <c:order val="1"/>
          <c:tx>
            <c:v>Value: 35.56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parta!$D$38:$D$88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DE3-8C2F-5512B66F3FA4}"/>
            </c:ext>
          </c:extLst>
        </c:ser>
        <c:ser>
          <c:idx val="2"/>
          <c:order val="2"/>
          <c:tx>
            <c:v>Value: 41.11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parta!$E$38:$E$88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1C-4DE3-8C2F-5512B66F3FA4}"/>
            </c:ext>
          </c:extLst>
        </c:ser>
        <c:ser>
          <c:idx val="3"/>
          <c:order val="3"/>
          <c:tx>
            <c:v>Value: 46.67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parta!$F$38:$F$88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1C-4DE3-8C2F-5512B66F3FA4}"/>
            </c:ext>
          </c:extLst>
        </c:ser>
        <c:ser>
          <c:idx val="4"/>
          <c:order val="4"/>
          <c:tx>
            <c:v>Value: 52.22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parta!$G$38:$G$88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1C-4DE3-8C2F-5512B66F3FA4}"/>
            </c:ext>
          </c:extLst>
        </c:ser>
        <c:ser>
          <c:idx val="5"/>
          <c:order val="5"/>
          <c:tx>
            <c:v>Value: 57.78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parta!$H$38:$H$88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1C-4DE3-8C2F-5512B66F3FA4}"/>
            </c:ext>
          </c:extLst>
        </c:ser>
        <c:ser>
          <c:idx val="6"/>
          <c:order val="6"/>
          <c:tx>
            <c:v>Value: 63.33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parta!$I$38:$I$88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1C-4DE3-8C2F-5512B66F3FA4}"/>
            </c:ext>
          </c:extLst>
        </c:ser>
        <c:ser>
          <c:idx val="7"/>
          <c:order val="7"/>
          <c:tx>
            <c:v>Value: 68.89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parta!$J$38:$J$88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1C-4DE3-8C2F-5512B66F3FA4}"/>
            </c:ext>
          </c:extLst>
        </c:ser>
        <c:ser>
          <c:idx val="8"/>
          <c:order val="8"/>
          <c:tx>
            <c:v>Value: 74.44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parta!$K$38:$K$88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1C-4DE3-8C2F-5512B66F3FA4}"/>
            </c:ext>
          </c:extLst>
        </c:ser>
        <c:ser>
          <c:idx val="9"/>
          <c:order val="9"/>
          <c:tx>
            <c:v>Value: 80.00</c:v>
          </c:tx>
          <c:spPr>
            <a:ln w="15875"/>
          </c:spPr>
          <c:marker>
            <c:symbol val="none"/>
          </c:marker>
          <c:xVal>
            <c:numRef>
              <c:f>parta!$B$38:$B$88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parta!$L$38:$L$88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1C-4DE3-8C2F-5512B66F3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384576"/>
        <c:axId val="569387456"/>
      </c:scatterChart>
      <c:valAx>
        <c:axId val="569384576"/>
        <c:scaling>
          <c:orientation val="minMax"/>
          <c:max val="40000"/>
          <c:min val="0"/>
        </c:scaling>
        <c:delete val="0"/>
        <c:axPos val="b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595959"/>
                    </a:solidFill>
                  </a:defRPr>
                </a:pPr>
                <a:r>
                  <a:rPr lang="en-IN"/>
                  <a:t>Average Cost / Demand Variablity(Given mean 120,stdev)</a:t>
                </a:r>
              </a:p>
            </c:rich>
          </c:tx>
          <c:overlay val="0"/>
        </c:title>
        <c:numFmt formatCode="[$£]\ #,##0.00" sourceLinked="0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69387456"/>
        <c:crossesAt val="0"/>
        <c:crossBetween val="midCat"/>
        <c:majorUnit val="10000"/>
      </c:valAx>
      <c:valAx>
        <c:axId val="569387456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595959"/>
                    </a:solidFill>
                  </a:defRPr>
                </a:pPr>
                <a:r>
                  <a:rPr lang="en-IN"/>
                  <a:t>Cumulative Probability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69384576"/>
        <c:crossesAt val="0"/>
        <c:crossBetween val="midCat"/>
        <c:majorUnit val="0.2"/>
      </c:valAx>
    </c:plotArea>
    <c:legend>
      <c:legendPos val="r"/>
      <c:overlay val="0"/>
      <c:spPr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270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>
                <a:solidFill>
                  <a:srgbClr val="595959"/>
                </a:solidFill>
              </a:defRPr>
            </a:pPr>
            <a:r>
              <a:rPr lang="en-IN"/>
              <a:t>Mean of Average Cost / Demand Variablity(Given mean 120,stdev) vs Cell B11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'Cell B11'!$C$68</c:f>
              <c:strCache>
                <c:ptCount val="1"/>
                <c:pt idx="0">
                  <c:v>Mean(y)</c:v>
                </c:pt>
              </c:strCache>
            </c:strRef>
          </c:tx>
          <c:spPr>
            <a:ln w="15875"/>
          </c:spPr>
          <c:marker>
            <c:spPr>
              <a:ln w="15875"/>
            </c:spPr>
          </c:marker>
          <c:xVal>
            <c:numRef>
              <c:f>'Cell B11'!$B$69:$B$78</c:f>
              <c:numCache>
                <c:formatCode>#,##0.000</c:formatCode>
                <c:ptCount val="10"/>
                <c:pt idx="0">
                  <c:v>30</c:v>
                </c:pt>
                <c:pt idx="1">
                  <c:v>35.55555555555555</c:v>
                </c:pt>
                <c:pt idx="2">
                  <c:v>41.111111111111107</c:v>
                </c:pt>
                <c:pt idx="3">
                  <c:v>46.666666666666671</c:v>
                </c:pt>
                <c:pt idx="4">
                  <c:v>52.222222222222214</c:v>
                </c:pt>
                <c:pt idx="5">
                  <c:v>57.777777777777786</c:v>
                </c:pt>
                <c:pt idx="6">
                  <c:v>63.333333333333336</c:v>
                </c:pt>
                <c:pt idx="7">
                  <c:v>68.888888888888886</c:v>
                </c:pt>
                <c:pt idx="8">
                  <c:v>74.444444444444429</c:v>
                </c:pt>
                <c:pt idx="9">
                  <c:v>80</c:v>
                </c:pt>
              </c:numCache>
            </c:numRef>
          </c:xVal>
          <c:yVal>
            <c:numRef>
              <c:f>'Cell B11'!$C$69:$C$78</c:f>
              <c:numCache>
                <c:formatCode>[$£]\ #,##0.00</c:formatCode>
                <c:ptCount val="10"/>
                <c:pt idx="0">
                  <c:v>7196.3302429742571</c:v>
                </c:pt>
                <c:pt idx="1">
                  <c:v>7196.3302429742571</c:v>
                </c:pt>
                <c:pt idx="2">
                  <c:v>7196.3302429742571</c:v>
                </c:pt>
                <c:pt idx="3">
                  <c:v>7196.3302429742571</c:v>
                </c:pt>
                <c:pt idx="4">
                  <c:v>7196.3302429742571</c:v>
                </c:pt>
                <c:pt idx="5">
                  <c:v>7196.3302429742571</c:v>
                </c:pt>
                <c:pt idx="6">
                  <c:v>7196.3302429742571</c:v>
                </c:pt>
                <c:pt idx="7">
                  <c:v>7196.3302429742571</c:v>
                </c:pt>
                <c:pt idx="8">
                  <c:v>7196.3302429742571</c:v>
                </c:pt>
                <c:pt idx="9">
                  <c:v>7196.3302429742571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1-4A49-A4EE-7CAC4EC7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201055"/>
        <c:axId val="872187135"/>
      </c:scatterChart>
      <c:valAx>
        <c:axId val="872201055"/>
        <c:scaling>
          <c:orientation val="minMax"/>
          <c:max val="80"/>
          <c:min val="30"/>
        </c:scaling>
        <c:delete val="0"/>
        <c:axPos val="b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595959"/>
                    </a:solidFill>
                  </a:defRPr>
                </a:pPr>
                <a:r>
                  <a:rPr lang="en-IN"/>
                  <a:t>Cell B11</a:t>
                </a:r>
              </a:p>
            </c:rich>
          </c:tx>
          <c:overlay val="0"/>
        </c:title>
        <c:numFmt formatCode="#,##0.000" sourceLinked="0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872187135"/>
        <c:crosses val="autoZero"/>
        <c:crossBetween val="midCat"/>
        <c:majorUnit val="10"/>
      </c:valAx>
      <c:valAx>
        <c:axId val="872187135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595959"/>
                    </a:solidFill>
                  </a:defRPr>
                </a:pPr>
                <a:r>
                  <a:rPr lang="en-IN"/>
                  <a:t>Mean of Average Cost / Demand Variablity(Given mean 120,stdev)</a:t>
                </a:r>
              </a:p>
            </c:rich>
          </c:tx>
          <c:overlay val="0"/>
        </c:title>
        <c:numFmt formatCode="[$£]\ #,##0.00" sourceLinked="0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872201055"/>
        <c:crossesAt val="30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270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>
                <a:solidFill>
                  <a:srgbClr val="595959"/>
                </a:solidFill>
              </a:defRPr>
            </a:pPr>
            <a:r>
              <a:rPr lang="en-IN"/>
              <a:t>Cumulative Distributions of Average Cost / Demand Variablity(Given mean 120,stdev) for Changing Values of Cell B11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Value: 30.00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B11'!$C$81:$C$131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E-45DA-803A-EE89DC7432F6}"/>
            </c:ext>
          </c:extLst>
        </c:ser>
        <c:ser>
          <c:idx val="1"/>
          <c:order val="1"/>
          <c:tx>
            <c:v>Value: 35.56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B11'!$D$81:$D$131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0E-45DA-803A-EE89DC7432F6}"/>
            </c:ext>
          </c:extLst>
        </c:ser>
        <c:ser>
          <c:idx val="2"/>
          <c:order val="2"/>
          <c:tx>
            <c:v>Value: 41.11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B11'!$E$81:$E$131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0E-45DA-803A-EE89DC7432F6}"/>
            </c:ext>
          </c:extLst>
        </c:ser>
        <c:ser>
          <c:idx val="3"/>
          <c:order val="3"/>
          <c:tx>
            <c:v>Value: 46.67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B11'!$F$81:$F$131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0E-45DA-803A-EE89DC7432F6}"/>
            </c:ext>
          </c:extLst>
        </c:ser>
        <c:ser>
          <c:idx val="4"/>
          <c:order val="4"/>
          <c:tx>
            <c:v>Value: 52.22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B11'!$G$81:$G$131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0E-45DA-803A-EE89DC7432F6}"/>
            </c:ext>
          </c:extLst>
        </c:ser>
        <c:ser>
          <c:idx val="5"/>
          <c:order val="5"/>
          <c:tx>
            <c:v>Value: 57.78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B11'!$H$81:$H$131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0E-45DA-803A-EE89DC7432F6}"/>
            </c:ext>
          </c:extLst>
        </c:ser>
        <c:ser>
          <c:idx val="6"/>
          <c:order val="6"/>
          <c:tx>
            <c:v>Value: 63.33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B11'!$I$81:$I$131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0E-45DA-803A-EE89DC7432F6}"/>
            </c:ext>
          </c:extLst>
        </c:ser>
        <c:ser>
          <c:idx val="7"/>
          <c:order val="7"/>
          <c:tx>
            <c:v>Value: 68.89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B11'!$J$81:$J$131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0E-45DA-803A-EE89DC7432F6}"/>
            </c:ext>
          </c:extLst>
        </c:ser>
        <c:ser>
          <c:idx val="8"/>
          <c:order val="8"/>
          <c:tx>
            <c:v>Value: 74.44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B11'!$K$81:$K$131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0E-45DA-803A-EE89DC7432F6}"/>
            </c:ext>
          </c:extLst>
        </c:ser>
        <c:ser>
          <c:idx val="9"/>
          <c:order val="9"/>
          <c:tx>
            <c:v>Value: 80.00</c:v>
          </c:tx>
          <c:spPr>
            <a:ln w="15875"/>
          </c:spPr>
          <c:marker>
            <c:symbol val="none"/>
          </c:marker>
          <c:xVal>
            <c:numRef>
              <c:f>'Cell B11'!$B$81:$B$131</c:f>
              <c:numCache>
                <c:formatCode>[$£]\ #,##0.00</c:formatCode>
                <c:ptCount val="51"/>
                <c:pt idx="0">
                  <c:v>3317.807597861517</c:v>
                </c:pt>
                <c:pt idx="1">
                  <c:v>3991.4762436016463</c:v>
                </c:pt>
                <c:pt idx="2">
                  <c:v>4665.1448893417755</c:v>
                </c:pt>
                <c:pt idx="3">
                  <c:v>5338.8135350819048</c:v>
                </c:pt>
                <c:pt idx="4">
                  <c:v>6012.4821808220349</c:v>
                </c:pt>
                <c:pt idx="5">
                  <c:v>6686.1508265621651</c:v>
                </c:pt>
                <c:pt idx="6">
                  <c:v>7359.8194723022934</c:v>
                </c:pt>
                <c:pt idx="7">
                  <c:v>8033.4881180424236</c:v>
                </c:pt>
                <c:pt idx="8">
                  <c:v>8707.1567637825519</c:v>
                </c:pt>
                <c:pt idx="9">
                  <c:v>9380.8254095226821</c:v>
                </c:pt>
                <c:pt idx="10">
                  <c:v>10054.494055262812</c:v>
                </c:pt>
                <c:pt idx="11">
                  <c:v>10728.162701002941</c:v>
                </c:pt>
                <c:pt idx="12">
                  <c:v>11401.831346743071</c:v>
                </c:pt>
                <c:pt idx="13">
                  <c:v>12075.499992483199</c:v>
                </c:pt>
                <c:pt idx="14">
                  <c:v>12749.168638223329</c:v>
                </c:pt>
                <c:pt idx="15">
                  <c:v>13422.837283963458</c:v>
                </c:pt>
                <c:pt idx="16">
                  <c:v>14096.505929703588</c:v>
                </c:pt>
                <c:pt idx="17">
                  <c:v>14770.174575443718</c:v>
                </c:pt>
                <c:pt idx="18">
                  <c:v>15443.843221183846</c:v>
                </c:pt>
                <c:pt idx="19">
                  <c:v>16117.511866923976</c:v>
                </c:pt>
                <c:pt idx="20">
                  <c:v>16791.180512664105</c:v>
                </c:pt>
                <c:pt idx="21">
                  <c:v>17464.849158404235</c:v>
                </c:pt>
                <c:pt idx="22">
                  <c:v>18138.517804144365</c:v>
                </c:pt>
                <c:pt idx="23">
                  <c:v>18812.186449884495</c:v>
                </c:pt>
                <c:pt idx="24">
                  <c:v>19485.855095624625</c:v>
                </c:pt>
                <c:pt idx="25">
                  <c:v>20159.523741364752</c:v>
                </c:pt>
                <c:pt idx="26">
                  <c:v>20833.192387104882</c:v>
                </c:pt>
                <c:pt idx="27">
                  <c:v>21506.861032845012</c:v>
                </c:pt>
                <c:pt idx="28">
                  <c:v>22180.529678585142</c:v>
                </c:pt>
                <c:pt idx="29">
                  <c:v>22854.198324325269</c:v>
                </c:pt>
                <c:pt idx="30">
                  <c:v>23527.866970065399</c:v>
                </c:pt>
                <c:pt idx="31">
                  <c:v>24201.535615805529</c:v>
                </c:pt>
                <c:pt idx="32">
                  <c:v>24875.204261545659</c:v>
                </c:pt>
                <c:pt idx="33">
                  <c:v>25548.87290728579</c:v>
                </c:pt>
                <c:pt idx="34">
                  <c:v>26222.54155302592</c:v>
                </c:pt>
                <c:pt idx="35">
                  <c:v>26896.210198766043</c:v>
                </c:pt>
                <c:pt idx="36">
                  <c:v>27569.878844506176</c:v>
                </c:pt>
                <c:pt idx="37">
                  <c:v>28243.547490246303</c:v>
                </c:pt>
                <c:pt idx="38">
                  <c:v>28917.216135986437</c:v>
                </c:pt>
                <c:pt idx="39">
                  <c:v>29590.884781726563</c:v>
                </c:pt>
                <c:pt idx="40">
                  <c:v>30264.553427466697</c:v>
                </c:pt>
                <c:pt idx="41">
                  <c:v>30938.22207320682</c:v>
                </c:pt>
                <c:pt idx="42">
                  <c:v>31611.89071894695</c:v>
                </c:pt>
                <c:pt idx="43">
                  <c:v>32285.55936468708</c:v>
                </c:pt>
                <c:pt idx="44">
                  <c:v>32959.228010427207</c:v>
                </c:pt>
                <c:pt idx="45">
                  <c:v>33632.896656167344</c:v>
                </c:pt>
                <c:pt idx="46">
                  <c:v>34306.565301907474</c:v>
                </c:pt>
                <c:pt idx="47">
                  <c:v>34980.233947647597</c:v>
                </c:pt>
                <c:pt idx="48">
                  <c:v>35653.902593387727</c:v>
                </c:pt>
                <c:pt idx="49">
                  <c:v>36327.571239127858</c:v>
                </c:pt>
                <c:pt idx="50">
                  <c:v>37001.239884867988</c:v>
                </c:pt>
              </c:numCache>
            </c:numRef>
          </c:xVal>
          <c:yVal>
            <c:numRef>
              <c:f>'Cell B11'!$L$81:$L$131</c:f>
              <c:numCache>
                <c:formatCode>General</c:formatCode>
                <c:ptCount val="51"/>
                <c:pt idx="0">
                  <c:v>0</c:v>
                </c:pt>
                <c:pt idx="1">
                  <c:v>2E-3</c:v>
                </c:pt>
                <c:pt idx="2">
                  <c:v>0.21920303171717423</c:v>
                </c:pt>
                <c:pt idx="3">
                  <c:v>0.34069733559047677</c:v>
                </c:pt>
                <c:pt idx="4">
                  <c:v>0.68341124172824907</c:v>
                </c:pt>
                <c:pt idx="5">
                  <c:v>0.75600645477964734</c:v>
                </c:pt>
                <c:pt idx="6">
                  <c:v>0.77619244983285607</c:v>
                </c:pt>
                <c:pt idx="7">
                  <c:v>0.8035606042178558</c:v>
                </c:pt>
                <c:pt idx="8">
                  <c:v>0.82254184796191532</c:v>
                </c:pt>
                <c:pt idx="9">
                  <c:v>0.82786730252060259</c:v>
                </c:pt>
                <c:pt idx="10">
                  <c:v>0.84098113889881931</c:v>
                </c:pt>
                <c:pt idx="11">
                  <c:v>0.8500985139738586</c:v>
                </c:pt>
                <c:pt idx="12">
                  <c:v>0.87013170113558558</c:v>
                </c:pt>
                <c:pt idx="13">
                  <c:v>0.88681421469995891</c:v>
                </c:pt>
                <c:pt idx="14">
                  <c:v>0.89884825934554202</c:v>
                </c:pt>
                <c:pt idx="15">
                  <c:v>0.90940310351358611</c:v>
                </c:pt>
                <c:pt idx="16">
                  <c:v>0.91700505679532085</c:v>
                </c:pt>
                <c:pt idx="17">
                  <c:v>0.91973794890050786</c:v>
                </c:pt>
                <c:pt idx="18">
                  <c:v>0.92344622982341629</c:v>
                </c:pt>
                <c:pt idx="19">
                  <c:v>0.93823279021188966</c:v>
                </c:pt>
                <c:pt idx="20">
                  <c:v>0.94461216292766437</c:v>
                </c:pt>
                <c:pt idx="21">
                  <c:v>0.94724465371027433</c:v>
                </c:pt>
                <c:pt idx="22">
                  <c:v>0.95001489750158474</c:v>
                </c:pt>
                <c:pt idx="23">
                  <c:v>0.95774473523854498</c:v>
                </c:pt>
                <c:pt idx="24">
                  <c:v>0.96082059490505967</c:v>
                </c:pt>
                <c:pt idx="25">
                  <c:v>0.96314438787751755</c:v>
                </c:pt>
                <c:pt idx="26">
                  <c:v>0.97129152880573655</c:v>
                </c:pt>
                <c:pt idx="27">
                  <c:v>0.98085073931030409</c:v>
                </c:pt>
                <c:pt idx="28">
                  <c:v>0.98278487914934742</c:v>
                </c:pt>
                <c:pt idx="29">
                  <c:v>0.98519089149089367</c:v>
                </c:pt>
                <c:pt idx="30">
                  <c:v>0.98708408810108439</c:v>
                </c:pt>
                <c:pt idx="31">
                  <c:v>0.988388055531221</c:v>
                </c:pt>
                <c:pt idx="32">
                  <c:v>0.98942983636457826</c:v>
                </c:pt>
                <c:pt idx="33">
                  <c:v>0.99235167530696677</c:v>
                </c:pt>
                <c:pt idx="34">
                  <c:v>0.99403410045471807</c:v>
                </c:pt>
                <c:pt idx="35">
                  <c:v>0.99445445651161157</c:v>
                </c:pt>
                <c:pt idx="36">
                  <c:v>0.99487481256850518</c:v>
                </c:pt>
                <c:pt idx="37">
                  <c:v>0.99529516862539869</c:v>
                </c:pt>
                <c:pt idx="38">
                  <c:v>0.99571552468229207</c:v>
                </c:pt>
                <c:pt idx="39">
                  <c:v>0.99612433498912056</c:v>
                </c:pt>
                <c:pt idx="40">
                  <c:v>0.99650897350429135</c:v>
                </c:pt>
                <c:pt idx="41">
                  <c:v>0.99689361201946203</c:v>
                </c:pt>
                <c:pt idx="42">
                  <c:v>0.9972782505346327</c:v>
                </c:pt>
                <c:pt idx="43">
                  <c:v>0.99766288904980327</c:v>
                </c:pt>
                <c:pt idx="44">
                  <c:v>0.99804035696631843</c:v>
                </c:pt>
                <c:pt idx="45">
                  <c:v>0.99836696413859871</c:v>
                </c:pt>
                <c:pt idx="46">
                  <c:v>0.99869357131087899</c:v>
                </c:pt>
                <c:pt idx="47">
                  <c:v>0.99902017848315927</c:v>
                </c:pt>
                <c:pt idx="48">
                  <c:v>0.99934678565543944</c:v>
                </c:pt>
                <c:pt idx="49">
                  <c:v>0.99967339282771983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0E-45DA-803A-EE89DC743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274816"/>
        <c:axId val="1748272896"/>
      </c:scatterChart>
      <c:valAx>
        <c:axId val="1748274816"/>
        <c:scaling>
          <c:orientation val="minMax"/>
          <c:max val="40000"/>
          <c:min val="0"/>
        </c:scaling>
        <c:delete val="0"/>
        <c:axPos val="b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595959"/>
                    </a:solidFill>
                  </a:defRPr>
                </a:pPr>
                <a:r>
                  <a:rPr lang="en-IN"/>
                  <a:t>Average Cost / Demand Variablity(Given mean 120,stdev)</a:t>
                </a:r>
              </a:p>
            </c:rich>
          </c:tx>
          <c:overlay val="0"/>
        </c:title>
        <c:numFmt formatCode="[$£]\ #,##0.00" sourceLinked="0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1748272896"/>
        <c:crossesAt val="0"/>
        <c:crossBetween val="midCat"/>
        <c:majorUnit val="10000"/>
      </c:valAx>
      <c:valAx>
        <c:axId val="1748272896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595959"/>
                    </a:solidFill>
                  </a:defRPr>
                </a:pPr>
                <a:r>
                  <a:rPr lang="en-IN"/>
                  <a:t>Cumulative Probability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1748274816"/>
        <c:crossesAt val="0"/>
        <c:crossBetween val="midCat"/>
        <c:majorUnit val="0.2"/>
      </c:valAx>
    </c:plotArea>
    <c:legend>
      <c:legendPos val="r"/>
      <c:overlay val="0"/>
      <c:spPr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270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>
                <a:solidFill>
                  <a:srgbClr val="595959"/>
                </a:solidFill>
              </a:defRPr>
            </a:pPr>
            <a:r>
              <a:rPr lang="en-IN"/>
              <a:t>Box Plot of Average Cost / Demand Variablity(Given mean 120,stdev) for Changing Values of Cell B11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Lower box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156082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minus>
              <c:numRef>
                <c:f>'Cell B11'!$C$141:$L$141</c:f>
                <c:numCache>
                  <c:formatCode>General</c:formatCode>
                  <c:ptCount val="10"/>
                  <c:pt idx="0">
                    <c:v>832.91231258623247</c:v>
                  </c:pt>
                  <c:pt idx="1">
                    <c:v>832.91231258623247</c:v>
                  </c:pt>
                  <c:pt idx="2">
                    <c:v>832.91231258623247</c:v>
                  </c:pt>
                  <c:pt idx="3">
                    <c:v>832.91231258623247</c:v>
                  </c:pt>
                  <c:pt idx="4">
                    <c:v>832.91231258623247</c:v>
                  </c:pt>
                  <c:pt idx="5">
                    <c:v>832.91231258623247</c:v>
                  </c:pt>
                  <c:pt idx="6">
                    <c:v>832.91231258623247</c:v>
                  </c:pt>
                  <c:pt idx="7">
                    <c:v>832.91231258623247</c:v>
                  </c:pt>
                  <c:pt idx="8">
                    <c:v>832.91231258623247</c:v>
                  </c:pt>
                  <c:pt idx="9">
                    <c:v>832.91231258623247</c:v>
                  </c:pt>
                </c:numCache>
              </c:numRef>
            </c:minus>
            <c:spPr>
              <a:ln w="215900" cap="flat" cmpd="sng" algn="ctr">
                <a:solidFill>
                  <a:srgbClr val="0000FF">
                    <a:alpha val="7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</c:spPr>
          </c:errBars>
          <c:xVal>
            <c:strRef>
              <c:f>'Cell B11'!$C$133:$L$133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xVal>
          <c:yVal>
            <c:numRef>
              <c:f>'Cell B11'!$C$137:$L$137</c:f>
              <c:numCache>
                <c:formatCode>[$£]\ #,##0.00</c:formatCode>
                <c:ptCount val="10"/>
                <c:pt idx="0">
                  <c:v>5640.7218904953952</c:v>
                </c:pt>
                <c:pt idx="1">
                  <c:v>5640.7218904953952</c:v>
                </c:pt>
                <c:pt idx="2">
                  <c:v>5640.7218904953952</c:v>
                </c:pt>
                <c:pt idx="3">
                  <c:v>5640.7218904953952</c:v>
                </c:pt>
                <c:pt idx="4">
                  <c:v>5640.7218904953952</c:v>
                </c:pt>
                <c:pt idx="5">
                  <c:v>5640.7218904953952</c:v>
                </c:pt>
                <c:pt idx="6">
                  <c:v>5640.7218904953952</c:v>
                </c:pt>
                <c:pt idx="7">
                  <c:v>5640.7218904953952</c:v>
                </c:pt>
                <c:pt idx="8">
                  <c:v>5640.7218904953952</c:v>
                </c:pt>
                <c:pt idx="9">
                  <c:v>5640.7218904953952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19-4659-8F3E-9AAE2B8F4881}"/>
            </c:ext>
          </c:extLst>
        </c:ser>
        <c:ser>
          <c:idx val="1"/>
          <c:order val="1"/>
          <c:tx>
            <c:v>Upper box</c:v>
          </c:tx>
          <c:spPr>
            <a:ln w="38100">
              <a:noFill/>
            </a:ln>
          </c:spPr>
          <c:marker>
            <c:symbol val="none"/>
          </c:marker>
          <c:errBars>
            <c:errDir val="y"/>
            <c:errBarType val="plus"/>
            <c:errValType val="cust"/>
            <c:noEndCap val="1"/>
            <c:plus>
              <c:numRef>
                <c:f>'Cell B11'!$C$142:$L$142</c:f>
                <c:numCache>
                  <c:formatCode>General</c:formatCode>
                  <c:ptCount val="10"/>
                  <c:pt idx="0">
                    <c:v>907.97778190913596</c:v>
                  </c:pt>
                  <c:pt idx="1">
                    <c:v>907.97778190913596</c:v>
                  </c:pt>
                  <c:pt idx="2">
                    <c:v>907.97778190913596</c:v>
                  </c:pt>
                  <c:pt idx="3">
                    <c:v>907.97778190913596</c:v>
                  </c:pt>
                  <c:pt idx="4">
                    <c:v>907.97778190913596</c:v>
                  </c:pt>
                  <c:pt idx="5">
                    <c:v>907.97778190913596</c:v>
                  </c:pt>
                  <c:pt idx="6">
                    <c:v>907.97778190913596</c:v>
                  </c:pt>
                  <c:pt idx="7">
                    <c:v>907.97778190913596</c:v>
                  </c:pt>
                  <c:pt idx="8">
                    <c:v>907.97778190913596</c:v>
                  </c:pt>
                  <c:pt idx="9">
                    <c:v>907.97778190913596</c:v>
                  </c:pt>
                </c:numCache>
              </c:numRef>
            </c:plus>
            <c:spPr>
              <a:ln w="215900" cap="flat" cmpd="sng" algn="ctr">
                <a:solidFill>
                  <a:srgbClr val="FF0000">
                    <a:alpha val="7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</c:spPr>
          </c:errBars>
          <c:xVal>
            <c:strRef>
              <c:f>'Cell B11'!$C$133:$L$133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xVal>
          <c:yVal>
            <c:numRef>
              <c:f>'Cell B11'!$C$137:$L$137</c:f>
              <c:numCache>
                <c:formatCode>[$£]\ #,##0.00</c:formatCode>
                <c:ptCount val="10"/>
                <c:pt idx="0">
                  <c:v>5640.7218904953952</c:v>
                </c:pt>
                <c:pt idx="1">
                  <c:v>5640.7218904953952</c:v>
                </c:pt>
                <c:pt idx="2">
                  <c:v>5640.7218904953952</c:v>
                </c:pt>
                <c:pt idx="3">
                  <c:v>5640.7218904953952</c:v>
                </c:pt>
                <c:pt idx="4">
                  <c:v>5640.7218904953952</c:v>
                </c:pt>
                <c:pt idx="5">
                  <c:v>5640.7218904953952</c:v>
                </c:pt>
                <c:pt idx="6">
                  <c:v>5640.7218904953952</c:v>
                </c:pt>
                <c:pt idx="7">
                  <c:v>5640.7218904953952</c:v>
                </c:pt>
                <c:pt idx="8">
                  <c:v>5640.7218904953952</c:v>
                </c:pt>
                <c:pt idx="9">
                  <c:v>5640.7218904953952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19-4659-8F3E-9AAE2B8F4881}"/>
            </c:ext>
          </c:extLst>
        </c:ser>
        <c:ser>
          <c:idx val="2"/>
          <c:order val="2"/>
          <c:tx>
            <c:v>Lower whisker</c:v>
          </c:tx>
          <c:spPr>
            <a:ln w="38100">
              <a:noFill/>
            </a:ln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minus>
              <c:numRef>
                <c:f>'Cell B11'!$C$140:$L$140</c:f>
                <c:numCache>
                  <c:formatCode>General</c:formatCode>
                  <c:ptCount val="10"/>
                  <c:pt idx="0">
                    <c:v>816.33333430751645</c:v>
                  </c:pt>
                  <c:pt idx="1">
                    <c:v>816.33333430751645</c:v>
                  </c:pt>
                  <c:pt idx="2">
                    <c:v>816.33333430751645</c:v>
                  </c:pt>
                  <c:pt idx="3">
                    <c:v>816.33333430751645</c:v>
                  </c:pt>
                  <c:pt idx="4">
                    <c:v>816.33333430751645</c:v>
                  </c:pt>
                  <c:pt idx="5">
                    <c:v>816.33333430751645</c:v>
                  </c:pt>
                  <c:pt idx="6">
                    <c:v>816.33333430751645</c:v>
                  </c:pt>
                  <c:pt idx="7">
                    <c:v>816.33333430751645</c:v>
                  </c:pt>
                  <c:pt idx="8">
                    <c:v>816.33333430751645</c:v>
                  </c:pt>
                  <c:pt idx="9">
                    <c:v>816.33333430751645</c:v>
                  </c:pt>
                </c:numCache>
              </c:numRef>
            </c:minus>
          </c:errBars>
          <c:xVal>
            <c:strRef>
              <c:f>'Cell B11'!$C$133:$L$133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xVal>
          <c:yVal>
            <c:numRef>
              <c:f>'Cell B11'!$C$136:$L$136</c:f>
              <c:numCache>
                <c:formatCode>[$£]\ #,##0.00</c:formatCode>
                <c:ptCount val="10"/>
                <c:pt idx="0">
                  <c:v>4807.8095779091627</c:v>
                </c:pt>
                <c:pt idx="1">
                  <c:v>4807.8095779091627</c:v>
                </c:pt>
                <c:pt idx="2">
                  <c:v>4807.8095779091627</c:v>
                </c:pt>
                <c:pt idx="3">
                  <c:v>4807.8095779091627</c:v>
                </c:pt>
                <c:pt idx="4">
                  <c:v>4807.8095779091627</c:v>
                </c:pt>
                <c:pt idx="5">
                  <c:v>4807.8095779091627</c:v>
                </c:pt>
                <c:pt idx="6">
                  <c:v>4807.8095779091627</c:v>
                </c:pt>
                <c:pt idx="7">
                  <c:v>4807.8095779091627</c:v>
                </c:pt>
                <c:pt idx="8">
                  <c:v>4807.8095779091627</c:v>
                </c:pt>
                <c:pt idx="9">
                  <c:v>4807.8095779091627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19-4659-8F3E-9AAE2B8F4881}"/>
            </c:ext>
          </c:extLst>
        </c:ser>
        <c:ser>
          <c:idx val="3"/>
          <c:order val="3"/>
          <c:tx>
            <c:v>Upper whisker</c:v>
          </c:tx>
          <c:spPr>
            <a:ln w="38100">
              <a:noFill/>
            </a:ln>
          </c:spPr>
          <c:marker>
            <c:symbol val="none"/>
          </c:marker>
          <c:errBars>
            <c:errDir val="y"/>
            <c:errBarType val="plus"/>
            <c:errValType val="cust"/>
            <c:noEndCap val="1"/>
            <c:plus>
              <c:numRef>
                <c:f>'Cell B11'!$C$143:$L$143</c:f>
                <c:numCache>
                  <c:formatCode>General</c:formatCode>
                  <c:ptCount val="10"/>
                  <c:pt idx="0">
                    <c:v>2315.4438185448889</c:v>
                  </c:pt>
                  <c:pt idx="1">
                    <c:v>2315.4438185448889</c:v>
                  </c:pt>
                  <c:pt idx="2">
                    <c:v>2315.4438185448889</c:v>
                  </c:pt>
                  <c:pt idx="3">
                    <c:v>2315.4438185448889</c:v>
                  </c:pt>
                  <c:pt idx="4">
                    <c:v>2315.4438185448889</c:v>
                  </c:pt>
                  <c:pt idx="5">
                    <c:v>2315.4438185448889</c:v>
                  </c:pt>
                  <c:pt idx="6">
                    <c:v>2315.4438185448889</c:v>
                  </c:pt>
                  <c:pt idx="7">
                    <c:v>2315.4438185448889</c:v>
                  </c:pt>
                  <c:pt idx="8">
                    <c:v>2315.4438185448889</c:v>
                  </c:pt>
                  <c:pt idx="9">
                    <c:v>2315.4438185448889</c:v>
                  </c:pt>
                </c:numCache>
              </c:numRef>
            </c:plus>
          </c:errBars>
          <c:xVal>
            <c:strRef>
              <c:f>'Cell B11'!$C$133:$L$133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xVal>
          <c:yVal>
            <c:numRef>
              <c:f>'Cell B11'!$C$138:$L$138</c:f>
              <c:numCache>
                <c:formatCode>[$£]\ #,##0.00</c:formatCode>
                <c:ptCount val="10"/>
                <c:pt idx="0">
                  <c:v>6548.6996724045312</c:v>
                </c:pt>
                <c:pt idx="1">
                  <c:v>6548.6996724045312</c:v>
                </c:pt>
                <c:pt idx="2">
                  <c:v>6548.6996724045312</c:v>
                </c:pt>
                <c:pt idx="3">
                  <c:v>6548.6996724045312</c:v>
                </c:pt>
                <c:pt idx="4">
                  <c:v>6548.6996724045312</c:v>
                </c:pt>
                <c:pt idx="5">
                  <c:v>6548.6996724045312</c:v>
                </c:pt>
                <c:pt idx="6">
                  <c:v>6548.6996724045312</c:v>
                </c:pt>
                <c:pt idx="7">
                  <c:v>6548.6996724045312</c:v>
                </c:pt>
                <c:pt idx="8">
                  <c:v>6548.6996724045312</c:v>
                </c:pt>
                <c:pt idx="9">
                  <c:v>6548.6996724045312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19-4659-8F3E-9AAE2B8F4881}"/>
            </c:ext>
          </c:extLst>
        </c:ser>
        <c:ser>
          <c:idx val="4"/>
          <c:order val="4"/>
          <c:tx>
            <c:v>Mean</c:v>
          </c:tx>
          <c:spPr>
            <a:ln w="38100">
              <a:noFill/>
            </a:ln>
          </c:spPr>
          <c:marker>
            <c:symbol val="x"/>
            <c:size val="5"/>
            <c:spPr>
              <a:ln>
                <a:solidFill>
                  <a:srgbClr val="8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Value: 30.00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819-4659-8F3E-9AAE2B8F48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Value: 35.56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819-4659-8F3E-9AAE2B8F48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Value: 41.11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819-4659-8F3E-9AAE2B8F48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Value: 46.67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819-4659-8F3E-9AAE2B8F48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Value: 52.22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819-4659-8F3E-9AAE2B8F488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Value: 57.78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819-4659-8F3E-9AAE2B8F488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Value: 63.33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819-4659-8F3E-9AAE2B8F488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Value: 68.89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819-4659-8F3E-9AAE2B8F488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Value: 74.44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A819-4659-8F3E-9AAE2B8F488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Value: 80.00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A819-4659-8F3E-9AAE2B8F48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5400000" vert="horz" wrap="square" lIns="38100" tIns="36576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strRef>
              <c:f>'Cell B11'!$C$133:$L$133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xVal>
          <c:yVal>
            <c:numRef>
              <c:f>'Cell B11'!$C$134:$L$134</c:f>
              <c:numCache>
                <c:formatCode>[$£]\ #,##0.00</c:formatCode>
                <c:ptCount val="10"/>
                <c:pt idx="0">
                  <c:v>7196.3302429742571</c:v>
                </c:pt>
                <c:pt idx="1">
                  <c:v>7196.3302429742571</c:v>
                </c:pt>
                <c:pt idx="2">
                  <c:v>7196.3302429742571</c:v>
                </c:pt>
                <c:pt idx="3">
                  <c:v>7196.3302429742571</c:v>
                </c:pt>
                <c:pt idx="4">
                  <c:v>7196.3302429742571</c:v>
                </c:pt>
                <c:pt idx="5">
                  <c:v>7196.3302429742571</c:v>
                </c:pt>
                <c:pt idx="6">
                  <c:v>7196.3302429742571</c:v>
                </c:pt>
                <c:pt idx="7">
                  <c:v>7196.3302429742571</c:v>
                </c:pt>
                <c:pt idx="8">
                  <c:v>7196.3302429742571</c:v>
                </c:pt>
                <c:pt idx="9">
                  <c:v>7196.3302429742571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19-4659-8F3E-9AAE2B8F4881}"/>
            </c:ext>
          </c:extLst>
        </c:ser>
        <c:ser>
          <c:idx val="5"/>
          <c:order val="5"/>
          <c:tx>
            <c:v>Value: 30.00,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</c:numLit>
          </c:xVal>
          <c:yVal>
            <c:numRef>
              <c:f>'Cell B11'!$C$144:$C$168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819-4659-8F3E-9AAE2B8F4881}"/>
            </c:ext>
          </c:extLst>
        </c:ser>
        <c:ser>
          <c:idx val="6"/>
          <c:order val="6"/>
          <c:tx>
            <c:v>Value: 30.00,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</c:numLit>
          </c:xVal>
          <c:yVal>
            <c:numRef>
              <c:f>'Cell B11'!$C$169:$C$231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819-4659-8F3E-9AAE2B8F4881}"/>
            </c:ext>
          </c:extLst>
        </c:ser>
        <c:ser>
          <c:idx val="7"/>
          <c:order val="7"/>
          <c:tx>
            <c:v>Value: 35.56,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2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2</c:v>
              </c:pt>
              <c:pt idx="10">
                <c:v>2</c:v>
              </c:pt>
              <c:pt idx="11">
                <c:v>2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2</c:v>
              </c:pt>
              <c:pt idx="18">
                <c:v>2</c:v>
              </c:pt>
              <c:pt idx="19">
                <c:v>2</c:v>
              </c:pt>
              <c:pt idx="20">
                <c:v>2</c:v>
              </c:pt>
              <c:pt idx="21">
                <c:v>2</c:v>
              </c:pt>
              <c:pt idx="22">
                <c:v>2</c:v>
              </c:pt>
              <c:pt idx="23">
                <c:v>2</c:v>
              </c:pt>
              <c:pt idx="24">
                <c:v>2</c:v>
              </c:pt>
            </c:numLit>
          </c:xVal>
          <c:yVal>
            <c:numRef>
              <c:f>'Cell B11'!$D$144:$D$168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819-4659-8F3E-9AAE2B8F4881}"/>
            </c:ext>
          </c:extLst>
        </c:ser>
        <c:ser>
          <c:idx val="8"/>
          <c:order val="8"/>
          <c:tx>
            <c:v>Value: 35.56,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2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2</c:v>
              </c:pt>
              <c:pt idx="10">
                <c:v>2</c:v>
              </c:pt>
              <c:pt idx="11">
                <c:v>2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2</c:v>
              </c:pt>
              <c:pt idx="18">
                <c:v>2</c:v>
              </c:pt>
              <c:pt idx="19">
                <c:v>2</c:v>
              </c:pt>
              <c:pt idx="20">
                <c:v>2</c:v>
              </c:pt>
              <c:pt idx="21">
                <c:v>2</c:v>
              </c:pt>
              <c:pt idx="22">
                <c:v>2</c:v>
              </c:pt>
              <c:pt idx="23">
                <c:v>2</c:v>
              </c:pt>
              <c:pt idx="24">
                <c:v>2</c:v>
              </c:pt>
              <c:pt idx="25">
                <c:v>2</c:v>
              </c:pt>
              <c:pt idx="26">
                <c:v>2</c:v>
              </c:pt>
              <c:pt idx="27">
                <c:v>2</c:v>
              </c:pt>
              <c:pt idx="28">
                <c:v>2</c:v>
              </c:pt>
              <c:pt idx="29">
                <c:v>2</c:v>
              </c:pt>
              <c:pt idx="30">
                <c:v>2</c:v>
              </c:pt>
              <c:pt idx="31">
                <c:v>2</c:v>
              </c:pt>
              <c:pt idx="32">
                <c:v>2</c:v>
              </c:pt>
              <c:pt idx="33">
                <c:v>2</c:v>
              </c:pt>
              <c:pt idx="34">
                <c:v>2</c:v>
              </c:pt>
              <c:pt idx="35">
                <c:v>2</c:v>
              </c:pt>
              <c:pt idx="36">
                <c:v>2</c:v>
              </c:pt>
              <c:pt idx="37">
                <c:v>2</c:v>
              </c:pt>
              <c:pt idx="38">
                <c:v>2</c:v>
              </c:pt>
              <c:pt idx="39">
                <c:v>2</c:v>
              </c:pt>
              <c:pt idx="40">
                <c:v>2</c:v>
              </c:pt>
              <c:pt idx="41">
                <c:v>2</c:v>
              </c:pt>
              <c:pt idx="42">
                <c:v>2</c:v>
              </c:pt>
              <c:pt idx="43">
                <c:v>2</c:v>
              </c:pt>
              <c:pt idx="44">
                <c:v>2</c:v>
              </c:pt>
              <c:pt idx="45">
                <c:v>2</c:v>
              </c:pt>
              <c:pt idx="46">
                <c:v>2</c:v>
              </c:pt>
              <c:pt idx="47">
                <c:v>2</c:v>
              </c:pt>
              <c:pt idx="48">
                <c:v>2</c:v>
              </c:pt>
              <c:pt idx="49">
                <c:v>2</c:v>
              </c:pt>
              <c:pt idx="50">
                <c:v>2</c:v>
              </c:pt>
              <c:pt idx="51">
                <c:v>2</c:v>
              </c:pt>
              <c:pt idx="52">
                <c:v>2</c:v>
              </c:pt>
              <c:pt idx="53">
                <c:v>2</c:v>
              </c:pt>
              <c:pt idx="54">
                <c:v>2</c:v>
              </c:pt>
              <c:pt idx="55">
                <c:v>2</c:v>
              </c:pt>
              <c:pt idx="56">
                <c:v>2</c:v>
              </c:pt>
              <c:pt idx="57">
                <c:v>2</c:v>
              </c:pt>
              <c:pt idx="58">
                <c:v>2</c:v>
              </c:pt>
              <c:pt idx="59">
                <c:v>2</c:v>
              </c:pt>
              <c:pt idx="60">
                <c:v>2</c:v>
              </c:pt>
              <c:pt idx="61">
                <c:v>2</c:v>
              </c:pt>
              <c:pt idx="62">
                <c:v>2</c:v>
              </c:pt>
            </c:numLit>
          </c:xVal>
          <c:yVal>
            <c:numRef>
              <c:f>'Cell B11'!$D$169:$D$231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819-4659-8F3E-9AAE2B8F4881}"/>
            </c:ext>
          </c:extLst>
        </c:ser>
        <c:ser>
          <c:idx val="9"/>
          <c:order val="9"/>
          <c:tx>
            <c:v>Value: 41.11,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3</c:v>
              </c:pt>
              <c:pt idx="1">
                <c:v>3</c:v>
              </c:pt>
              <c:pt idx="2">
                <c:v>3</c:v>
              </c:pt>
              <c:pt idx="3">
                <c:v>3</c:v>
              </c:pt>
              <c:pt idx="4">
                <c:v>3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3</c:v>
              </c:pt>
              <c:pt idx="9">
                <c:v>3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3</c:v>
              </c:pt>
              <c:pt idx="16">
                <c:v>3</c:v>
              </c:pt>
              <c:pt idx="17">
                <c:v>3</c:v>
              </c:pt>
              <c:pt idx="18">
                <c:v>3</c:v>
              </c:pt>
              <c:pt idx="19">
                <c:v>3</c:v>
              </c:pt>
              <c:pt idx="20">
                <c:v>3</c:v>
              </c:pt>
              <c:pt idx="21">
                <c:v>3</c:v>
              </c:pt>
              <c:pt idx="22">
                <c:v>3</c:v>
              </c:pt>
              <c:pt idx="23">
                <c:v>3</c:v>
              </c:pt>
              <c:pt idx="24">
                <c:v>3</c:v>
              </c:pt>
            </c:numLit>
          </c:xVal>
          <c:yVal>
            <c:numRef>
              <c:f>'Cell B11'!$E$144:$E$168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819-4659-8F3E-9AAE2B8F4881}"/>
            </c:ext>
          </c:extLst>
        </c:ser>
        <c:ser>
          <c:idx val="10"/>
          <c:order val="10"/>
          <c:tx>
            <c:v>Value: 41.11,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3</c:v>
              </c:pt>
              <c:pt idx="1">
                <c:v>3</c:v>
              </c:pt>
              <c:pt idx="2">
                <c:v>3</c:v>
              </c:pt>
              <c:pt idx="3">
                <c:v>3</c:v>
              </c:pt>
              <c:pt idx="4">
                <c:v>3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3</c:v>
              </c:pt>
              <c:pt idx="9">
                <c:v>3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3</c:v>
              </c:pt>
              <c:pt idx="16">
                <c:v>3</c:v>
              </c:pt>
              <c:pt idx="17">
                <c:v>3</c:v>
              </c:pt>
              <c:pt idx="18">
                <c:v>3</c:v>
              </c:pt>
              <c:pt idx="19">
                <c:v>3</c:v>
              </c:pt>
              <c:pt idx="20">
                <c:v>3</c:v>
              </c:pt>
              <c:pt idx="21">
                <c:v>3</c:v>
              </c:pt>
              <c:pt idx="22">
                <c:v>3</c:v>
              </c:pt>
              <c:pt idx="23">
                <c:v>3</c:v>
              </c:pt>
              <c:pt idx="24">
                <c:v>3</c:v>
              </c:pt>
              <c:pt idx="25">
                <c:v>3</c:v>
              </c:pt>
              <c:pt idx="26">
                <c:v>3</c:v>
              </c:pt>
              <c:pt idx="27">
                <c:v>3</c:v>
              </c:pt>
              <c:pt idx="28">
                <c:v>3</c:v>
              </c:pt>
              <c:pt idx="29">
                <c:v>3</c:v>
              </c:pt>
              <c:pt idx="30">
                <c:v>3</c:v>
              </c:pt>
              <c:pt idx="31">
                <c:v>3</c:v>
              </c:pt>
              <c:pt idx="32">
                <c:v>3</c:v>
              </c:pt>
              <c:pt idx="33">
                <c:v>3</c:v>
              </c:pt>
              <c:pt idx="34">
                <c:v>3</c:v>
              </c:pt>
              <c:pt idx="35">
                <c:v>3</c:v>
              </c:pt>
              <c:pt idx="36">
                <c:v>3</c:v>
              </c:pt>
              <c:pt idx="37">
                <c:v>3</c:v>
              </c:pt>
              <c:pt idx="38">
                <c:v>3</c:v>
              </c:pt>
              <c:pt idx="39">
                <c:v>3</c:v>
              </c:pt>
              <c:pt idx="40">
                <c:v>3</c:v>
              </c:pt>
              <c:pt idx="41">
                <c:v>3</c:v>
              </c:pt>
              <c:pt idx="42">
                <c:v>3</c:v>
              </c:pt>
              <c:pt idx="43">
                <c:v>3</c:v>
              </c:pt>
              <c:pt idx="44">
                <c:v>3</c:v>
              </c:pt>
              <c:pt idx="45">
                <c:v>3</c:v>
              </c:pt>
              <c:pt idx="46">
                <c:v>3</c:v>
              </c:pt>
              <c:pt idx="47">
                <c:v>3</c:v>
              </c:pt>
              <c:pt idx="48">
                <c:v>3</c:v>
              </c:pt>
              <c:pt idx="49">
                <c:v>3</c:v>
              </c:pt>
              <c:pt idx="50">
                <c:v>3</c:v>
              </c:pt>
              <c:pt idx="51">
                <c:v>3</c:v>
              </c:pt>
              <c:pt idx="52">
                <c:v>3</c:v>
              </c:pt>
              <c:pt idx="53">
                <c:v>3</c:v>
              </c:pt>
              <c:pt idx="54">
                <c:v>3</c:v>
              </c:pt>
              <c:pt idx="55">
                <c:v>3</c:v>
              </c:pt>
              <c:pt idx="56">
                <c:v>3</c:v>
              </c:pt>
              <c:pt idx="57">
                <c:v>3</c:v>
              </c:pt>
              <c:pt idx="58">
                <c:v>3</c:v>
              </c:pt>
              <c:pt idx="59">
                <c:v>3</c:v>
              </c:pt>
              <c:pt idx="60">
                <c:v>3</c:v>
              </c:pt>
              <c:pt idx="61">
                <c:v>3</c:v>
              </c:pt>
              <c:pt idx="62">
                <c:v>3</c:v>
              </c:pt>
            </c:numLit>
          </c:xVal>
          <c:yVal>
            <c:numRef>
              <c:f>'Cell B11'!$E$169:$E$231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819-4659-8F3E-9AAE2B8F4881}"/>
            </c:ext>
          </c:extLst>
        </c:ser>
        <c:ser>
          <c:idx val="11"/>
          <c:order val="11"/>
          <c:tx>
            <c:v>Value: 46.67,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4</c:v>
              </c:pt>
              <c:pt idx="1">
                <c:v>4</c:v>
              </c:pt>
              <c:pt idx="2">
                <c:v>4</c:v>
              </c:pt>
              <c:pt idx="3">
                <c:v>4</c:v>
              </c:pt>
              <c:pt idx="4">
                <c:v>4</c:v>
              </c:pt>
              <c:pt idx="5">
                <c:v>4</c:v>
              </c:pt>
              <c:pt idx="6">
                <c:v>4</c:v>
              </c:pt>
              <c:pt idx="7">
                <c:v>4</c:v>
              </c:pt>
              <c:pt idx="8">
                <c:v>4</c:v>
              </c:pt>
              <c:pt idx="9">
                <c:v>4</c:v>
              </c:pt>
              <c:pt idx="10">
                <c:v>4</c:v>
              </c:pt>
              <c:pt idx="11">
                <c:v>4</c:v>
              </c:pt>
              <c:pt idx="12">
                <c:v>4</c:v>
              </c:pt>
              <c:pt idx="13">
                <c:v>4</c:v>
              </c:pt>
              <c:pt idx="14">
                <c:v>4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4</c:v>
              </c:pt>
              <c:pt idx="21">
                <c:v>4</c:v>
              </c:pt>
              <c:pt idx="22">
                <c:v>4</c:v>
              </c:pt>
              <c:pt idx="23">
                <c:v>4</c:v>
              </c:pt>
              <c:pt idx="24">
                <c:v>4</c:v>
              </c:pt>
            </c:numLit>
          </c:xVal>
          <c:yVal>
            <c:numRef>
              <c:f>'Cell B11'!$F$144:$F$168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819-4659-8F3E-9AAE2B8F4881}"/>
            </c:ext>
          </c:extLst>
        </c:ser>
        <c:ser>
          <c:idx val="12"/>
          <c:order val="12"/>
          <c:tx>
            <c:v>Value: 46.67,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4</c:v>
              </c:pt>
              <c:pt idx="1">
                <c:v>4</c:v>
              </c:pt>
              <c:pt idx="2">
                <c:v>4</c:v>
              </c:pt>
              <c:pt idx="3">
                <c:v>4</c:v>
              </c:pt>
              <c:pt idx="4">
                <c:v>4</c:v>
              </c:pt>
              <c:pt idx="5">
                <c:v>4</c:v>
              </c:pt>
              <c:pt idx="6">
                <c:v>4</c:v>
              </c:pt>
              <c:pt idx="7">
                <c:v>4</c:v>
              </c:pt>
              <c:pt idx="8">
                <c:v>4</c:v>
              </c:pt>
              <c:pt idx="9">
                <c:v>4</c:v>
              </c:pt>
              <c:pt idx="10">
                <c:v>4</c:v>
              </c:pt>
              <c:pt idx="11">
                <c:v>4</c:v>
              </c:pt>
              <c:pt idx="12">
                <c:v>4</c:v>
              </c:pt>
              <c:pt idx="13">
                <c:v>4</c:v>
              </c:pt>
              <c:pt idx="14">
                <c:v>4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4</c:v>
              </c:pt>
              <c:pt idx="21">
                <c:v>4</c:v>
              </c:pt>
              <c:pt idx="22">
                <c:v>4</c:v>
              </c:pt>
              <c:pt idx="23">
                <c:v>4</c:v>
              </c:pt>
              <c:pt idx="24">
                <c:v>4</c:v>
              </c:pt>
              <c:pt idx="25">
                <c:v>4</c:v>
              </c:pt>
              <c:pt idx="26">
                <c:v>4</c:v>
              </c:pt>
              <c:pt idx="27">
                <c:v>4</c:v>
              </c:pt>
              <c:pt idx="28">
                <c:v>4</c:v>
              </c:pt>
              <c:pt idx="29">
                <c:v>4</c:v>
              </c:pt>
              <c:pt idx="30">
                <c:v>4</c:v>
              </c:pt>
              <c:pt idx="31">
                <c:v>4</c:v>
              </c:pt>
              <c:pt idx="32">
                <c:v>4</c:v>
              </c:pt>
              <c:pt idx="33">
                <c:v>4</c:v>
              </c:pt>
              <c:pt idx="34">
                <c:v>4</c:v>
              </c:pt>
              <c:pt idx="35">
                <c:v>4</c:v>
              </c:pt>
              <c:pt idx="36">
                <c:v>4</c:v>
              </c:pt>
              <c:pt idx="37">
                <c:v>4</c:v>
              </c:pt>
              <c:pt idx="38">
                <c:v>4</c:v>
              </c:pt>
              <c:pt idx="39">
                <c:v>4</c:v>
              </c:pt>
              <c:pt idx="40">
                <c:v>4</c:v>
              </c:pt>
              <c:pt idx="41">
                <c:v>4</c:v>
              </c:pt>
              <c:pt idx="42">
                <c:v>4</c:v>
              </c:pt>
              <c:pt idx="43">
                <c:v>4</c:v>
              </c:pt>
              <c:pt idx="44">
                <c:v>4</c:v>
              </c:pt>
              <c:pt idx="45">
                <c:v>4</c:v>
              </c:pt>
              <c:pt idx="46">
                <c:v>4</c:v>
              </c:pt>
              <c:pt idx="47">
                <c:v>4</c:v>
              </c:pt>
              <c:pt idx="48">
                <c:v>4</c:v>
              </c:pt>
              <c:pt idx="49">
                <c:v>4</c:v>
              </c:pt>
              <c:pt idx="50">
                <c:v>4</c:v>
              </c:pt>
              <c:pt idx="51">
                <c:v>4</c:v>
              </c:pt>
              <c:pt idx="52">
                <c:v>4</c:v>
              </c:pt>
              <c:pt idx="53">
                <c:v>4</c:v>
              </c:pt>
              <c:pt idx="54">
                <c:v>4</c:v>
              </c:pt>
              <c:pt idx="55">
                <c:v>4</c:v>
              </c:pt>
              <c:pt idx="56">
                <c:v>4</c:v>
              </c:pt>
              <c:pt idx="57">
                <c:v>4</c:v>
              </c:pt>
              <c:pt idx="58">
                <c:v>4</c:v>
              </c:pt>
              <c:pt idx="59">
                <c:v>4</c:v>
              </c:pt>
              <c:pt idx="60">
                <c:v>4</c:v>
              </c:pt>
              <c:pt idx="61">
                <c:v>4</c:v>
              </c:pt>
              <c:pt idx="62">
                <c:v>4</c:v>
              </c:pt>
            </c:numLit>
          </c:xVal>
          <c:yVal>
            <c:numRef>
              <c:f>'Cell B11'!$F$169:$F$231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819-4659-8F3E-9AAE2B8F4881}"/>
            </c:ext>
          </c:extLst>
        </c:ser>
        <c:ser>
          <c:idx val="13"/>
          <c:order val="13"/>
          <c:tx>
            <c:v>Value: 52.22,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5</c:v>
              </c:pt>
              <c:pt idx="1">
                <c:v>5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5</c:v>
              </c:pt>
              <c:pt idx="16">
                <c:v>5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</c:numLit>
          </c:xVal>
          <c:yVal>
            <c:numRef>
              <c:f>'Cell B11'!$G$144:$G$168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819-4659-8F3E-9AAE2B8F4881}"/>
            </c:ext>
          </c:extLst>
        </c:ser>
        <c:ser>
          <c:idx val="14"/>
          <c:order val="14"/>
          <c:tx>
            <c:v>Value: 52.22,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5</c:v>
              </c:pt>
              <c:pt idx="1">
                <c:v>5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5</c:v>
              </c:pt>
              <c:pt idx="12">
                <c:v>5</c:v>
              </c:pt>
              <c:pt idx="13">
                <c:v>5</c:v>
              </c:pt>
              <c:pt idx="14">
                <c:v>5</c:v>
              </c:pt>
              <c:pt idx="15">
                <c:v>5</c:v>
              </c:pt>
              <c:pt idx="16">
                <c:v>5</c:v>
              </c:pt>
              <c:pt idx="17">
                <c:v>5</c:v>
              </c:pt>
              <c:pt idx="18">
                <c:v>5</c:v>
              </c:pt>
              <c:pt idx="19">
                <c:v>5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  <c:pt idx="25">
                <c:v>5</c:v>
              </c:pt>
              <c:pt idx="26">
                <c:v>5</c:v>
              </c:pt>
              <c:pt idx="27">
                <c:v>5</c:v>
              </c:pt>
              <c:pt idx="28">
                <c:v>5</c:v>
              </c:pt>
              <c:pt idx="29">
                <c:v>5</c:v>
              </c:pt>
              <c:pt idx="30">
                <c:v>5</c:v>
              </c:pt>
              <c:pt idx="31">
                <c:v>5</c:v>
              </c:pt>
              <c:pt idx="32">
                <c:v>5</c:v>
              </c:pt>
              <c:pt idx="33">
                <c:v>5</c:v>
              </c:pt>
              <c:pt idx="34">
                <c:v>5</c:v>
              </c:pt>
              <c:pt idx="35">
                <c:v>5</c:v>
              </c:pt>
              <c:pt idx="36">
                <c:v>5</c:v>
              </c:pt>
              <c:pt idx="37">
                <c:v>5</c:v>
              </c:pt>
              <c:pt idx="38">
                <c:v>5</c:v>
              </c:pt>
              <c:pt idx="39">
                <c:v>5</c:v>
              </c:pt>
              <c:pt idx="40">
                <c:v>5</c:v>
              </c:pt>
              <c:pt idx="41">
                <c:v>5</c:v>
              </c:pt>
              <c:pt idx="42">
                <c:v>5</c:v>
              </c:pt>
              <c:pt idx="43">
                <c:v>5</c:v>
              </c:pt>
              <c:pt idx="44">
                <c:v>5</c:v>
              </c:pt>
              <c:pt idx="45">
                <c:v>5</c:v>
              </c:pt>
              <c:pt idx="46">
                <c:v>5</c:v>
              </c:pt>
              <c:pt idx="47">
                <c:v>5</c:v>
              </c:pt>
              <c:pt idx="48">
                <c:v>5</c:v>
              </c:pt>
              <c:pt idx="49">
                <c:v>5</c:v>
              </c:pt>
              <c:pt idx="50">
                <c:v>5</c:v>
              </c:pt>
              <c:pt idx="51">
                <c:v>5</c:v>
              </c:pt>
              <c:pt idx="52">
                <c:v>5</c:v>
              </c:pt>
              <c:pt idx="53">
                <c:v>5</c:v>
              </c:pt>
              <c:pt idx="54">
                <c:v>5</c:v>
              </c:pt>
              <c:pt idx="55">
                <c:v>5</c:v>
              </c:pt>
              <c:pt idx="56">
                <c:v>5</c:v>
              </c:pt>
              <c:pt idx="57">
                <c:v>5</c:v>
              </c:pt>
              <c:pt idx="58">
                <c:v>5</c:v>
              </c:pt>
              <c:pt idx="59">
                <c:v>5</c:v>
              </c:pt>
              <c:pt idx="60">
                <c:v>5</c:v>
              </c:pt>
              <c:pt idx="61">
                <c:v>5</c:v>
              </c:pt>
              <c:pt idx="62">
                <c:v>5</c:v>
              </c:pt>
            </c:numLit>
          </c:xVal>
          <c:yVal>
            <c:numRef>
              <c:f>'Cell B11'!$G$169:$G$231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819-4659-8F3E-9AAE2B8F4881}"/>
            </c:ext>
          </c:extLst>
        </c:ser>
        <c:ser>
          <c:idx val="15"/>
          <c:order val="15"/>
          <c:tx>
            <c:v>Value: 57.78,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6</c:v>
              </c:pt>
              <c:pt idx="1">
                <c:v>6</c:v>
              </c:pt>
              <c:pt idx="2">
                <c:v>6</c:v>
              </c:pt>
              <c:pt idx="3">
                <c:v>6</c:v>
              </c:pt>
              <c:pt idx="4">
                <c:v>6</c:v>
              </c:pt>
              <c:pt idx="5">
                <c:v>6</c:v>
              </c:pt>
              <c:pt idx="6">
                <c:v>6</c:v>
              </c:pt>
              <c:pt idx="7">
                <c:v>6</c:v>
              </c:pt>
              <c:pt idx="8">
                <c:v>6</c:v>
              </c:pt>
              <c:pt idx="9">
                <c:v>6</c:v>
              </c:pt>
              <c:pt idx="10">
                <c:v>6</c:v>
              </c:pt>
              <c:pt idx="11">
                <c:v>6</c:v>
              </c:pt>
              <c:pt idx="12">
                <c:v>6</c:v>
              </c:pt>
              <c:pt idx="13">
                <c:v>6</c:v>
              </c:pt>
              <c:pt idx="14">
                <c:v>6</c:v>
              </c:pt>
              <c:pt idx="15">
                <c:v>6</c:v>
              </c:pt>
              <c:pt idx="16">
                <c:v>6</c:v>
              </c:pt>
              <c:pt idx="17">
                <c:v>6</c:v>
              </c:pt>
              <c:pt idx="18">
                <c:v>6</c:v>
              </c:pt>
              <c:pt idx="19">
                <c:v>6</c:v>
              </c:pt>
              <c:pt idx="20">
                <c:v>6</c:v>
              </c:pt>
              <c:pt idx="21">
                <c:v>6</c:v>
              </c:pt>
              <c:pt idx="22">
                <c:v>6</c:v>
              </c:pt>
              <c:pt idx="23">
                <c:v>6</c:v>
              </c:pt>
              <c:pt idx="24">
                <c:v>6</c:v>
              </c:pt>
            </c:numLit>
          </c:xVal>
          <c:yVal>
            <c:numRef>
              <c:f>'Cell B11'!$H$144:$H$168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819-4659-8F3E-9AAE2B8F4881}"/>
            </c:ext>
          </c:extLst>
        </c:ser>
        <c:ser>
          <c:idx val="16"/>
          <c:order val="16"/>
          <c:tx>
            <c:v>Value: 57.78,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6</c:v>
              </c:pt>
              <c:pt idx="1">
                <c:v>6</c:v>
              </c:pt>
              <c:pt idx="2">
                <c:v>6</c:v>
              </c:pt>
              <c:pt idx="3">
                <c:v>6</c:v>
              </c:pt>
              <c:pt idx="4">
                <c:v>6</c:v>
              </c:pt>
              <c:pt idx="5">
                <c:v>6</c:v>
              </c:pt>
              <c:pt idx="6">
                <c:v>6</c:v>
              </c:pt>
              <c:pt idx="7">
                <c:v>6</c:v>
              </c:pt>
              <c:pt idx="8">
                <c:v>6</c:v>
              </c:pt>
              <c:pt idx="9">
                <c:v>6</c:v>
              </c:pt>
              <c:pt idx="10">
                <c:v>6</c:v>
              </c:pt>
              <c:pt idx="11">
                <c:v>6</c:v>
              </c:pt>
              <c:pt idx="12">
                <c:v>6</c:v>
              </c:pt>
              <c:pt idx="13">
                <c:v>6</c:v>
              </c:pt>
              <c:pt idx="14">
                <c:v>6</c:v>
              </c:pt>
              <c:pt idx="15">
                <c:v>6</c:v>
              </c:pt>
              <c:pt idx="16">
                <c:v>6</c:v>
              </c:pt>
              <c:pt idx="17">
                <c:v>6</c:v>
              </c:pt>
              <c:pt idx="18">
                <c:v>6</c:v>
              </c:pt>
              <c:pt idx="19">
                <c:v>6</c:v>
              </c:pt>
              <c:pt idx="20">
                <c:v>6</c:v>
              </c:pt>
              <c:pt idx="21">
                <c:v>6</c:v>
              </c:pt>
              <c:pt idx="22">
                <c:v>6</c:v>
              </c:pt>
              <c:pt idx="23">
                <c:v>6</c:v>
              </c:pt>
              <c:pt idx="24">
                <c:v>6</c:v>
              </c:pt>
              <c:pt idx="25">
                <c:v>6</c:v>
              </c:pt>
              <c:pt idx="26">
                <c:v>6</c:v>
              </c:pt>
              <c:pt idx="27">
                <c:v>6</c:v>
              </c:pt>
              <c:pt idx="28">
                <c:v>6</c:v>
              </c:pt>
              <c:pt idx="29">
                <c:v>6</c:v>
              </c:pt>
              <c:pt idx="30">
                <c:v>6</c:v>
              </c:pt>
              <c:pt idx="31">
                <c:v>6</c:v>
              </c:pt>
              <c:pt idx="32">
                <c:v>6</c:v>
              </c:pt>
              <c:pt idx="33">
                <c:v>6</c:v>
              </c:pt>
              <c:pt idx="34">
                <c:v>6</c:v>
              </c:pt>
              <c:pt idx="35">
                <c:v>6</c:v>
              </c:pt>
              <c:pt idx="36">
                <c:v>6</c:v>
              </c:pt>
              <c:pt idx="37">
                <c:v>6</c:v>
              </c:pt>
              <c:pt idx="38">
                <c:v>6</c:v>
              </c:pt>
              <c:pt idx="39">
                <c:v>6</c:v>
              </c:pt>
              <c:pt idx="40">
                <c:v>6</c:v>
              </c:pt>
              <c:pt idx="41">
                <c:v>6</c:v>
              </c:pt>
              <c:pt idx="42">
                <c:v>6</c:v>
              </c:pt>
              <c:pt idx="43">
                <c:v>6</c:v>
              </c:pt>
              <c:pt idx="44">
                <c:v>6</c:v>
              </c:pt>
              <c:pt idx="45">
                <c:v>6</c:v>
              </c:pt>
              <c:pt idx="46">
                <c:v>6</c:v>
              </c:pt>
              <c:pt idx="47">
                <c:v>6</c:v>
              </c:pt>
              <c:pt idx="48">
                <c:v>6</c:v>
              </c:pt>
              <c:pt idx="49">
                <c:v>6</c:v>
              </c:pt>
              <c:pt idx="50">
                <c:v>6</c:v>
              </c:pt>
              <c:pt idx="51">
                <c:v>6</c:v>
              </c:pt>
              <c:pt idx="52">
                <c:v>6</c:v>
              </c:pt>
              <c:pt idx="53">
                <c:v>6</c:v>
              </c:pt>
              <c:pt idx="54">
                <c:v>6</c:v>
              </c:pt>
              <c:pt idx="55">
                <c:v>6</c:v>
              </c:pt>
              <c:pt idx="56">
                <c:v>6</c:v>
              </c:pt>
              <c:pt idx="57">
                <c:v>6</c:v>
              </c:pt>
              <c:pt idx="58">
                <c:v>6</c:v>
              </c:pt>
              <c:pt idx="59">
                <c:v>6</c:v>
              </c:pt>
              <c:pt idx="60">
                <c:v>6</c:v>
              </c:pt>
              <c:pt idx="61">
                <c:v>6</c:v>
              </c:pt>
              <c:pt idx="62">
                <c:v>6</c:v>
              </c:pt>
            </c:numLit>
          </c:xVal>
          <c:yVal>
            <c:numRef>
              <c:f>'Cell B11'!$H$169:$H$231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819-4659-8F3E-9AAE2B8F4881}"/>
            </c:ext>
          </c:extLst>
        </c:ser>
        <c:ser>
          <c:idx val="17"/>
          <c:order val="17"/>
          <c:tx>
            <c:v>Value: 63.33,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7</c:v>
              </c:pt>
              <c:pt idx="1">
                <c:v>7</c:v>
              </c:pt>
              <c:pt idx="2">
                <c:v>7</c:v>
              </c:pt>
              <c:pt idx="3">
                <c:v>7</c:v>
              </c:pt>
              <c:pt idx="4">
                <c:v>7</c:v>
              </c:pt>
              <c:pt idx="5">
                <c:v>7</c:v>
              </c:pt>
              <c:pt idx="6">
                <c:v>7</c:v>
              </c:pt>
              <c:pt idx="7">
                <c:v>7</c:v>
              </c:pt>
              <c:pt idx="8">
                <c:v>7</c:v>
              </c:pt>
              <c:pt idx="9">
                <c:v>7</c:v>
              </c:pt>
              <c:pt idx="10">
                <c:v>7</c:v>
              </c:pt>
              <c:pt idx="11">
                <c:v>7</c:v>
              </c:pt>
              <c:pt idx="12">
                <c:v>7</c:v>
              </c:pt>
              <c:pt idx="13">
                <c:v>7</c:v>
              </c:pt>
              <c:pt idx="14">
                <c:v>7</c:v>
              </c:pt>
              <c:pt idx="15">
                <c:v>7</c:v>
              </c:pt>
              <c:pt idx="16">
                <c:v>7</c:v>
              </c:pt>
              <c:pt idx="17">
                <c:v>7</c:v>
              </c:pt>
              <c:pt idx="18">
                <c:v>7</c:v>
              </c:pt>
              <c:pt idx="19">
                <c:v>7</c:v>
              </c:pt>
              <c:pt idx="20">
                <c:v>7</c:v>
              </c:pt>
              <c:pt idx="21">
                <c:v>7</c:v>
              </c:pt>
              <c:pt idx="22">
                <c:v>7</c:v>
              </c:pt>
              <c:pt idx="23">
                <c:v>7</c:v>
              </c:pt>
              <c:pt idx="24">
                <c:v>7</c:v>
              </c:pt>
            </c:numLit>
          </c:xVal>
          <c:yVal>
            <c:numRef>
              <c:f>'Cell B11'!$I$144:$I$168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819-4659-8F3E-9AAE2B8F4881}"/>
            </c:ext>
          </c:extLst>
        </c:ser>
        <c:ser>
          <c:idx val="18"/>
          <c:order val="18"/>
          <c:tx>
            <c:v>Value: 63.33,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7</c:v>
              </c:pt>
              <c:pt idx="1">
                <c:v>7</c:v>
              </c:pt>
              <c:pt idx="2">
                <c:v>7</c:v>
              </c:pt>
              <c:pt idx="3">
                <c:v>7</c:v>
              </c:pt>
              <c:pt idx="4">
                <c:v>7</c:v>
              </c:pt>
              <c:pt idx="5">
                <c:v>7</c:v>
              </c:pt>
              <c:pt idx="6">
                <c:v>7</c:v>
              </c:pt>
              <c:pt idx="7">
                <c:v>7</c:v>
              </c:pt>
              <c:pt idx="8">
                <c:v>7</c:v>
              </c:pt>
              <c:pt idx="9">
                <c:v>7</c:v>
              </c:pt>
              <c:pt idx="10">
                <c:v>7</c:v>
              </c:pt>
              <c:pt idx="11">
                <c:v>7</c:v>
              </c:pt>
              <c:pt idx="12">
                <c:v>7</c:v>
              </c:pt>
              <c:pt idx="13">
                <c:v>7</c:v>
              </c:pt>
              <c:pt idx="14">
                <c:v>7</c:v>
              </c:pt>
              <c:pt idx="15">
                <c:v>7</c:v>
              </c:pt>
              <c:pt idx="16">
                <c:v>7</c:v>
              </c:pt>
              <c:pt idx="17">
                <c:v>7</c:v>
              </c:pt>
              <c:pt idx="18">
                <c:v>7</c:v>
              </c:pt>
              <c:pt idx="19">
                <c:v>7</c:v>
              </c:pt>
              <c:pt idx="20">
                <c:v>7</c:v>
              </c:pt>
              <c:pt idx="21">
                <c:v>7</c:v>
              </c:pt>
              <c:pt idx="22">
                <c:v>7</c:v>
              </c:pt>
              <c:pt idx="23">
                <c:v>7</c:v>
              </c:pt>
              <c:pt idx="24">
                <c:v>7</c:v>
              </c:pt>
              <c:pt idx="25">
                <c:v>7</c:v>
              </c:pt>
              <c:pt idx="26">
                <c:v>7</c:v>
              </c:pt>
              <c:pt idx="27">
                <c:v>7</c:v>
              </c:pt>
              <c:pt idx="28">
                <c:v>7</c:v>
              </c:pt>
              <c:pt idx="29">
                <c:v>7</c:v>
              </c:pt>
              <c:pt idx="30">
                <c:v>7</c:v>
              </c:pt>
              <c:pt idx="31">
                <c:v>7</c:v>
              </c:pt>
              <c:pt idx="32">
                <c:v>7</c:v>
              </c:pt>
              <c:pt idx="33">
                <c:v>7</c:v>
              </c:pt>
              <c:pt idx="34">
                <c:v>7</c:v>
              </c:pt>
              <c:pt idx="35">
                <c:v>7</c:v>
              </c:pt>
              <c:pt idx="36">
                <c:v>7</c:v>
              </c:pt>
              <c:pt idx="37">
                <c:v>7</c:v>
              </c:pt>
              <c:pt idx="38">
                <c:v>7</c:v>
              </c:pt>
              <c:pt idx="39">
                <c:v>7</c:v>
              </c:pt>
              <c:pt idx="40">
                <c:v>7</c:v>
              </c:pt>
              <c:pt idx="41">
                <c:v>7</c:v>
              </c:pt>
              <c:pt idx="42">
                <c:v>7</c:v>
              </c:pt>
              <c:pt idx="43">
                <c:v>7</c:v>
              </c:pt>
              <c:pt idx="44">
                <c:v>7</c:v>
              </c:pt>
              <c:pt idx="45">
                <c:v>7</c:v>
              </c:pt>
              <c:pt idx="46">
                <c:v>7</c:v>
              </c:pt>
              <c:pt idx="47">
                <c:v>7</c:v>
              </c:pt>
              <c:pt idx="48">
                <c:v>7</c:v>
              </c:pt>
              <c:pt idx="49">
                <c:v>7</c:v>
              </c:pt>
              <c:pt idx="50">
                <c:v>7</c:v>
              </c:pt>
              <c:pt idx="51">
                <c:v>7</c:v>
              </c:pt>
              <c:pt idx="52">
                <c:v>7</c:v>
              </c:pt>
              <c:pt idx="53">
                <c:v>7</c:v>
              </c:pt>
              <c:pt idx="54">
                <c:v>7</c:v>
              </c:pt>
              <c:pt idx="55">
                <c:v>7</c:v>
              </c:pt>
              <c:pt idx="56">
                <c:v>7</c:v>
              </c:pt>
              <c:pt idx="57">
                <c:v>7</c:v>
              </c:pt>
              <c:pt idx="58">
                <c:v>7</c:v>
              </c:pt>
              <c:pt idx="59">
                <c:v>7</c:v>
              </c:pt>
              <c:pt idx="60">
                <c:v>7</c:v>
              </c:pt>
              <c:pt idx="61">
                <c:v>7</c:v>
              </c:pt>
              <c:pt idx="62">
                <c:v>7</c:v>
              </c:pt>
            </c:numLit>
          </c:xVal>
          <c:yVal>
            <c:numRef>
              <c:f>'Cell B11'!$I$169:$I$231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819-4659-8F3E-9AAE2B8F4881}"/>
            </c:ext>
          </c:extLst>
        </c:ser>
        <c:ser>
          <c:idx val="19"/>
          <c:order val="19"/>
          <c:tx>
            <c:v>Value: 68.89,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8</c:v>
              </c:pt>
              <c:pt idx="1">
                <c:v>8</c:v>
              </c:pt>
              <c:pt idx="2">
                <c:v>8</c:v>
              </c:pt>
              <c:pt idx="3">
                <c:v>8</c:v>
              </c:pt>
              <c:pt idx="4">
                <c:v>8</c:v>
              </c:pt>
              <c:pt idx="5">
                <c:v>8</c:v>
              </c:pt>
              <c:pt idx="6">
                <c:v>8</c:v>
              </c:pt>
              <c:pt idx="7">
                <c:v>8</c:v>
              </c:pt>
              <c:pt idx="8">
                <c:v>8</c:v>
              </c:pt>
              <c:pt idx="9">
                <c:v>8</c:v>
              </c:pt>
              <c:pt idx="10">
                <c:v>8</c:v>
              </c:pt>
              <c:pt idx="11">
                <c:v>8</c:v>
              </c:pt>
              <c:pt idx="12">
                <c:v>8</c:v>
              </c:pt>
              <c:pt idx="13">
                <c:v>8</c:v>
              </c:pt>
              <c:pt idx="14">
                <c:v>8</c:v>
              </c:pt>
              <c:pt idx="15">
                <c:v>8</c:v>
              </c:pt>
              <c:pt idx="16">
                <c:v>8</c:v>
              </c:pt>
              <c:pt idx="17">
                <c:v>8</c:v>
              </c:pt>
              <c:pt idx="18">
                <c:v>8</c:v>
              </c:pt>
              <c:pt idx="19">
                <c:v>8</c:v>
              </c:pt>
              <c:pt idx="20">
                <c:v>8</c:v>
              </c:pt>
              <c:pt idx="21">
                <c:v>8</c:v>
              </c:pt>
              <c:pt idx="22">
                <c:v>8</c:v>
              </c:pt>
              <c:pt idx="23">
                <c:v>8</c:v>
              </c:pt>
              <c:pt idx="24">
                <c:v>8</c:v>
              </c:pt>
            </c:numLit>
          </c:xVal>
          <c:yVal>
            <c:numRef>
              <c:f>'Cell B11'!$J$144:$J$168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819-4659-8F3E-9AAE2B8F4881}"/>
            </c:ext>
          </c:extLst>
        </c:ser>
        <c:ser>
          <c:idx val="20"/>
          <c:order val="20"/>
          <c:tx>
            <c:v>Value: 68.89,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8</c:v>
              </c:pt>
              <c:pt idx="1">
                <c:v>8</c:v>
              </c:pt>
              <c:pt idx="2">
                <c:v>8</c:v>
              </c:pt>
              <c:pt idx="3">
                <c:v>8</c:v>
              </c:pt>
              <c:pt idx="4">
                <c:v>8</c:v>
              </c:pt>
              <c:pt idx="5">
                <c:v>8</c:v>
              </c:pt>
              <c:pt idx="6">
                <c:v>8</c:v>
              </c:pt>
              <c:pt idx="7">
                <c:v>8</c:v>
              </c:pt>
              <c:pt idx="8">
                <c:v>8</c:v>
              </c:pt>
              <c:pt idx="9">
                <c:v>8</c:v>
              </c:pt>
              <c:pt idx="10">
                <c:v>8</c:v>
              </c:pt>
              <c:pt idx="11">
                <c:v>8</c:v>
              </c:pt>
              <c:pt idx="12">
                <c:v>8</c:v>
              </c:pt>
              <c:pt idx="13">
                <c:v>8</c:v>
              </c:pt>
              <c:pt idx="14">
                <c:v>8</c:v>
              </c:pt>
              <c:pt idx="15">
                <c:v>8</c:v>
              </c:pt>
              <c:pt idx="16">
                <c:v>8</c:v>
              </c:pt>
              <c:pt idx="17">
                <c:v>8</c:v>
              </c:pt>
              <c:pt idx="18">
                <c:v>8</c:v>
              </c:pt>
              <c:pt idx="19">
                <c:v>8</c:v>
              </c:pt>
              <c:pt idx="20">
                <c:v>8</c:v>
              </c:pt>
              <c:pt idx="21">
                <c:v>8</c:v>
              </c:pt>
              <c:pt idx="22">
                <c:v>8</c:v>
              </c:pt>
              <c:pt idx="23">
                <c:v>8</c:v>
              </c:pt>
              <c:pt idx="24">
                <c:v>8</c:v>
              </c:pt>
              <c:pt idx="25">
                <c:v>8</c:v>
              </c:pt>
              <c:pt idx="26">
                <c:v>8</c:v>
              </c:pt>
              <c:pt idx="27">
                <c:v>8</c:v>
              </c:pt>
              <c:pt idx="28">
                <c:v>8</c:v>
              </c:pt>
              <c:pt idx="29">
                <c:v>8</c:v>
              </c:pt>
              <c:pt idx="30">
                <c:v>8</c:v>
              </c:pt>
              <c:pt idx="31">
                <c:v>8</c:v>
              </c:pt>
              <c:pt idx="32">
                <c:v>8</c:v>
              </c:pt>
              <c:pt idx="33">
                <c:v>8</c:v>
              </c:pt>
              <c:pt idx="34">
                <c:v>8</c:v>
              </c:pt>
              <c:pt idx="35">
                <c:v>8</c:v>
              </c:pt>
              <c:pt idx="36">
                <c:v>8</c:v>
              </c:pt>
              <c:pt idx="37">
                <c:v>8</c:v>
              </c:pt>
              <c:pt idx="38">
                <c:v>8</c:v>
              </c:pt>
              <c:pt idx="39">
                <c:v>8</c:v>
              </c:pt>
              <c:pt idx="40">
                <c:v>8</c:v>
              </c:pt>
              <c:pt idx="41">
                <c:v>8</c:v>
              </c:pt>
              <c:pt idx="42">
                <c:v>8</c:v>
              </c:pt>
              <c:pt idx="43">
                <c:v>8</c:v>
              </c:pt>
              <c:pt idx="44">
                <c:v>8</c:v>
              </c:pt>
              <c:pt idx="45">
                <c:v>8</c:v>
              </c:pt>
              <c:pt idx="46">
                <c:v>8</c:v>
              </c:pt>
              <c:pt idx="47">
                <c:v>8</c:v>
              </c:pt>
              <c:pt idx="48">
                <c:v>8</c:v>
              </c:pt>
              <c:pt idx="49">
                <c:v>8</c:v>
              </c:pt>
              <c:pt idx="50">
                <c:v>8</c:v>
              </c:pt>
              <c:pt idx="51">
                <c:v>8</c:v>
              </c:pt>
              <c:pt idx="52">
                <c:v>8</c:v>
              </c:pt>
              <c:pt idx="53">
                <c:v>8</c:v>
              </c:pt>
              <c:pt idx="54">
                <c:v>8</c:v>
              </c:pt>
              <c:pt idx="55">
                <c:v>8</c:v>
              </c:pt>
              <c:pt idx="56">
                <c:v>8</c:v>
              </c:pt>
              <c:pt idx="57">
                <c:v>8</c:v>
              </c:pt>
              <c:pt idx="58">
                <c:v>8</c:v>
              </c:pt>
              <c:pt idx="59">
                <c:v>8</c:v>
              </c:pt>
              <c:pt idx="60">
                <c:v>8</c:v>
              </c:pt>
              <c:pt idx="61">
                <c:v>8</c:v>
              </c:pt>
              <c:pt idx="62">
                <c:v>8</c:v>
              </c:pt>
            </c:numLit>
          </c:xVal>
          <c:yVal>
            <c:numRef>
              <c:f>'Cell B11'!$J$169:$J$231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819-4659-8F3E-9AAE2B8F4881}"/>
            </c:ext>
          </c:extLst>
        </c:ser>
        <c:ser>
          <c:idx val="21"/>
          <c:order val="21"/>
          <c:tx>
            <c:v>Value: 74.44,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9</c:v>
              </c:pt>
              <c:pt idx="1">
                <c:v>9</c:v>
              </c:pt>
              <c:pt idx="2">
                <c:v>9</c:v>
              </c:pt>
              <c:pt idx="3">
                <c:v>9</c:v>
              </c:pt>
              <c:pt idx="4">
                <c:v>9</c:v>
              </c:pt>
              <c:pt idx="5">
                <c:v>9</c:v>
              </c:pt>
              <c:pt idx="6">
                <c:v>9</c:v>
              </c:pt>
              <c:pt idx="7">
                <c:v>9</c:v>
              </c:pt>
              <c:pt idx="8">
                <c:v>9</c:v>
              </c:pt>
              <c:pt idx="9">
                <c:v>9</c:v>
              </c:pt>
              <c:pt idx="10">
                <c:v>9</c:v>
              </c:pt>
              <c:pt idx="11">
                <c:v>9</c:v>
              </c:pt>
              <c:pt idx="12">
                <c:v>9</c:v>
              </c:pt>
              <c:pt idx="13">
                <c:v>9</c:v>
              </c:pt>
              <c:pt idx="14">
                <c:v>9</c:v>
              </c:pt>
              <c:pt idx="15">
                <c:v>9</c:v>
              </c:pt>
              <c:pt idx="16">
                <c:v>9</c:v>
              </c:pt>
              <c:pt idx="17">
                <c:v>9</c:v>
              </c:pt>
              <c:pt idx="18">
                <c:v>9</c:v>
              </c:pt>
              <c:pt idx="19">
                <c:v>9</c:v>
              </c:pt>
              <c:pt idx="20">
                <c:v>9</c:v>
              </c:pt>
              <c:pt idx="21">
                <c:v>9</c:v>
              </c:pt>
              <c:pt idx="22">
                <c:v>9</c:v>
              </c:pt>
              <c:pt idx="23">
                <c:v>9</c:v>
              </c:pt>
              <c:pt idx="24">
                <c:v>9</c:v>
              </c:pt>
            </c:numLit>
          </c:xVal>
          <c:yVal>
            <c:numRef>
              <c:f>'Cell B11'!$K$144:$K$168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819-4659-8F3E-9AAE2B8F4881}"/>
            </c:ext>
          </c:extLst>
        </c:ser>
        <c:ser>
          <c:idx val="22"/>
          <c:order val="22"/>
          <c:tx>
            <c:v>Value: 74.44,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9</c:v>
              </c:pt>
              <c:pt idx="1">
                <c:v>9</c:v>
              </c:pt>
              <c:pt idx="2">
                <c:v>9</c:v>
              </c:pt>
              <c:pt idx="3">
                <c:v>9</c:v>
              </c:pt>
              <c:pt idx="4">
                <c:v>9</c:v>
              </c:pt>
              <c:pt idx="5">
                <c:v>9</c:v>
              </c:pt>
              <c:pt idx="6">
                <c:v>9</c:v>
              </c:pt>
              <c:pt idx="7">
                <c:v>9</c:v>
              </c:pt>
              <c:pt idx="8">
                <c:v>9</c:v>
              </c:pt>
              <c:pt idx="9">
                <c:v>9</c:v>
              </c:pt>
              <c:pt idx="10">
                <c:v>9</c:v>
              </c:pt>
              <c:pt idx="11">
                <c:v>9</c:v>
              </c:pt>
              <c:pt idx="12">
                <c:v>9</c:v>
              </c:pt>
              <c:pt idx="13">
                <c:v>9</c:v>
              </c:pt>
              <c:pt idx="14">
                <c:v>9</c:v>
              </c:pt>
              <c:pt idx="15">
                <c:v>9</c:v>
              </c:pt>
              <c:pt idx="16">
                <c:v>9</c:v>
              </c:pt>
              <c:pt idx="17">
                <c:v>9</c:v>
              </c:pt>
              <c:pt idx="18">
                <c:v>9</c:v>
              </c:pt>
              <c:pt idx="19">
                <c:v>9</c:v>
              </c:pt>
              <c:pt idx="20">
                <c:v>9</c:v>
              </c:pt>
              <c:pt idx="21">
                <c:v>9</c:v>
              </c:pt>
              <c:pt idx="22">
                <c:v>9</c:v>
              </c:pt>
              <c:pt idx="23">
                <c:v>9</c:v>
              </c:pt>
              <c:pt idx="24">
                <c:v>9</c:v>
              </c:pt>
              <c:pt idx="25">
                <c:v>9</c:v>
              </c:pt>
              <c:pt idx="26">
                <c:v>9</c:v>
              </c:pt>
              <c:pt idx="27">
                <c:v>9</c:v>
              </c:pt>
              <c:pt idx="28">
                <c:v>9</c:v>
              </c:pt>
              <c:pt idx="29">
                <c:v>9</c:v>
              </c:pt>
              <c:pt idx="30">
                <c:v>9</c:v>
              </c:pt>
              <c:pt idx="31">
                <c:v>9</c:v>
              </c:pt>
              <c:pt idx="32">
                <c:v>9</c:v>
              </c:pt>
              <c:pt idx="33">
                <c:v>9</c:v>
              </c:pt>
              <c:pt idx="34">
                <c:v>9</c:v>
              </c:pt>
              <c:pt idx="35">
                <c:v>9</c:v>
              </c:pt>
              <c:pt idx="36">
                <c:v>9</c:v>
              </c:pt>
              <c:pt idx="37">
                <c:v>9</c:v>
              </c:pt>
              <c:pt idx="38">
                <c:v>9</c:v>
              </c:pt>
              <c:pt idx="39">
                <c:v>9</c:v>
              </c:pt>
              <c:pt idx="40">
                <c:v>9</c:v>
              </c:pt>
              <c:pt idx="41">
                <c:v>9</c:v>
              </c:pt>
              <c:pt idx="42">
                <c:v>9</c:v>
              </c:pt>
              <c:pt idx="43">
                <c:v>9</c:v>
              </c:pt>
              <c:pt idx="44">
                <c:v>9</c:v>
              </c:pt>
              <c:pt idx="45">
                <c:v>9</c:v>
              </c:pt>
              <c:pt idx="46">
                <c:v>9</c:v>
              </c:pt>
              <c:pt idx="47">
                <c:v>9</c:v>
              </c:pt>
              <c:pt idx="48">
                <c:v>9</c:v>
              </c:pt>
              <c:pt idx="49">
                <c:v>9</c:v>
              </c:pt>
              <c:pt idx="50">
                <c:v>9</c:v>
              </c:pt>
              <c:pt idx="51">
                <c:v>9</c:v>
              </c:pt>
              <c:pt idx="52">
                <c:v>9</c:v>
              </c:pt>
              <c:pt idx="53">
                <c:v>9</c:v>
              </c:pt>
              <c:pt idx="54">
                <c:v>9</c:v>
              </c:pt>
              <c:pt idx="55">
                <c:v>9</c:v>
              </c:pt>
              <c:pt idx="56">
                <c:v>9</c:v>
              </c:pt>
              <c:pt idx="57">
                <c:v>9</c:v>
              </c:pt>
              <c:pt idx="58">
                <c:v>9</c:v>
              </c:pt>
              <c:pt idx="59">
                <c:v>9</c:v>
              </c:pt>
              <c:pt idx="60">
                <c:v>9</c:v>
              </c:pt>
              <c:pt idx="61">
                <c:v>9</c:v>
              </c:pt>
              <c:pt idx="62">
                <c:v>9</c:v>
              </c:pt>
            </c:numLit>
          </c:xVal>
          <c:yVal>
            <c:numRef>
              <c:f>'Cell B11'!$K$169:$K$231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819-4659-8F3E-9AAE2B8F4881}"/>
            </c:ext>
          </c:extLst>
        </c:ser>
        <c:ser>
          <c:idx val="23"/>
          <c:order val="23"/>
          <c:tx>
            <c:v>Value: 80.00, mild outliers</c:v>
          </c:tx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25"/>
              <c:pt idx="0">
                <c:v>10</c:v>
              </c:pt>
              <c:pt idx="1">
                <c:v>10</c:v>
              </c:pt>
              <c:pt idx="2">
                <c:v>10</c:v>
              </c:pt>
              <c:pt idx="3">
                <c:v>10</c:v>
              </c:pt>
              <c:pt idx="4">
                <c:v>10</c:v>
              </c:pt>
              <c:pt idx="5">
                <c:v>10</c:v>
              </c:pt>
              <c:pt idx="6">
                <c:v>10</c:v>
              </c:pt>
              <c:pt idx="7">
                <c:v>10</c:v>
              </c:pt>
              <c:pt idx="8">
                <c:v>10</c:v>
              </c:pt>
              <c:pt idx="9">
                <c:v>10</c:v>
              </c:pt>
              <c:pt idx="10">
                <c:v>10</c:v>
              </c:pt>
              <c:pt idx="11">
                <c:v>10</c:v>
              </c:pt>
              <c:pt idx="12">
                <c:v>10</c:v>
              </c:pt>
              <c:pt idx="13">
                <c:v>10</c:v>
              </c:pt>
              <c:pt idx="14">
                <c:v>10</c:v>
              </c:pt>
              <c:pt idx="15">
                <c:v>10</c:v>
              </c:pt>
              <c:pt idx="16">
                <c:v>10</c:v>
              </c:pt>
              <c:pt idx="17">
                <c:v>10</c:v>
              </c:pt>
              <c:pt idx="18">
                <c:v>10</c:v>
              </c:pt>
              <c:pt idx="19">
                <c:v>10</c:v>
              </c:pt>
              <c:pt idx="20">
                <c:v>10</c:v>
              </c:pt>
              <c:pt idx="21">
                <c:v>10</c:v>
              </c:pt>
              <c:pt idx="22">
                <c:v>10</c:v>
              </c:pt>
              <c:pt idx="23">
                <c:v>10</c:v>
              </c:pt>
              <c:pt idx="24">
                <c:v>10</c:v>
              </c:pt>
            </c:numLit>
          </c:xVal>
          <c:yVal>
            <c:numRef>
              <c:f>'Cell B11'!$L$144:$L$168</c:f>
              <c:numCache>
                <c:formatCode>[$£]\ #,##0.00</c:formatCode>
                <c:ptCount val="25"/>
                <c:pt idx="0">
                  <c:v>9307.4444726180609</c:v>
                </c:pt>
                <c:pt idx="1">
                  <c:v>9386.0401325017501</c:v>
                </c:pt>
                <c:pt idx="2">
                  <c:v>9403.4974808459465</c:v>
                </c:pt>
                <c:pt idx="3">
                  <c:v>9499.222318362763</c:v>
                </c:pt>
                <c:pt idx="4">
                  <c:v>9553.0343737842159</c:v>
                </c:pt>
                <c:pt idx="5">
                  <c:v>9574.5211754246739</c:v>
                </c:pt>
                <c:pt idx="6">
                  <c:v>9718.4248792852377</c:v>
                </c:pt>
                <c:pt idx="7">
                  <c:v>9811.5308305190338</c:v>
                </c:pt>
                <c:pt idx="8">
                  <c:v>10306.798575047693</c:v>
                </c:pt>
                <c:pt idx="9">
                  <c:v>10603.9559731195</c:v>
                </c:pt>
                <c:pt idx="10">
                  <c:v>10635.790450603115</c:v>
                </c:pt>
                <c:pt idx="11">
                  <c:v>10686.64636453501</c:v>
                </c:pt>
                <c:pt idx="12">
                  <c:v>10726.687890827552</c:v>
                </c:pt>
                <c:pt idx="13">
                  <c:v>10756.629027452595</c:v>
                </c:pt>
                <c:pt idx="14">
                  <c:v>10946.167563877427</c:v>
                </c:pt>
                <c:pt idx="15">
                  <c:v>11023.830770015438</c:v>
                </c:pt>
                <c:pt idx="16">
                  <c:v>11029.169953327508</c:v>
                </c:pt>
                <c:pt idx="17">
                  <c:v>11043.639723685301</c:v>
                </c:pt>
                <c:pt idx="18">
                  <c:v>11063.746851781672</c:v>
                </c:pt>
                <c:pt idx="19">
                  <c:v>11109.156532541114</c:v>
                </c:pt>
                <c:pt idx="20">
                  <c:v>11122.813653028579</c:v>
                </c:pt>
                <c:pt idx="21">
                  <c:v>11207.5820705649</c:v>
                </c:pt>
                <c:pt idx="22">
                  <c:v>11393.150912295097</c:v>
                </c:pt>
                <c:pt idx="23">
                  <c:v>11524.971103660628</c:v>
                </c:pt>
                <c:pt idx="24">
                  <c:v>11670.266663679135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819-4659-8F3E-9AAE2B8F4881}"/>
            </c:ext>
          </c:extLst>
        </c:ser>
        <c:ser>
          <c:idx val="24"/>
          <c:order val="24"/>
          <c:tx>
            <c:v>Value: 80.00, extreme outliers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800000">
                  <a:alpha val="50000"/>
                </a:srgbClr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Lit>
              <c:formatCode>General</c:formatCode>
              <c:ptCount val="63"/>
              <c:pt idx="0">
                <c:v>10</c:v>
              </c:pt>
              <c:pt idx="1">
                <c:v>10</c:v>
              </c:pt>
              <c:pt idx="2">
                <c:v>10</c:v>
              </c:pt>
              <c:pt idx="3">
                <c:v>10</c:v>
              </c:pt>
              <c:pt idx="4">
                <c:v>10</c:v>
              </c:pt>
              <c:pt idx="5">
                <c:v>10</c:v>
              </c:pt>
              <c:pt idx="6">
                <c:v>10</c:v>
              </c:pt>
              <c:pt idx="7">
                <c:v>10</c:v>
              </c:pt>
              <c:pt idx="8">
                <c:v>10</c:v>
              </c:pt>
              <c:pt idx="9">
                <c:v>10</c:v>
              </c:pt>
              <c:pt idx="10">
                <c:v>10</c:v>
              </c:pt>
              <c:pt idx="11">
                <c:v>10</c:v>
              </c:pt>
              <c:pt idx="12">
                <c:v>10</c:v>
              </c:pt>
              <c:pt idx="13">
                <c:v>10</c:v>
              </c:pt>
              <c:pt idx="14">
                <c:v>10</c:v>
              </c:pt>
              <c:pt idx="15">
                <c:v>10</c:v>
              </c:pt>
              <c:pt idx="16">
                <c:v>10</c:v>
              </c:pt>
              <c:pt idx="17">
                <c:v>10</c:v>
              </c:pt>
              <c:pt idx="18">
                <c:v>10</c:v>
              </c:pt>
              <c:pt idx="19">
                <c:v>10</c:v>
              </c:pt>
              <c:pt idx="20">
                <c:v>10</c:v>
              </c:pt>
              <c:pt idx="21">
                <c:v>10</c:v>
              </c:pt>
              <c:pt idx="22">
                <c:v>10</c:v>
              </c:pt>
              <c:pt idx="23">
                <c:v>10</c:v>
              </c:pt>
              <c:pt idx="24">
                <c:v>10</c:v>
              </c:pt>
              <c:pt idx="25">
                <c:v>10</c:v>
              </c:pt>
              <c:pt idx="26">
                <c:v>10</c:v>
              </c:pt>
              <c:pt idx="27">
                <c:v>10</c:v>
              </c:pt>
              <c:pt idx="28">
                <c:v>10</c:v>
              </c:pt>
              <c:pt idx="29">
                <c:v>10</c:v>
              </c:pt>
              <c:pt idx="30">
                <c:v>10</c:v>
              </c:pt>
              <c:pt idx="31">
                <c:v>10</c:v>
              </c:pt>
              <c:pt idx="32">
                <c:v>10</c:v>
              </c:pt>
              <c:pt idx="33">
                <c:v>10</c:v>
              </c:pt>
              <c:pt idx="34">
                <c:v>10</c:v>
              </c:pt>
              <c:pt idx="35">
                <c:v>10</c:v>
              </c:pt>
              <c:pt idx="36">
                <c:v>10</c:v>
              </c:pt>
              <c:pt idx="37">
                <c:v>10</c:v>
              </c:pt>
              <c:pt idx="38">
                <c:v>10</c:v>
              </c:pt>
              <c:pt idx="39">
                <c:v>10</c:v>
              </c:pt>
              <c:pt idx="40">
                <c:v>10</c:v>
              </c:pt>
              <c:pt idx="41">
                <c:v>10</c:v>
              </c:pt>
              <c:pt idx="42">
                <c:v>10</c:v>
              </c:pt>
              <c:pt idx="43">
                <c:v>10</c:v>
              </c:pt>
              <c:pt idx="44">
                <c:v>10</c:v>
              </c:pt>
              <c:pt idx="45">
                <c:v>10</c:v>
              </c:pt>
              <c:pt idx="46">
                <c:v>10</c:v>
              </c:pt>
              <c:pt idx="47">
                <c:v>10</c:v>
              </c:pt>
              <c:pt idx="48">
                <c:v>10</c:v>
              </c:pt>
              <c:pt idx="49">
                <c:v>10</c:v>
              </c:pt>
              <c:pt idx="50">
                <c:v>10</c:v>
              </c:pt>
              <c:pt idx="51">
                <c:v>10</c:v>
              </c:pt>
              <c:pt idx="52">
                <c:v>10</c:v>
              </c:pt>
              <c:pt idx="53">
                <c:v>10</c:v>
              </c:pt>
              <c:pt idx="54">
                <c:v>10</c:v>
              </c:pt>
              <c:pt idx="55">
                <c:v>10</c:v>
              </c:pt>
              <c:pt idx="56">
                <c:v>10</c:v>
              </c:pt>
              <c:pt idx="57">
                <c:v>10</c:v>
              </c:pt>
              <c:pt idx="58">
                <c:v>10</c:v>
              </c:pt>
              <c:pt idx="59">
                <c:v>10</c:v>
              </c:pt>
              <c:pt idx="60">
                <c:v>10</c:v>
              </c:pt>
              <c:pt idx="61">
                <c:v>10</c:v>
              </c:pt>
              <c:pt idx="62">
                <c:v>10</c:v>
              </c:pt>
            </c:numLit>
          </c:xVal>
          <c:yVal>
            <c:numRef>
              <c:f>'Cell B11'!$L$169:$L$231</c:f>
              <c:numCache>
                <c:formatCode>[$£]\ #,##0.00</c:formatCode>
                <c:ptCount val="63"/>
                <c:pt idx="0">
                  <c:v>11824.117781160337</c:v>
                </c:pt>
                <c:pt idx="1">
                  <c:v>11830.887948613139</c:v>
                </c:pt>
                <c:pt idx="2">
                  <c:v>11845.250094460122</c:v>
                </c:pt>
                <c:pt idx="3">
                  <c:v>11923.711941654088</c:v>
                </c:pt>
                <c:pt idx="4">
                  <c:v>11957.328237313233</c:v>
                </c:pt>
                <c:pt idx="5">
                  <c:v>11976.054677830183</c:v>
                </c:pt>
                <c:pt idx="6">
                  <c:v>12220.327631040263</c:v>
                </c:pt>
                <c:pt idx="7">
                  <c:v>12440.509658391733</c:v>
                </c:pt>
                <c:pt idx="8">
                  <c:v>12446.213663695253</c:v>
                </c:pt>
                <c:pt idx="9">
                  <c:v>12495.232828880318</c:v>
                </c:pt>
                <c:pt idx="10">
                  <c:v>12593.323432562915</c:v>
                </c:pt>
                <c:pt idx="11">
                  <c:v>12608.065555222505</c:v>
                </c:pt>
                <c:pt idx="12">
                  <c:v>12940.754098513853</c:v>
                </c:pt>
                <c:pt idx="13">
                  <c:v>13147.524888809352</c:v>
                </c:pt>
                <c:pt idx="14">
                  <c:v>13160.643930598941</c:v>
                </c:pt>
                <c:pt idx="15">
                  <c:v>13167.737027245728</c:v>
                </c:pt>
                <c:pt idx="16">
                  <c:v>13223.021447543553</c:v>
                </c:pt>
                <c:pt idx="17">
                  <c:v>13507.84125518443</c:v>
                </c:pt>
                <c:pt idx="18">
                  <c:v>13859.747482666942</c:v>
                </c:pt>
                <c:pt idx="19">
                  <c:v>13955.893694457587</c:v>
                </c:pt>
                <c:pt idx="20">
                  <c:v>13999.441893588119</c:v>
                </c:pt>
                <c:pt idx="21">
                  <c:v>14192.593238999369</c:v>
                </c:pt>
                <c:pt idx="22">
                  <c:v>14857.263340951824</c:v>
                </c:pt>
                <c:pt idx="23">
                  <c:v>15050.289433008456</c:v>
                </c:pt>
                <c:pt idx="24">
                  <c:v>15594.537355161987</c:v>
                </c:pt>
                <c:pt idx="25">
                  <c:v>15609.15803920361</c:v>
                </c:pt>
                <c:pt idx="26">
                  <c:v>15727.201459467306</c:v>
                </c:pt>
                <c:pt idx="27">
                  <c:v>15734.854072744758</c:v>
                </c:pt>
                <c:pt idx="28">
                  <c:v>15900.331515877981</c:v>
                </c:pt>
                <c:pt idx="29">
                  <c:v>16062.03379192835</c:v>
                </c:pt>
                <c:pt idx="30">
                  <c:v>16078.653225476575</c:v>
                </c:pt>
                <c:pt idx="31">
                  <c:v>16099.572507678598</c:v>
                </c:pt>
                <c:pt idx="32">
                  <c:v>16253.6971944492</c:v>
                </c:pt>
                <c:pt idx="33">
                  <c:v>16306.891099858671</c:v>
                </c:pt>
                <c:pt idx="34">
                  <c:v>16700.879297050124</c:v>
                </c:pt>
                <c:pt idx="35">
                  <c:v>16995.902767218478</c:v>
                </c:pt>
                <c:pt idx="36">
                  <c:v>17749.43989536056</c:v>
                </c:pt>
                <c:pt idx="37">
                  <c:v>18137.492557969465</c:v>
                </c:pt>
                <c:pt idx="38">
                  <c:v>18275.132573520652</c:v>
                </c:pt>
                <c:pt idx="39">
                  <c:v>18279.971352423785</c:v>
                </c:pt>
                <c:pt idx="40">
                  <c:v>18550.027251792795</c:v>
                </c:pt>
                <c:pt idx="41">
                  <c:v>18850.541842545641</c:v>
                </c:pt>
                <c:pt idx="42">
                  <c:v>19121.461733453922</c:v>
                </c:pt>
                <c:pt idx="43">
                  <c:v>20009.581705742112</c:v>
                </c:pt>
                <c:pt idx="44">
                  <c:v>20271.629283435592</c:v>
                </c:pt>
                <c:pt idx="45">
                  <c:v>20605.801968368534</c:v>
                </c:pt>
                <c:pt idx="46">
                  <c:v>20716.537345074546</c:v>
                </c:pt>
                <c:pt idx="47">
                  <c:v>20784.571646482895</c:v>
                </c:pt>
                <c:pt idx="48">
                  <c:v>20859.863409865993</c:v>
                </c:pt>
                <c:pt idx="49">
                  <c:v>20884.787279636315</c:v>
                </c:pt>
                <c:pt idx="50">
                  <c:v>21052.634005510445</c:v>
                </c:pt>
                <c:pt idx="51">
                  <c:v>21120.834806354585</c:v>
                </c:pt>
                <c:pt idx="52">
                  <c:v>21208.31736358102</c:v>
                </c:pt>
                <c:pt idx="53">
                  <c:v>21910.162607236824</c:v>
                </c:pt>
                <c:pt idx="54">
                  <c:v>22599.101972164881</c:v>
                </c:pt>
                <c:pt idx="55">
                  <c:v>23027.514391114903</c:v>
                </c:pt>
                <c:pt idx="56">
                  <c:v>23950.599108030503</c:v>
                </c:pt>
                <c:pt idx="57">
                  <c:v>25243.901161916769</c:v>
                </c:pt>
                <c:pt idx="58">
                  <c:v>25416.803287660819</c:v>
                </c:pt>
                <c:pt idx="59">
                  <c:v>26167.891675208397</c:v>
                </c:pt>
                <c:pt idx="60">
                  <c:v>29373.120360236288</c:v>
                </c:pt>
                <c:pt idx="61">
                  <c:v>32875.986657654314</c:v>
                </c:pt>
                <c:pt idx="62">
                  <c:v>37001.239884867988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819-4659-8F3E-9AAE2B8F4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173312"/>
        <c:axId val="703165632"/>
      </c:scatterChart>
      <c:valAx>
        <c:axId val="703173312"/>
        <c:scaling>
          <c:orientation val="minMax"/>
          <c:max val="10.5"/>
          <c:min val="0.5"/>
        </c:scaling>
        <c:delete val="1"/>
        <c:axPos val="b"/>
        <c:majorTickMark val="none"/>
        <c:minorTickMark val="none"/>
        <c:tickLblPos val="nextTo"/>
        <c:crossAx val="703165632"/>
        <c:crossesAt val="0"/>
        <c:crossBetween val="midCat"/>
      </c:valAx>
      <c:valAx>
        <c:axId val="703165632"/>
        <c:scaling>
          <c:orientation val="minMax"/>
          <c:max val="40000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numFmt formatCode="[$£]\ #,##0.00" sourceLinked="0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703173312"/>
        <c:crosses val="autoZero"/>
        <c:crossBetween val="midCat"/>
        <c:majorUnit val="10000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270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4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236113</xdr:colOff>
      <xdr:row>0</xdr:row>
      <xdr:rowOff>166710</xdr:rowOff>
    </xdr:from>
    <xdr:to>
      <xdr:col>9</xdr:col>
      <xdr:colOff>720859</xdr:colOff>
      <xdr:row>15</xdr:row>
      <xdr:rowOff>92656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3F7BCB-ACE9-A4CB-8350-D084C31C5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107949</xdr:colOff>
      <xdr:row>0</xdr:row>
      <xdr:rowOff>127000</xdr:rowOff>
    </xdr:from>
    <xdr:to>
      <xdr:col>7</xdr:col>
      <xdr:colOff>108799</xdr:colOff>
      <xdr:row>0</xdr:row>
      <xdr:rowOff>1487950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5E78ED-EFE9-2877-45E4-C76C782A644C}"/>
            </a:ext>
          </a:extLst>
        </xdr:cNvPr>
        <xdr:cNvSpPr txBox="1"/>
      </xdr:nvSpPr>
      <xdr:spPr>
        <a:xfrm>
          <a:off x="761999" y="127000"/>
          <a:ext cx="3429850" cy="136095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IN" sz="1400" b="1"/>
            <a:t>Advanced Sensitivity Analysis for Input</a:t>
          </a:r>
          <a:r>
            <a:rPr lang="en-IN" sz="1000"/>
            <a:t>
</a:t>
          </a:r>
          <a:r>
            <a:rPr lang="en-IN" sz="1000" b="1"/>
            <a:t>Performed By: Baljit</a:t>
          </a:r>
          <a:r>
            <a:rPr lang="en-IN" sz="1000" b="1" baseline="0"/>
            <a:t> singh</a:t>
          </a:r>
          <a:r>
            <a:rPr lang="en-IN" sz="1000"/>
            <a:t>
</a:t>
          </a:r>
          <a:r>
            <a:rPr lang="en-IN" sz="1000" b="1"/>
            <a:t>Date: </a:t>
          </a:r>
          <a:r>
            <a:rPr lang="en-IN" sz="1000"/>
            <a:t>07 May 2024 15:08:24
</a:t>
          </a:r>
          <a:r>
            <a:rPr lang="en-IN" sz="1000" b="1"/>
            <a:t>Output:</a:t>
          </a:r>
          <a:r>
            <a:rPr lang="en-IN" sz="1000"/>
            <a:t> Average Cost / Demand Variablity(Given mean 120,stdev)
</a:t>
          </a:r>
          <a:r>
            <a:rPr lang="en-IN" sz="1000" b="1"/>
            <a:t>Input:</a:t>
          </a:r>
          <a:r>
            <a:rPr lang="en-IN" sz="1000"/>
            <a:t> Cell B11
</a:t>
          </a:r>
          <a:r>
            <a:rPr lang="en-IN" sz="1000" b="1"/>
            <a:t>Type of Analysis:</a:t>
          </a:r>
          <a:r>
            <a:rPr lang="en-IN" sz="1000"/>
            <a:t> Values: 30 to 80
</a:t>
          </a:r>
          <a:r>
            <a:rPr lang="en-IN" sz="1000" b="1"/>
            <a:t>Number of Steps:</a:t>
          </a:r>
          <a:r>
            <a:rPr lang="en-IN" sz="1000"/>
            <a:t> 10
</a:t>
          </a:r>
          <a:r>
            <a:rPr lang="en-IN" sz="1000" b="1"/>
            <a:t>Base Value:</a:t>
          </a:r>
          <a:r>
            <a:rPr lang="en-IN" sz="1000"/>
            <a:t> 80.000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2</xdr:col>
      <xdr:colOff>44450</xdr:colOff>
      <xdr:row>0</xdr:row>
      <xdr:rowOff>698500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3F1734-EA98-EA7B-DB23-946F8099BA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8</xdr:col>
      <xdr:colOff>685800</xdr:colOff>
      <xdr:row>21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04A8E0-BD30-6F34-BD87-CF9CFE50C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2" name="V69426354075890266">
          <a:extLst xmlns:a="http://schemas.openxmlformats.org/drawingml/2006/main">
            <a:ext uri="{FF2B5EF4-FFF2-40B4-BE49-F238E27FC236}">
              <a16:creationId xmlns:a16="http://schemas.microsoft.com/office/drawing/2014/main" id="{A01ACCB2-6768-1CBE-AA83-70A824772687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3" name="V6942635407589026">
          <a:extLst xmlns:a="http://schemas.openxmlformats.org/drawingml/2006/main">
            <a:ext uri="{FF2B5EF4-FFF2-40B4-BE49-F238E27FC236}">
              <a16:creationId xmlns:a16="http://schemas.microsoft.com/office/drawing/2014/main" id="{76B9ADC3-ABB5-B18F-DDA8-5865793AA4E9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4" name="V694263540758902">
          <a:extLst xmlns:a="http://schemas.openxmlformats.org/drawingml/2006/main">
            <a:ext uri="{FF2B5EF4-FFF2-40B4-BE49-F238E27FC236}">
              <a16:creationId xmlns:a16="http://schemas.microsoft.com/office/drawing/2014/main" id="{3D9CE97F-EE15-25F0-340A-2A7B08C26AC4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5" name="V69426354075890">
          <a:extLst xmlns:a="http://schemas.openxmlformats.org/drawingml/2006/main">
            <a:ext uri="{FF2B5EF4-FFF2-40B4-BE49-F238E27FC236}">
              <a16:creationId xmlns:a16="http://schemas.microsoft.com/office/drawing/2014/main" id="{A6381EFE-57BF-FE2E-F07F-0E8A77374A8C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6" name="V6942635407589">
          <a:extLst xmlns:a="http://schemas.openxmlformats.org/drawingml/2006/main">
            <a:ext uri="{FF2B5EF4-FFF2-40B4-BE49-F238E27FC236}">
              <a16:creationId xmlns:a16="http://schemas.microsoft.com/office/drawing/2014/main" id="{763CBE25-6B93-DDC4-FC89-EAB58C31E0C2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7" name="V694263540758">
          <a:extLst xmlns:a="http://schemas.openxmlformats.org/drawingml/2006/main">
            <a:ext uri="{FF2B5EF4-FFF2-40B4-BE49-F238E27FC236}">
              <a16:creationId xmlns:a16="http://schemas.microsoft.com/office/drawing/2014/main" id="{CCD29E26-5F26-94B6-E682-621243B2EBBC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8" name="V69426354075">
          <a:extLst xmlns:a="http://schemas.openxmlformats.org/drawingml/2006/main">
            <a:ext uri="{FF2B5EF4-FFF2-40B4-BE49-F238E27FC236}">
              <a16:creationId xmlns:a16="http://schemas.microsoft.com/office/drawing/2014/main" id="{1EDF6F65-3097-D620-C909-926AA2D3A8DA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9" name="V6942635407">
          <a:extLst xmlns:a="http://schemas.openxmlformats.org/drawingml/2006/main">
            <a:ext uri="{FF2B5EF4-FFF2-40B4-BE49-F238E27FC236}">
              <a16:creationId xmlns:a16="http://schemas.microsoft.com/office/drawing/2014/main" id="{722D924C-039E-E5A8-7332-A12DD03A3EE0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0" name="V694263540">
          <a:extLst xmlns:a="http://schemas.openxmlformats.org/drawingml/2006/main">
            <a:ext uri="{FF2B5EF4-FFF2-40B4-BE49-F238E27FC236}">
              <a16:creationId xmlns:a16="http://schemas.microsoft.com/office/drawing/2014/main" id="{614AB9ED-500F-C552-A122-3E29EEA9BEF7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1" name="V69426354">
          <a:extLst xmlns:a="http://schemas.openxmlformats.org/drawingml/2006/main">
            <a:ext uri="{FF2B5EF4-FFF2-40B4-BE49-F238E27FC236}">
              <a16:creationId xmlns:a16="http://schemas.microsoft.com/office/drawing/2014/main" id="{3983AA8D-A216-09A1-CAD9-C44D3BC64F8A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2" name="V6942635">
          <a:extLst xmlns:a="http://schemas.openxmlformats.org/drawingml/2006/main">
            <a:ext uri="{FF2B5EF4-FFF2-40B4-BE49-F238E27FC236}">
              <a16:creationId xmlns:a16="http://schemas.microsoft.com/office/drawing/2014/main" id="{51D36314-E710-7209-51EB-E1C8E1AA2896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3" name="V694263">
          <a:extLst xmlns:a="http://schemas.openxmlformats.org/drawingml/2006/main">
            <a:ext uri="{FF2B5EF4-FFF2-40B4-BE49-F238E27FC236}">
              <a16:creationId xmlns:a16="http://schemas.microsoft.com/office/drawing/2014/main" id="{07135CCF-D743-590A-7330-25155C044C67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4" name="V69426">
          <a:extLst xmlns:a="http://schemas.openxmlformats.org/drawingml/2006/main">
            <a:ext uri="{FF2B5EF4-FFF2-40B4-BE49-F238E27FC236}">
              <a16:creationId xmlns:a16="http://schemas.microsoft.com/office/drawing/2014/main" id="{AF9F85AF-422C-0409-1804-F42EA35E23E1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5" name="V6942">
          <a:extLst xmlns:a="http://schemas.openxmlformats.org/drawingml/2006/main">
            <a:ext uri="{FF2B5EF4-FFF2-40B4-BE49-F238E27FC236}">
              <a16:creationId xmlns:a16="http://schemas.microsoft.com/office/drawing/2014/main" id="{1B448DF7-2C0B-9EDA-772B-136FBDF222D9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6" name="V694">
          <a:extLst xmlns:a="http://schemas.openxmlformats.org/drawingml/2006/main">
            <a:ext uri="{FF2B5EF4-FFF2-40B4-BE49-F238E27FC236}">
              <a16:creationId xmlns:a16="http://schemas.microsoft.com/office/drawing/2014/main" id="{2E253700-B1E5-D0E7-6C66-63A25611947C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742949</xdr:colOff>
      <xdr:row>0</xdr:row>
      <xdr:rowOff>127000</xdr:rowOff>
    </xdr:from>
    <xdr:to>
      <xdr:col>6</xdr:col>
      <xdr:colOff>381849</xdr:colOff>
      <xdr:row>0</xdr:row>
      <xdr:rowOff>1174916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F89597-0F87-2005-A726-6A4EC97A17A9}"/>
            </a:ext>
          </a:extLst>
        </xdr:cNvPr>
        <xdr:cNvSpPr txBox="1"/>
      </xdr:nvSpPr>
      <xdr:spPr>
        <a:xfrm>
          <a:off x="761999" y="127000"/>
          <a:ext cx="3429850" cy="1047916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IN" sz="1400" b="1"/>
            <a:t>Advanced Sensitivity Analysis Input Graphs</a:t>
          </a:r>
          <a:r>
            <a:rPr lang="en-IN" sz="1000"/>
            <a:t>
</a:t>
          </a:r>
          <a:r>
            <a:rPr lang="en-IN" sz="1000" b="1"/>
            <a:t>Performed By: </a:t>
          </a:r>
          <a:r>
            <a:rPr lang="en-IN" sz="1000" b="0"/>
            <a:t>Baljit</a:t>
          </a:r>
          <a:r>
            <a:rPr lang="en-IN" sz="1000" b="0" baseline="0"/>
            <a:t> singh</a:t>
          </a:r>
          <a:r>
            <a:rPr lang="en-IN" sz="1000"/>
            <a:t>
</a:t>
          </a:r>
          <a:r>
            <a:rPr lang="en-IN" sz="1000" b="1"/>
            <a:t>Date: </a:t>
          </a:r>
          <a:r>
            <a:rPr lang="en-IN" sz="1000"/>
            <a:t>07 May 2024 15:08:25
</a:t>
          </a:r>
          <a:r>
            <a:rPr lang="en-IN" sz="1000" b="1"/>
            <a:t>Output:</a:t>
          </a:r>
          <a:r>
            <a:rPr lang="en-IN" sz="1000"/>
            <a:t> Average Cost / Demand Variablity(Given mean 120,stdev)
</a:t>
          </a:r>
          <a:r>
            <a:rPr lang="en-IN" sz="1000" b="1"/>
            <a:t>Input:</a:t>
          </a:r>
          <a:r>
            <a:rPr lang="en-IN" sz="1000"/>
            <a:t> Cell B11
</a:t>
          </a:r>
          <a:r>
            <a:rPr lang="en-IN" sz="1000" b="1"/>
            <a:t>Number of Steps:</a:t>
          </a:r>
          <a:r>
            <a:rPr lang="en-IN" sz="1000"/>
            <a:t> 10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1</xdr:col>
      <xdr:colOff>679450</xdr:colOff>
      <xdr:row>0</xdr:row>
      <xdr:rowOff>698500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340BCA-B8C6-ED6B-762B-B5643FD24A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8</xdr:col>
      <xdr:colOff>273050</xdr:colOff>
      <xdr:row>21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DEE801-6255-67F6-B6CD-7CDF825EC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8</xdr:col>
      <xdr:colOff>273050</xdr:colOff>
      <xdr:row>43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993D67-4CD6-0537-C047-231FB7ADA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8</xdr:col>
      <xdr:colOff>273050</xdr:colOff>
      <xdr:row>65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04228E-7349-B526-19BE-0D0AB3286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2" name="V85036885374911401">
          <a:extLst xmlns:a="http://schemas.openxmlformats.org/drawingml/2006/main">
            <a:ext uri="{FF2B5EF4-FFF2-40B4-BE49-F238E27FC236}">
              <a16:creationId xmlns:a16="http://schemas.microsoft.com/office/drawing/2014/main" id="{23B23109-4D3E-8130-F259-AD4953262405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3" name="V8503688537491140">
          <a:extLst xmlns:a="http://schemas.openxmlformats.org/drawingml/2006/main">
            <a:ext uri="{FF2B5EF4-FFF2-40B4-BE49-F238E27FC236}">
              <a16:creationId xmlns:a16="http://schemas.microsoft.com/office/drawing/2014/main" id="{45387B9A-0E5A-A45F-7228-E8777831C684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4" name="V850368853749114">
          <a:extLst xmlns:a="http://schemas.openxmlformats.org/drawingml/2006/main">
            <a:ext uri="{FF2B5EF4-FFF2-40B4-BE49-F238E27FC236}">
              <a16:creationId xmlns:a16="http://schemas.microsoft.com/office/drawing/2014/main" id="{04ACC0D9-6C15-D6D7-15A3-1D59B343F317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5" name="V85036885374911">
          <a:extLst xmlns:a="http://schemas.openxmlformats.org/drawingml/2006/main">
            <a:ext uri="{FF2B5EF4-FFF2-40B4-BE49-F238E27FC236}">
              <a16:creationId xmlns:a16="http://schemas.microsoft.com/office/drawing/2014/main" id="{3390A571-AA9A-928A-427D-8BF27D59E256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6" name="V8503688537491">
          <a:extLst xmlns:a="http://schemas.openxmlformats.org/drawingml/2006/main">
            <a:ext uri="{FF2B5EF4-FFF2-40B4-BE49-F238E27FC236}">
              <a16:creationId xmlns:a16="http://schemas.microsoft.com/office/drawing/2014/main" id="{6EAEC48C-FCD5-57BF-EA3B-A46D4E125A47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7" name="V850368853749">
          <a:extLst xmlns:a="http://schemas.openxmlformats.org/drawingml/2006/main">
            <a:ext uri="{FF2B5EF4-FFF2-40B4-BE49-F238E27FC236}">
              <a16:creationId xmlns:a16="http://schemas.microsoft.com/office/drawing/2014/main" id="{007E1777-22B4-FA37-AD6A-4F513DE88412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8" name="V85036885374">
          <a:extLst xmlns:a="http://schemas.openxmlformats.org/drawingml/2006/main">
            <a:ext uri="{FF2B5EF4-FFF2-40B4-BE49-F238E27FC236}">
              <a16:creationId xmlns:a16="http://schemas.microsoft.com/office/drawing/2014/main" id="{C5388C14-9652-F6D9-6EDD-9DB383299ADE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9" name="V8503688537">
          <a:extLst xmlns:a="http://schemas.openxmlformats.org/drawingml/2006/main">
            <a:ext uri="{FF2B5EF4-FFF2-40B4-BE49-F238E27FC236}">
              <a16:creationId xmlns:a16="http://schemas.microsoft.com/office/drawing/2014/main" id="{097677EE-D14B-62F6-B18F-383232D96D59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10" name="V850368853">
          <a:extLst xmlns:a="http://schemas.openxmlformats.org/drawingml/2006/main">
            <a:ext uri="{FF2B5EF4-FFF2-40B4-BE49-F238E27FC236}">
              <a16:creationId xmlns:a16="http://schemas.microsoft.com/office/drawing/2014/main" id="{CB10D573-04A6-FBEC-6133-9CB6F2616073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11" name="V85036885">
          <a:extLst xmlns:a="http://schemas.openxmlformats.org/drawingml/2006/main">
            <a:ext uri="{FF2B5EF4-FFF2-40B4-BE49-F238E27FC236}">
              <a16:creationId xmlns:a16="http://schemas.microsoft.com/office/drawing/2014/main" id="{F475C894-025D-0D6C-8268-2235B98037B9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12" name="V8503688">
          <a:extLst xmlns:a="http://schemas.openxmlformats.org/drawingml/2006/main">
            <a:ext uri="{FF2B5EF4-FFF2-40B4-BE49-F238E27FC236}">
              <a16:creationId xmlns:a16="http://schemas.microsoft.com/office/drawing/2014/main" id="{1A7E7C4F-34B4-1388-21A9-5AA2532D0DB9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13" name="V850368">
          <a:extLst xmlns:a="http://schemas.openxmlformats.org/drawingml/2006/main">
            <a:ext uri="{FF2B5EF4-FFF2-40B4-BE49-F238E27FC236}">
              <a16:creationId xmlns:a16="http://schemas.microsoft.com/office/drawing/2014/main" id="{A6CF060E-C2A9-72FC-5B4E-AD2C489C780E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14" name="V85036">
          <a:extLst xmlns:a="http://schemas.openxmlformats.org/drawingml/2006/main">
            <a:ext uri="{FF2B5EF4-FFF2-40B4-BE49-F238E27FC236}">
              <a16:creationId xmlns:a16="http://schemas.microsoft.com/office/drawing/2014/main" id="{D77DE46C-3936-65A1-AAD0-626519DA19A6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15" name="V8503">
          <a:extLst xmlns:a="http://schemas.openxmlformats.org/drawingml/2006/main">
            <a:ext uri="{FF2B5EF4-FFF2-40B4-BE49-F238E27FC236}">
              <a16:creationId xmlns:a16="http://schemas.microsoft.com/office/drawing/2014/main" id="{17D426D7-E1D4-7EB6-ABEA-345FECDC441B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0.13647</cdr:x>
      <cdr:y>0.45516</cdr:y>
    </cdr:from>
    <cdr:to>
      <cdr:x>0.92757</cdr:x>
      <cdr:y>0.62182</cdr:y>
    </cdr:to>
    <cdr:sp macro="" textlink="">
      <cdr:nvSpPr>
        <cdr:cNvPr id="16" name="V850">
          <a:extLst xmlns:a="http://schemas.openxmlformats.org/drawingml/2006/main">
            <a:ext uri="{FF2B5EF4-FFF2-40B4-BE49-F238E27FC236}">
              <a16:creationId xmlns:a16="http://schemas.microsoft.com/office/drawing/2014/main" id="{3D1DFF72-37F6-639B-383D-F1BC386391A8}"/>
            </a:ext>
          </a:extLst>
        </cdr:cNvPr>
        <cdr:cNvSpPr txBox="1"/>
      </cdr:nvSpPr>
      <cdr:spPr>
        <a:xfrm xmlns:a="http://schemas.openxmlformats.org/drawingml/2006/main">
          <a:off x="741807" y="1734153"/>
          <a:ext cx="4300093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2" name="F33018506868846290">
          <a:extLst xmlns:a="http://schemas.openxmlformats.org/drawingml/2006/main">
            <a:ext uri="{FF2B5EF4-FFF2-40B4-BE49-F238E27FC236}">
              <a16:creationId xmlns:a16="http://schemas.microsoft.com/office/drawing/2014/main" id="{950AD615-5A5D-DA58-8D24-A489F3F7ADE0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3" name="F3301850686884629">
          <a:extLst xmlns:a="http://schemas.openxmlformats.org/drawingml/2006/main">
            <a:ext uri="{FF2B5EF4-FFF2-40B4-BE49-F238E27FC236}">
              <a16:creationId xmlns:a16="http://schemas.microsoft.com/office/drawing/2014/main" id="{5C56ED07-F43C-8746-70E2-4434286D5482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4" name="F330185068688462">
          <a:extLst xmlns:a="http://schemas.openxmlformats.org/drawingml/2006/main">
            <a:ext uri="{FF2B5EF4-FFF2-40B4-BE49-F238E27FC236}">
              <a16:creationId xmlns:a16="http://schemas.microsoft.com/office/drawing/2014/main" id="{C498A503-E9F2-6195-9450-4E16863F1568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5" name="F33018506868846">
          <a:extLst xmlns:a="http://schemas.openxmlformats.org/drawingml/2006/main">
            <a:ext uri="{FF2B5EF4-FFF2-40B4-BE49-F238E27FC236}">
              <a16:creationId xmlns:a16="http://schemas.microsoft.com/office/drawing/2014/main" id="{A888D49F-3275-9C5E-9845-7448A7D7531B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6" name="F3301850686884">
          <a:extLst xmlns:a="http://schemas.openxmlformats.org/drawingml/2006/main">
            <a:ext uri="{FF2B5EF4-FFF2-40B4-BE49-F238E27FC236}">
              <a16:creationId xmlns:a16="http://schemas.microsoft.com/office/drawing/2014/main" id="{4FEF6764-A2BF-5266-D6A6-77D8203B96F5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7" name="F330185068688">
          <a:extLst xmlns:a="http://schemas.openxmlformats.org/drawingml/2006/main">
            <a:ext uri="{FF2B5EF4-FFF2-40B4-BE49-F238E27FC236}">
              <a16:creationId xmlns:a16="http://schemas.microsoft.com/office/drawing/2014/main" id="{F9E01FBC-36F4-B5A5-E2DC-2EA997618849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8" name="F33018506868">
          <a:extLst xmlns:a="http://schemas.openxmlformats.org/drawingml/2006/main">
            <a:ext uri="{FF2B5EF4-FFF2-40B4-BE49-F238E27FC236}">
              <a16:creationId xmlns:a16="http://schemas.microsoft.com/office/drawing/2014/main" id="{D7D75EEC-3B56-570B-7E09-F26625D9877F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9" name="F3301850686">
          <a:extLst xmlns:a="http://schemas.openxmlformats.org/drawingml/2006/main">
            <a:ext uri="{FF2B5EF4-FFF2-40B4-BE49-F238E27FC236}">
              <a16:creationId xmlns:a16="http://schemas.microsoft.com/office/drawing/2014/main" id="{50DC9D4D-4CB1-C1F9-66BC-BF1FB8F23D71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0" name="F330185068">
          <a:extLst xmlns:a="http://schemas.openxmlformats.org/drawingml/2006/main">
            <a:ext uri="{FF2B5EF4-FFF2-40B4-BE49-F238E27FC236}">
              <a16:creationId xmlns:a16="http://schemas.microsoft.com/office/drawing/2014/main" id="{6554D31D-8EC3-93C8-2385-605209193039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1" name="F33018506">
          <a:extLst xmlns:a="http://schemas.openxmlformats.org/drawingml/2006/main">
            <a:ext uri="{FF2B5EF4-FFF2-40B4-BE49-F238E27FC236}">
              <a16:creationId xmlns:a16="http://schemas.microsoft.com/office/drawing/2014/main" id="{15667E19-1F49-DBA7-4317-3C521BEA2057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2" name="F3301850">
          <a:extLst xmlns:a="http://schemas.openxmlformats.org/drawingml/2006/main">
            <a:ext uri="{FF2B5EF4-FFF2-40B4-BE49-F238E27FC236}">
              <a16:creationId xmlns:a16="http://schemas.microsoft.com/office/drawing/2014/main" id="{D4319077-10EF-B58B-EB96-9B8FADF8A5E8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3" name="F330185">
          <a:extLst xmlns:a="http://schemas.openxmlformats.org/drawingml/2006/main">
            <a:ext uri="{FF2B5EF4-FFF2-40B4-BE49-F238E27FC236}">
              <a16:creationId xmlns:a16="http://schemas.microsoft.com/office/drawing/2014/main" id="{8BFFEA73-B68D-CFE4-B919-12D51DD50E68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4" name="F33018">
          <a:extLst xmlns:a="http://schemas.openxmlformats.org/drawingml/2006/main">
            <a:ext uri="{FF2B5EF4-FFF2-40B4-BE49-F238E27FC236}">
              <a16:creationId xmlns:a16="http://schemas.microsoft.com/office/drawing/2014/main" id="{180D9BC1-DA26-3FE5-2311-F94BF94EC818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5" name="F3301">
          <a:extLst xmlns:a="http://schemas.openxmlformats.org/drawingml/2006/main">
            <a:ext uri="{FF2B5EF4-FFF2-40B4-BE49-F238E27FC236}">
              <a16:creationId xmlns:a16="http://schemas.microsoft.com/office/drawing/2014/main" id="{D36B24EC-80D0-DF80-700C-FFAEBB845D74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0.10796</cdr:x>
      <cdr:y>0.45516</cdr:y>
    </cdr:from>
    <cdr:to>
      <cdr:x>0.75017</cdr:x>
      <cdr:y>0.62182</cdr:y>
    </cdr:to>
    <cdr:sp macro="" textlink="">
      <cdr:nvSpPr>
        <cdr:cNvPr id="16" name="F330">
          <a:extLst xmlns:a="http://schemas.openxmlformats.org/drawingml/2006/main">
            <a:ext uri="{FF2B5EF4-FFF2-40B4-BE49-F238E27FC236}">
              <a16:creationId xmlns:a16="http://schemas.microsoft.com/office/drawing/2014/main" id="{FB575EB5-55E5-C4D9-0EB6-3C99DA76ED89}"/>
            </a:ext>
          </a:extLst>
        </cdr:cNvPr>
        <cdr:cNvSpPr txBox="1"/>
      </cdr:nvSpPr>
      <cdr:spPr>
        <a:xfrm xmlns:a="http://schemas.openxmlformats.org/drawingml/2006/main">
          <a:off x="586804" y="1734153"/>
          <a:ext cx="3490845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2" name="I57830323178164683">
          <a:extLst xmlns:a="http://schemas.openxmlformats.org/drawingml/2006/main">
            <a:ext uri="{FF2B5EF4-FFF2-40B4-BE49-F238E27FC236}">
              <a16:creationId xmlns:a16="http://schemas.microsoft.com/office/drawing/2014/main" id="{D3D266A2-EF75-9BE0-D46D-C6721A63F2CB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3" name="I5783032317816468">
          <a:extLst xmlns:a="http://schemas.openxmlformats.org/drawingml/2006/main">
            <a:ext uri="{FF2B5EF4-FFF2-40B4-BE49-F238E27FC236}">
              <a16:creationId xmlns:a16="http://schemas.microsoft.com/office/drawing/2014/main" id="{0997572C-60D8-D24C-CC56-4DBF5910DE30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4" name="I578303231781646">
          <a:extLst xmlns:a="http://schemas.openxmlformats.org/drawingml/2006/main">
            <a:ext uri="{FF2B5EF4-FFF2-40B4-BE49-F238E27FC236}">
              <a16:creationId xmlns:a16="http://schemas.microsoft.com/office/drawing/2014/main" id="{495EE7E3-F373-39FB-688E-EE0A08DD0380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5" name="I57830323178164">
          <a:extLst xmlns:a="http://schemas.openxmlformats.org/drawingml/2006/main">
            <a:ext uri="{FF2B5EF4-FFF2-40B4-BE49-F238E27FC236}">
              <a16:creationId xmlns:a16="http://schemas.microsoft.com/office/drawing/2014/main" id="{4D1C51F2-4F04-3F17-D2DD-9521A3DFCDB4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6" name="I5783032317816">
          <a:extLst xmlns:a="http://schemas.openxmlformats.org/drawingml/2006/main">
            <a:ext uri="{FF2B5EF4-FFF2-40B4-BE49-F238E27FC236}">
              <a16:creationId xmlns:a16="http://schemas.microsoft.com/office/drawing/2014/main" id="{529420F1-66FF-41B4-F7E8-F9C8726093F5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7" name="I578303231781">
          <a:extLst xmlns:a="http://schemas.openxmlformats.org/drawingml/2006/main">
            <a:ext uri="{FF2B5EF4-FFF2-40B4-BE49-F238E27FC236}">
              <a16:creationId xmlns:a16="http://schemas.microsoft.com/office/drawing/2014/main" id="{3A9C0A9F-EE56-3FE2-9235-340A816712B4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8" name="I57830323178">
          <a:extLst xmlns:a="http://schemas.openxmlformats.org/drawingml/2006/main">
            <a:ext uri="{FF2B5EF4-FFF2-40B4-BE49-F238E27FC236}">
              <a16:creationId xmlns:a16="http://schemas.microsoft.com/office/drawing/2014/main" id="{95B1E134-B5E6-6750-1454-7940E72C7516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9" name="I5783032317">
          <a:extLst xmlns:a="http://schemas.openxmlformats.org/drawingml/2006/main">
            <a:ext uri="{FF2B5EF4-FFF2-40B4-BE49-F238E27FC236}">
              <a16:creationId xmlns:a16="http://schemas.microsoft.com/office/drawing/2014/main" id="{14ABC8FA-6FAD-B7AE-4971-FD26FB7418F9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10" name="I578303231">
          <a:extLst xmlns:a="http://schemas.openxmlformats.org/drawingml/2006/main">
            <a:ext uri="{FF2B5EF4-FFF2-40B4-BE49-F238E27FC236}">
              <a16:creationId xmlns:a16="http://schemas.microsoft.com/office/drawing/2014/main" id="{5295B587-2749-C3A3-3DFE-4D3DC49E09A2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11" name="I57830323">
          <a:extLst xmlns:a="http://schemas.openxmlformats.org/drawingml/2006/main">
            <a:ext uri="{FF2B5EF4-FFF2-40B4-BE49-F238E27FC236}">
              <a16:creationId xmlns:a16="http://schemas.microsoft.com/office/drawing/2014/main" id="{4B77EDCB-9DF9-330D-94A8-EC64ACCD0579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12" name="I5783032">
          <a:extLst xmlns:a="http://schemas.openxmlformats.org/drawingml/2006/main">
            <a:ext uri="{FF2B5EF4-FFF2-40B4-BE49-F238E27FC236}">
              <a16:creationId xmlns:a16="http://schemas.microsoft.com/office/drawing/2014/main" id="{D4EEBEAC-A0AF-5384-9ED8-1D026F382C59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13" name="I578303">
          <a:extLst xmlns:a="http://schemas.openxmlformats.org/drawingml/2006/main">
            <a:ext uri="{FF2B5EF4-FFF2-40B4-BE49-F238E27FC236}">
              <a16:creationId xmlns:a16="http://schemas.microsoft.com/office/drawing/2014/main" id="{F6A2B6AB-DC90-0F69-06EE-33E13F2FAA61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14" name="I57830">
          <a:extLst xmlns:a="http://schemas.openxmlformats.org/drawingml/2006/main">
            <a:ext uri="{FF2B5EF4-FFF2-40B4-BE49-F238E27FC236}">
              <a16:creationId xmlns:a16="http://schemas.microsoft.com/office/drawing/2014/main" id="{E6022691-F30D-FADD-AD5C-F16403FF8F52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15" name="I5783">
          <a:extLst xmlns:a="http://schemas.openxmlformats.org/drawingml/2006/main">
            <a:ext uri="{FF2B5EF4-FFF2-40B4-BE49-F238E27FC236}">
              <a16:creationId xmlns:a16="http://schemas.microsoft.com/office/drawing/2014/main" id="{D0CF8D31-692B-E736-C40C-9E52E728B6C7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  <cdr:relSizeAnchor xmlns:cdr="http://schemas.openxmlformats.org/drawingml/2006/chartDrawing">
    <cdr:from>
      <cdr:x>0.07243</cdr:x>
      <cdr:y>0.4805</cdr:y>
    </cdr:from>
    <cdr:to>
      <cdr:x>0.92757</cdr:x>
      <cdr:y>0.64717</cdr:y>
    </cdr:to>
    <cdr:sp macro="" textlink="">
      <cdr:nvSpPr>
        <cdr:cNvPr id="16" name="I578">
          <a:extLst xmlns:a="http://schemas.openxmlformats.org/drawingml/2006/main">
            <a:ext uri="{FF2B5EF4-FFF2-40B4-BE49-F238E27FC236}">
              <a16:creationId xmlns:a16="http://schemas.microsoft.com/office/drawing/2014/main" id="{114F9699-7C94-D637-1ED9-C67533FAF7FF}"/>
            </a:ext>
          </a:extLst>
        </cdr:cNvPr>
        <cdr:cNvSpPr txBox="1"/>
      </cdr:nvSpPr>
      <cdr:spPr>
        <a:xfrm xmlns:a="http://schemas.openxmlformats.org/drawingml/2006/main">
          <a:off x="393700" y="1830705"/>
          <a:ext cx="46482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6E6E6E"/>
              </a:solidFill>
              <a:latin typeface="Arial" panose="020B0604020202020204" pitchFamily="34" charset="0"/>
            </a:rPr>
            <a:t>@RISK Course Version</a:t>
          </a:r>
        </a:p>
        <a:p xmlns:a="http://schemas.openxmlformats.org/drawingml/2006/main">
          <a:pPr algn="ctr"/>
          <a:r>
            <a:rPr lang="en-IN" sz="1000" b="0" i="0">
              <a:solidFill>
                <a:srgbClr val="6E6E6E"/>
              </a:solidFill>
              <a:latin typeface="Arial" panose="020B0604020202020204" pitchFamily="34" charset="0"/>
            </a:rPr>
            <a:t>University of Westminster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311149</xdr:colOff>
      <xdr:row>0</xdr:row>
      <xdr:rowOff>127000</xdr:rowOff>
    </xdr:from>
    <xdr:to>
      <xdr:col>9</xdr:col>
      <xdr:colOff>311999</xdr:colOff>
      <xdr:row>0</xdr:row>
      <xdr:rowOff>1174916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22B3AF-0581-DE20-212B-BC513599350F}"/>
            </a:ext>
          </a:extLst>
        </xdr:cNvPr>
        <xdr:cNvSpPr txBox="1"/>
      </xdr:nvSpPr>
      <xdr:spPr>
        <a:xfrm>
          <a:off x="761999" y="127000"/>
          <a:ext cx="3429850" cy="1047916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IN" sz="1400" b="1"/>
            <a:t>Advanced Sensitivity Analysis Summary</a:t>
          </a:r>
          <a:r>
            <a:rPr lang="en-IN" sz="1000"/>
            <a:t>
</a:t>
          </a:r>
          <a:r>
            <a:rPr lang="en-IN" sz="1000" b="1"/>
            <a:t>Performed By: </a:t>
          </a:r>
          <a:r>
            <a:rPr lang="en-IN" sz="1000" b="0"/>
            <a:t>Baljit</a:t>
          </a:r>
          <a:r>
            <a:rPr lang="en-IN" sz="1000" b="0" baseline="0"/>
            <a:t> singh</a:t>
          </a:r>
        </a:p>
        <a:p>
          <a:r>
            <a:rPr lang="en-IN" sz="1000" b="1"/>
            <a:t>Date: </a:t>
          </a:r>
          <a:r>
            <a:rPr lang="en-IN" sz="1000"/>
            <a:t>07 May 2024 15:08:23
</a:t>
          </a:r>
          <a:r>
            <a:rPr lang="en-IN" sz="1000" b="1"/>
            <a:t>Output:</a:t>
          </a:r>
          <a:r>
            <a:rPr lang="en-IN" sz="1000"/>
            <a:t> Average Cost / Demand Variablity(Given mean 120,stdev)
</a:t>
          </a:r>
          <a:r>
            <a:rPr lang="en-IN" sz="1000" b="1"/>
            <a:t>Inputs Analyzed:</a:t>
          </a:r>
          <a:r>
            <a:rPr lang="en-IN" sz="1000"/>
            <a:t> 1
</a:t>
          </a:r>
          <a:r>
            <a:rPr lang="en-IN" sz="1000" b="1"/>
            <a:t>Simulations:</a:t>
          </a:r>
          <a:r>
            <a:rPr lang="en-IN" sz="1000"/>
            <a:t> 10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2</xdr:col>
      <xdr:colOff>247650</xdr:colOff>
      <xdr:row>0</xdr:row>
      <xdr:rowOff>698500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86822F-7EB0-FFDB-176A-5D1F67DD35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08B3-CCA8-4A5D-A712-C2E34AD3AA6F}">
  <dimension ref="A1:BK5"/>
  <sheetViews>
    <sheetView workbookViewId="0"/>
  </sheetViews>
  <sheetFormatPr defaultRowHeight="14.5" x14ac:dyDescent="0.35"/>
  <sheetData>
    <row r="1" spans="1:63" x14ac:dyDescent="0.35">
      <c r="E1" t="s">
        <v>76</v>
      </c>
      <c r="S1" t="s">
        <v>77</v>
      </c>
    </row>
    <row r="2" spans="1:63" x14ac:dyDescent="0.35">
      <c r="E2" t="e">
        <f ca="1">'part(a)'!$B$13</f>
        <v>#VALUE!</v>
      </c>
      <c r="S2">
        <v>0</v>
      </c>
    </row>
    <row r="3" spans="1:63" x14ac:dyDescent="0.35">
      <c r="A3" t="s">
        <v>78</v>
      </c>
      <c r="B3">
        <v>1</v>
      </c>
      <c r="C3" t="s">
        <v>79</v>
      </c>
    </row>
    <row r="4" spans="1:63" x14ac:dyDescent="0.35">
      <c r="A4" t="s">
        <v>80</v>
      </c>
      <c r="B4" t="s">
        <v>85</v>
      </c>
      <c r="C4" t="s">
        <v>83</v>
      </c>
      <c r="D4" t="s">
        <v>84</v>
      </c>
      <c r="E4" t="s">
        <v>76</v>
      </c>
      <c r="F4" t="s">
        <v>82</v>
      </c>
      <c r="G4" t="s">
        <v>98</v>
      </c>
      <c r="H4" t="s">
        <v>88</v>
      </c>
      <c r="I4" t="s">
        <v>89</v>
      </c>
      <c r="J4" t="s">
        <v>90</v>
      </c>
      <c r="K4" t="s">
        <v>91</v>
      </c>
      <c r="L4" t="s">
        <v>86</v>
      </c>
      <c r="M4" t="s">
        <v>92</v>
      </c>
      <c r="N4" t="s">
        <v>94</v>
      </c>
      <c r="O4" t="s">
        <v>97</v>
      </c>
      <c r="P4" t="s">
        <v>100</v>
      </c>
      <c r="Q4" t="s">
        <v>99</v>
      </c>
      <c r="R4" t="s">
        <v>81</v>
      </c>
      <c r="S4" t="s">
        <v>77</v>
      </c>
      <c r="Y4" t="s">
        <v>93</v>
      </c>
      <c r="Z4" t="s">
        <v>95</v>
      </c>
      <c r="AA4" t="s">
        <v>87</v>
      </c>
      <c r="AB4" t="s">
        <v>96</v>
      </c>
    </row>
    <row r="5" spans="1:63" x14ac:dyDescent="0.35">
      <c r="A5">
        <v>1</v>
      </c>
      <c r="B5" t="b">
        <v>1</v>
      </c>
      <c r="C5">
        <v>0</v>
      </c>
      <c r="D5" t="s">
        <v>102</v>
      </c>
      <c r="E5">
        <f>'part(a)'!$B$11</f>
        <v>80</v>
      </c>
      <c r="F5" s="3" t="s">
        <v>101</v>
      </c>
      <c r="G5" t="s">
        <v>105</v>
      </c>
      <c r="J5" s="3" t="s">
        <v>104</v>
      </c>
      <c r="K5" s="3" t="s">
        <v>103</v>
      </c>
      <c r="L5" s="3" t="s">
        <v>103</v>
      </c>
      <c r="M5">
        <v>10</v>
      </c>
      <c r="N5" t="b">
        <v>1</v>
      </c>
      <c r="O5" t="b">
        <v>0</v>
      </c>
      <c r="P5">
        <v>1</v>
      </c>
      <c r="Q5">
        <v>0</v>
      </c>
      <c r="R5">
        <v>1</v>
      </c>
      <c r="S5">
        <v>0</v>
      </c>
      <c r="U5" s="3" t="s">
        <v>103</v>
      </c>
      <c r="Z5">
        <v>3</v>
      </c>
      <c r="AA5" t="b">
        <v>1</v>
      </c>
      <c r="BB5" s="3" t="s">
        <v>104</v>
      </c>
      <c r="BC5" s="3" t="s">
        <v>106</v>
      </c>
      <c r="BD5" s="3" t="s">
        <v>107</v>
      </c>
      <c r="BE5" s="3" t="s">
        <v>108</v>
      </c>
      <c r="BF5" s="3" t="s">
        <v>109</v>
      </c>
      <c r="BG5" s="3" t="s">
        <v>110</v>
      </c>
      <c r="BH5" s="3" t="s">
        <v>111</v>
      </c>
      <c r="BI5" s="3" t="s">
        <v>112</v>
      </c>
      <c r="BJ5" s="3" t="s">
        <v>113</v>
      </c>
      <c r="BK5" s="3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50DD-0DAF-40F8-999B-D0F7CCDA58E3}">
  <dimension ref="A1:BU8"/>
  <sheetViews>
    <sheetView workbookViewId="0"/>
  </sheetViews>
  <sheetFormatPr defaultRowHeight="14.5" x14ac:dyDescent="0.35"/>
  <sheetData>
    <row r="1" spans="1:73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73" x14ac:dyDescent="0.35">
      <c r="A2" t="s">
        <v>54</v>
      </c>
      <c r="B2" t="s">
        <v>54</v>
      </c>
      <c r="C2" t="e">
        <f ca="1">'part(a)'!$B$13</f>
        <v>#VALUE!</v>
      </c>
      <c r="D2">
        <v>2</v>
      </c>
      <c r="F2" t="b">
        <v>0</v>
      </c>
      <c r="G2">
        <v>127</v>
      </c>
      <c r="H2">
        <v>1</v>
      </c>
      <c r="I2">
        <v>1</v>
      </c>
      <c r="J2">
        <v>1</v>
      </c>
    </row>
    <row r="4" spans="1:73" x14ac:dyDescent="0.35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AD4" t="s">
        <v>65</v>
      </c>
      <c r="AE4" t="s">
        <v>66</v>
      </c>
      <c r="AY4" t="s">
        <v>67</v>
      </c>
      <c r="AZ4" t="s">
        <v>68</v>
      </c>
      <c r="BT4" t="s">
        <v>69</v>
      </c>
      <c r="BU4" t="s">
        <v>70</v>
      </c>
    </row>
    <row r="5" spans="1:73" x14ac:dyDescent="0.35">
      <c r="A5">
        <v>0</v>
      </c>
      <c r="B5" t="b">
        <v>1</v>
      </c>
      <c r="D5" t="b">
        <v>0</v>
      </c>
      <c r="E5">
        <v>2</v>
      </c>
      <c r="F5">
        <v>10</v>
      </c>
      <c r="G5">
        <v>30</v>
      </c>
      <c r="H5">
        <v>80</v>
      </c>
      <c r="AD5">
        <v>1</v>
      </c>
      <c r="AE5">
        <f>'part(a)'!$B$11</f>
        <v>80</v>
      </c>
      <c r="AY5">
        <v>0</v>
      </c>
      <c r="BU5" t="b">
        <v>0</v>
      </c>
    </row>
    <row r="7" spans="1:73" x14ac:dyDescent="0.35">
      <c r="A7" t="s">
        <v>71</v>
      </c>
      <c r="B7" t="s">
        <v>72</v>
      </c>
      <c r="C7" t="s">
        <v>73</v>
      </c>
      <c r="D7" t="s">
        <v>74</v>
      </c>
      <c r="E7" t="s">
        <v>75</v>
      </c>
    </row>
    <row r="8" spans="1:73" x14ac:dyDescent="0.35">
      <c r="A8">
        <v>0</v>
      </c>
      <c r="B8">
        <f>'part(a)'!$B$11</f>
        <v>80</v>
      </c>
      <c r="C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F301-90C5-46D6-A962-845F6D32A3ED}">
  <dimension ref="A1:X9"/>
  <sheetViews>
    <sheetView workbookViewId="0"/>
  </sheetViews>
  <sheetFormatPr defaultColWidth="25.6328125" defaultRowHeight="14.5" x14ac:dyDescent="0.35"/>
  <sheetData>
    <row r="1" spans="1:24" x14ac:dyDescent="0.35">
      <c r="A1" t="s">
        <v>17</v>
      </c>
      <c r="B1" t="s">
        <v>18</v>
      </c>
    </row>
    <row r="2" spans="1:24" x14ac:dyDescent="0.35">
      <c r="A2" t="s">
        <v>19</v>
      </c>
      <c r="B2">
        <v>4</v>
      </c>
    </row>
    <row r="3" spans="1:24" x14ac:dyDescent="0.35">
      <c r="A3" t="s">
        <v>20</v>
      </c>
      <c r="B3">
        <v>0</v>
      </c>
    </row>
    <row r="5" spans="1:24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J5" t="s">
        <v>27</v>
      </c>
      <c r="K5" t="s">
        <v>28</v>
      </c>
      <c r="L5" t="s">
        <v>29</v>
      </c>
      <c r="N5" t="s">
        <v>30</v>
      </c>
      <c r="O5" t="s">
        <v>31</v>
      </c>
      <c r="P5" t="s">
        <v>32</v>
      </c>
      <c r="R5" t="s">
        <v>33</v>
      </c>
      <c r="S5" t="s">
        <v>34</v>
      </c>
      <c r="T5" t="s">
        <v>35</v>
      </c>
      <c r="V5" t="s">
        <v>36</v>
      </c>
      <c r="W5" t="s">
        <v>37</v>
      </c>
      <c r="X5" t="s">
        <v>38</v>
      </c>
    </row>
    <row r="6" spans="1:24" x14ac:dyDescent="0.35">
      <c r="A6" t="e">
        <f ca="1">ModelRef('part(a)'!$B$8,2,0,0)</f>
        <v>#NAME?</v>
      </c>
      <c r="B6">
        <v>0</v>
      </c>
      <c r="C6">
        <v>3</v>
      </c>
      <c r="F6">
        <v>0</v>
      </c>
      <c r="J6" t="b">
        <v>1</v>
      </c>
      <c r="K6" t="s">
        <v>181</v>
      </c>
      <c r="L6" t="e">
        <f ca="1">ModelRef('part(a)'!$B$8,2,0,0)+ModelRef('part(a)'!$B$8,3,0,-1)</f>
        <v>#NAME?</v>
      </c>
    </row>
    <row r="8" spans="1:24" x14ac:dyDescent="0.35">
      <c r="A8" t="s">
        <v>175</v>
      </c>
      <c r="C8" t="s">
        <v>176</v>
      </c>
      <c r="D8" t="s">
        <v>177</v>
      </c>
      <c r="E8" t="s">
        <v>178</v>
      </c>
    </row>
    <row r="9" spans="1:24" x14ac:dyDescent="0.35">
      <c r="A9" s="2" t="e">
        <f ca="1">'part(a)'!$C$16</f>
        <v>#VALUE!</v>
      </c>
      <c r="D9">
        <v>1</v>
      </c>
      <c r="E9" t="s">
        <v>179</v>
      </c>
      <c r="F9">
        <v>0</v>
      </c>
      <c r="G9" t="s">
        <v>180</v>
      </c>
      <c r="H9" t="s">
        <v>176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2AE1-4C3B-4F1D-A41B-B57606D2D54F}">
  <dimension ref="A1:I1"/>
  <sheetViews>
    <sheetView workbookViewId="0"/>
  </sheetViews>
  <sheetFormatPr defaultRowHeight="14.5" x14ac:dyDescent="0.35"/>
  <sheetData>
    <row r="1" spans="1:9" x14ac:dyDescent="0.35">
      <c r="A1" s="3" t="s">
        <v>190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8"/>
  <sheetViews>
    <sheetView tabSelected="1" zoomScale="41" zoomScaleNormal="47" workbookViewId="0">
      <selection activeCell="B8" sqref="B8"/>
    </sheetView>
  </sheetViews>
  <sheetFormatPr defaultRowHeight="14.5" x14ac:dyDescent="0.35"/>
  <cols>
    <col min="1" max="1" width="27.81640625" bestFit="1" customWidth="1"/>
    <col min="2" max="3" width="14.90625" bestFit="1" customWidth="1"/>
    <col min="4" max="4" width="13.81640625" bestFit="1" customWidth="1"/>
    <col min="5" max="5" width="18.26953125" bestFit="1" customWidth="1"/>
    <col min="6" max="6" width="18" bestFit="1" customWidth="1"/>
    <col min="7" max="7" width="15.6328125" bestFit="1" customWidth="1"/>
    <col min="8" max="8" width="16.1796875" bestFit="1" customWidth="1"/>
    <col min="9" max="9" width="8.7265625" customWidth="1"/>
    <col min="10" max="10" width="21.08984375" bestFit="1" customWidth="1"/>
  </cols>
  <sheetData>
    <row r="1" spans="1:10" x14ac:dyDescent="0.35">
      <c r="A1" t="s">
        <v>0</v>
      </c>
      <c r="B1">
        <v>60</v>
      </c>
    </row>
    <row r="2" spans="1:10" x14ac:dyDescent="0.35">
      <c r="A2" t="s">
        <v>12</v>
      </c>
      <c r="B2">
        <v>120</v>
      </c>
    </row>
    <row r="3" spans="1:10" x14ac:dyDescent="0.35">
      <c r="A3" t="s">
        <v>1</v>
      </c>
    </row>
    <row r="4" spans="1:10" x14ac:dyDescent="0.35">
      <c r="A4" t="s">
        <v>2</v>
      </c>
      <c r="B4" s="1">
        <v>30</v>
      </c>
    </row>
    <row r="5" spans="1:10" x14ac:dyDescent="0.35">
      <c r="A5" t="s">
        <v>3</v>
      </c>
      <c r="B5" s="1">
        <v>3000</v>
      </c>
    </row>
    <row r="6" spans="1:10" x14ac:dyDescent="0.35">
      <c r="A6" t="s">
        <v>4</v>
      </c>
    </row>
    <row r="7" spans="1:10" x14ac:dyDescent="0.35">
      <c r="A7" s="55" t="s">
        <v>5</v>
      </c>
      <c r="B7" s="55"/>
    </row>
    <row r="8" spans="1:10" x14ac:dyDescent="0.35">
      <c r="A8" t="s">
        <v>6</v>
      </c>
      <c r="B8" t="e">
        <f ca="1">ROUND(_xll.RiskNormal(120,15),0)</f>
        <v>#VALUE!</v>
      </c>
    </row>
    <row r="9" spans="1:10" x14ac:dyDescent="0.35">
      <c r="A9" t="s">
        <v>7</v>
      </c>
    </row>
    <row r="10" spans="1:10" x14ac:dyDescent="0.35">
      <c r="A10" t="s">
        <v>8</v>
      </c>
      <c r="B10">
        <v>30</v>
      </c>
    </row>
    <row r="11" spans="1:10" x14ac:dyDescent="0.35">
      <c r="A11" t="s">
        <v>40</v>
      </c>
      <c r="B11">
        <v>80</v>
      </c>
    </row>
    <row r="13" spans="1:10" x14ac:dyDescent="0.35">
      <c r="A13" s="4" t="s">
        <v>39</v>
      </c>
      <c r="B13" s="5" t="e" cm="1">
        <f t="array" aca="1" ref="B13" ca="1">_xll.RiskOutput()+AVERAGE(I16:I67)</f>
        <v>#VALUE!</v>
      </c>
    </row>
    <row r="14" spans="1:10" x14ac:dyDescent="0.35">
      <c r="A14" s="4" t="s">
        <v>43</v>
      </c>
      <c r="B14" s="5" t="e">
        <f ca="1">SUM(I16:I67)</f>
        <v>#VALUE!</v>
      </c>
    </row>
    <row r="15" spans="1:10" x14ac:dyDescent="0.35">
      <c r="B15" t="s">
        <v>9</v>
      </c>
      <c r="C15" t="s">
        <v>11</v>
      </c>
      <c r="D15" t="s">
        <v>42</v>
      </c>
      <c r="E15" t="s">
        <v>10</v>
      </c>
      <c r="F15" t="s">
        <v>13</v>
      </c>
      <c r="G15" t="s">
        <v>14</v>
      </c>
      <c r="H15" t="s">
        <v>15</v>
      </c>
      <c r="I15" t="s">
        <v>16</v>
      </c>
      <c r="J15" t="s">
        <v>41</v>
      </c>
    </row>
    <row r="16" spans="1:10" x14ac:dyDescent="0.35">
      <c r="B16">
        <v>1</v>
      </c>
      <c r="C16" s="2" t="e" cm="1">
        <f t="array" aca="1" ref="C16" ca="1">_xll.RiskNormal($B$8,15)</f>
        <v>#VALUE!</v>
      </c>
      <c r="D16">
        <f>IF($B$1&lt;30,130,IF($B$1&gt;80,110,$B$2))</f>
        <v>120</v>
      </c>
      <c r="E16">
        <f>D16+B1</f>
        <v>180</v>
      </c>
      <c r="F16" s="2" t="e">
        <f ca="1">MAX(E16 - C16,0)</f>
        <v>#VALUE!</v>
      </c>
      <c r="G16" s="1" t="e">
        <f ca="1">F16*$B$4</f>
        <v>#VALUE!</v>
      </c>
      <c r="H16" s="1"/>
      <c r="I16" s="1">
        <f>E16*30+H16</f>
        <v>5400</v>
      </c>
      <c r="J16" t="e">
        <f ca="1">IF(F16&lt;30,130,IF(F16&gt;80,110,D16))</f>
        <v>#VALUE!</v>
      </c>
    </row>
    <row r="17" spans="2:10" x14ac:dyDescent="0.35">
      <c r="B17">
        <v>2</v>
      </c>
      <c r="C17" s="2" t="e" cm="1">
        <f t="array" aca="1" ref="C17" ca="1">_xll.RiskNormal($B$8,15)</f>
        <v>#VALUE!</v>
      </c>
      <c r="D17" t="e">
        <f ca="1">J16</f>
        <v>#VALUE!</v>
      </c>
      <c r="E17" s="2" t="e">
        <f ca="1">D17+F16</f>
        <v>#VALUE!</v>
      </c>
      <c r="F17" s="2" t="e">
        <f t="shared" ref="F17:F67" ca="1" si="0">MAX(E17 - C17,0)</f>
        <v>#VALUE!</v>
      </c>
      <c r="G17" s="1" t="e">
        <f t="shared" ref="G17:G67" ca="1" si="1">F17*$B$4</f>
        <v>#VALUE!</v>
      </c>
      <c r="H17" s="1" t="e">
        <f ca="1">IF(D17 &lt;&gt;D16, 3000, 0)</f>
        <v>#VALUE!</v>
      </c>
      <c r="I17" s="1" t="e">
        <f t="shared" ref="I17:I67" ca="1" si="2">E17*30+H17</f>
        <v>#VALUE!</v>
      </c>
      <c r="J17" t="e">
        <f t="shared" ref="J17:J67" ca="1" si="3">IF(F17&lt;30,130,IF(F17&gt;80,110,D17))</f>
        <v>#VALUE!</v>
      </c>
    </row>
    <row r="18" spans="2:10" x14ac:dyDescent="0.35">
      <c r="B18">
        <v>3</v>
      </c>
      <c r="C18" s="2" t="e" cm="1">
        <f t="array" aca="1" ref="C18" ca="1">_xll.RiskNormal($B$8,15)</f>
        <v>#VALUE!</v>
      </c>
      <c r="D18" t="e">
        <f t="shared" ref="D18:D67" ca="1" si="4">J17</f>
        <v>#VALUE!</v>
      </c>
      <c r="E18" s="2" t="e">
        <f t="shared" ref="E18:E67" ca="1" si="5">D18+F17</f>
        <v>#VALUE!</v>
      </c>
      <c r="F18" s="2" t="e">
        <f t="shared" ca="1" si="0"/>
        <v>#VALUE!</v>
      </c>
      <c r="G18" s="1" t="e">
        <f t="shared" ca="1" si="1"/>
        <v>#VALUE!</v>
      </c>
      <c r="H18" s="1" t="e">
        <f t="shared" ref="H18:H67" ca="1" si="6">IF(D18 &lt;&gt;D17, 3000, 0)</f>
        <v>#VALUE!</v>
      </c>
      <c r="I18" s="1" t="e">
        <f t="shared" ca="1" si="2"/>
        <v>#VALUE!</v>
      </c>
      <c r="J18" t="e">
        <f t="shared" ca="1" si="3"/>
        <v>#VALUE!</v>
      </c>
    </row>
    <row r="19" spans="2:10" x14ac:dyDescent="0.35">
      <c r="B19">
        <v>4</v>
      </c>
      <c r="C19" s="2" t="e" cm="1">
        <f t="array" aca="1" ref="C19" ca="1">_xll.RiskNormal($B$8,15)</f>
        <v>#VALUE!</v>
      </c>
      <c r="D19" t="e">
        <f t="shared" ca="1" si="4"/>
        <v>#VALUE!</v>
      </c>
      <c r="E19" s="2" t="e">
        <f t="shared" ca="1" si="5"/>
        <v>#VALUE!</v>
      </c>
      <c r="F19" s="2" t="e">
        <f t="shared" ca="1" si="0"/>
        <v>#VALUE!</v>
      </c>
      <c r="G19" s="1" t="e">
        <f t="shared" ca="1" si="1"/>
        <v>#VALUE!</v>
      </c>
      <c r="H19" s="1" t="e">
        <f t="shared" ca="1" si="6"/>
        <v>#VALUE!</v>
      </c>
      <c r="I19" s="1" t="e">
        <f t="shared" ca="1" si="2"/>
        <v>#VALUE!</v>
      </c>
      <c r="J19" t="e">
        <f t="shared" ca="1" si="3"/>
        <v>#VALUE!</v>
      </c>
    </row>
    <row r="20" spans="2:10" x14ac:dyDescent="0.35">
      <c r="B20">
        <v>5</v>
      </c>
      <c r="C20" s="2" t="e" cm="1">
        <f t="array" aca="1" ref="C20" ca="1">_xll.RiskNormal($B$8,15)</f>
        <v>#VALUE!</v>
      </c>
      <c r="D20" t="e">
        <f t="shared" ca="1" si="4"/>
        <v>#VALUE!</v>
      </c>
      <c r="E20" s="2" t="e">
        <f t="shared" ca="1" si="5"/>
        <v>#VALUE!</v>
      </c>
      <c r="F20" s="2" t="e">
        <f t="shared" ca="1" si="0"/>
        <v>#VALUE!</v>
      </c>
      <c r="G20" s="1" t="e">
        <f t="shared" ca="1" si="1"/>
        <v>#VALUE!</v>
      </c>
      <c r="H20" s="1" t="e">
        <f t="shared" ca="1" si="6"/>
        <v>#VALUE!</v>
      </c>
      <c r="I20" s="1" t="e">
        <f t="shared" ca="1" si="2"/>
        <v>#VALUE!</v>
      </c>
      <c r="J20" t="e">
        <f t="shared" ca="1" si="3"/>
        <v>#VALUE!</v>
      </c>
    </row>
    <row r="21" spans="2:10" x14ac:dyDescent="0.35">
      <c r="B21">
        <v>6</v>
      </c>
      <c r="C21" s="2" t="e" cm="1">
        <f t="array" aca="1" ref="C21" ca="1">_xll.RiskNormal($B$8,15)</f>
        <v>#VALUE!</v>
      </c>
      <c r="D21" t="e">
        <f t="shared" ca="1" si="4"/>
        <v>#VALUE!</v>
      </c>
      <c r="E21" s="2" t="e">
        <f t="shared" ca="1" si="5"/>
        <v>#VALUE!</v>
      </c>
      <c r="F21" s="2" t="e">
        <f t="shared" ca="1" si="0"/>
        <v>#VALUE!</v>
      </c>
      <c r="G21" s="1" t="e">
        <f t="shared" ca="1" si="1"/>
        <v>#VALUE!</v>
      </c>
      <c r="H21" s="1" t="e">
        <f t="shared" ca="1" si="6"/>
        <v>#VALUE!</v>
      </c>
      <c r="I21" s="1" t="e">
        <f t="shared" ca="1" si="2"/>
        <v>#VALUE!</v>
      </c>
      <c r="J21" t="e">
        <f t="shared" ca="1" si="3"/>
        <v>#VALUE!</v>
      </c>
    </row>
    <row r="22" spans="2:10" x14ac:dyDescent="0.35">
      <c r="B22">
        <v>7</v>
      </c>
      <c r="C22" s="2" t="e" cm="1">
        <f t="array" aca="1" ref="C22" ca="1">_xll.RiskNormal($B$8,15)</f>
        <v>#VALUE!</v>
      </c>
      <c r="D22" t="e">
        <f t="shared" ca="1" si="4"/>
        <v>#VALUE!</v>
      </c>
      <c r="E22" s="2" t="e">
        <f t="shared" ca="1" si="5"/>
        <v>#VALUE!</v>
      </c>
      <c r="F22" s="2" t="e">
        <f t="shared" ca="1" si="0"/>
        <v>#VALUE!</v>
      </c>
      <c r="G22" s="1" t="e">
        <f t="shared" ca="1" si="1"/>
        <v>#VALUE!</v>
      </c>
      <c r="H22" s="1" t="e">
        <f t="shared" ca="1" si="6"/>
        <v>#VALUE!</v>
      </c>
      <c r="I22" s="1" t="e">
        <f t="shared" ca="1" si="2"/>
        <v>#VALUE!</v>
      </c>
      <c r="J22" t="e">
        <f t="shared" ca="1" si="3"/>
        <v>#VALUE!</v>
      </c>
    </row>
    <row r="23" spans="2:10" x14ac:dyDescent="0.35">
      <c r="B23">
        <v>8</v>
      </c>
      <c r="C23" s="2" t="e" cm="1">
        <f t="array" aca="1" ref="C23" ca="1">_xll.RiskNormal($B$8,15)</f>
        <v>#VALUE!</v>
      </c>
      <c r="D23" t="e">
        <f t="shared" ca="1" si="4"/>
        <v>#VALUE!</v>
      </c>
      <c r="E23" s="2" t="e">
        <f t="shared" ca="1" si="5"/>
        <v>#VALUE!</v>
      </c>
      <c r="F23" s="2" t="e">
        <f t="shared" ca="1" si="0"/>
        <v>#VALUE!</v>
      </c>
      <c r="G23" s="1" t="e">
        <f t="shared" ca="1" si="1"/>
        <v>#VALUE!</v>
      </c>
      <c r="H23" s="1" t="e">
        <f t="shared" ca="1" si="6"/>
        <v>#VALUE!</v>
      </c>
      <c r="I23" s="1" t="e">
        <f t="shared" ca="1" si="2"/>
        <v>#VALUE!</v>
      </c>
      <c r="J23" t="e">
        <f t="shared" ca="1" si="3"/>
        <v>#VALUE!</v>
      </c>
    </row>
    <row r="24" spans="2:10" x14ac:dyDescent="0.35">
      <c r="B24">
        <v>9</v>
      </c>
      <c r="C24" s="2" t="e" cm="1">
        <f t="array" aca="1" ref="C24" ca="1">_xll.RiskNormal($B$8,15)</f>
        <v>#VALUE!</v>
      </c>
      <c r="D24" t="e">
        <f t="shared" ca="1" si="4"/>
        <v>#VALUE!</v>
      </c>
      <c r="E24" s="2" t="e">
        <f t="shared" ca="1" si="5"/>
        <v>#VALUE!</v>
      </c>
      <c r="F24" s="2" t="e">
        <f t="shared" ca="1" si="0"/>
        <v>#VALUE!</v>
      </c>
      <c r="G24" s="1" t="e">
        <f t="shared" ca="1" si="1"/>
        <v>#VALUE!</v>
      </c>
      <c r="H24" s="1" t="e">
        <f t="shared" ca="1" si="6"/>
        <v>#VALUE!</v>
      </c>
      <c r="I24" s="1" t="e">
        <f t="shared" ca="1" si="2"/>
        <v>#VALUE!</v>
      </c>
      <c r="J24" t="e">
        <f t="shared" ca="1" si="3"/>
        <v>#VALUE!</v>
      </c>
    </row>
    <row r="25" spans="2:10" x14ac:dyDescent="0.35">
      <c r="B25">
        <v>10</v>
      </c>
      <c r="C25" s="2" t="e" cm="1">
        <f t="array" aca="1" ref="C25" ca="1">_xll.RiskNormal($B$8,15)</f>
        <v>#VALUE!</v>
      </c>
      <c r="D25" t="e">
        <f t="shared" ca="1" si="4"/>
        <v>#VALUE!</v>
      </c>
      <c r="E25" s="2" t="e">
        <f t="shared" ca="1" si="5"/>
        <v>#VALUE!</v>
      </c>
      <c r="F25" s="2" t="e">
        <f t="shared" ca="1" si="0"/>
        <v>#VALUE!</v>
      </c>
      <c r="G25" s="1" t="e">
        <f t="shared" ca="1" si="1"/>
        <v>#VALUE!</v>
      </c>
      <c r="H25" s="1" t="e">
        <f t="shared" ca="1" si="6"/>
        <v>#VALUE!</v>
      </c>
      <c r="I25" s="1" t="e">
        <f t="shared" ca="1" si="2"/>
        <v>#VALUE!</v>
      </c>
      <c r="J25" t="e">
        <f t="shared" ca="1" si="3"/>
        <v>#VALUE!</v>
      </c>
    </row>
    <row r="26" spans="2:10" x14ac:dyDescent="0.35">
      <c r="B26">
        <v>11</v>
      </c>
      <c r="C26" s="2" t="e" cm="1">
        <f t="array" aca="1" ref="C26" ca="1">_xll.RiskNormal($B$8,15)</f>
        <v>#VALUE!</v>
      </c>
      <c r="D26" t="e">
        <f t="shared" ca="1" si="4"/>
        <v>#VALUE!</v>
      </c>
      <c r="E26" s="2" t="e">
        <f t="shared" ca="1" si="5"/>
        <v>#VALUE!</v>
      </c>
      <c r="F26" s="2" t="e">
        <f t="shared" ca="1" si="0"/>
        <v>#VALUE!</v>
      </c>
      <c r="G26" s="1" t="e">
        <f t="shared" ca="1" si="1"/>
        <v>#VALUE!</v>
      </c>
      <c r="H26" s="1" t="e">
        <f t="shared" ca="1" si="6"/>
        <v>#VALUE!</v>
      </c>
      <c r="I26" s="1" t="e">
        <f t="shared" ca="1" si="2"/>
        <v>#VALUE!</v>
      </c>
      <c r="J26" t="e">
        <f t="shared" ca="1" si="3"/>
        <v>#VALUE!</v>
      </c>
    </row>
    <row r="27" spans="2:10" x14ac:dyDescent="0.35">
      <c r="B27">
        <v>12</v>
      </c>
      <c r="C27" s="2" t="e" cm="1">
        <f t="array" aca="1" ref="C27" ca="1">_xll.RiskNormal($B$8,15)</f>
        <v>#VALUE!</v>
      </c>
      <c r="D27" t="e">
        <f t="shared" ca="1" si="4"/>
        <v>#VALUE!</v>
      </c>
      <c r="E27" s="2" t="e">
        <f t="shared" ca="1" si="5"/>
        <v>#VALUE!</v>
      </c>
      <c r="F27" s="2" t="e">
        <f t="shared" ca="1" si="0"/>
        <v>#VALUE!</v>
      </c>
      <c r="G27" s="1" t="e">
        <f t="shared" ca="1" si="1"/>
        <v>#VALUE!</v>
      </c>
      <c r="H27" s="1" t="e">
        <f t="shared" ca="1" si="6"/>
        <v>#VALUE!</v>
      </c>
      <c r="I27" s="1" t="e">
        <f t="shared" ca="1" si="2"/>
        <v>#VALUE!</v>
      </c>
      <c r="J27" t="e">
        <f t="shared" ca="1" si="3"/>
        <v>#VALUE!</v>
      </c>
    </row>
    <row r="28" spans="2:10" x14ac:dyDescent="0.35">
      <c r="B28">
        <v>13</v>
      </c>
      <c r="C28" s="2" t="e" cm="1">
        <f t="array" aca="1" ref="C28" ca="1">_xll.RiskNormal($B$8,15)</f>
        <v>#VALUE!</v>
      </c>
      <c r="D28" t="e">
        <f t="shared" ca="1" si="4"/>
        <v>#VALUE!</v>
      </c>
      <c r="E28" s="2" t="e">
        <f t="shared" ca="1" si="5"/>
        <v>#VALUE!</v>
      </c>
      <c r="F28" s="2" t="e">
        <f t="shared" ca="1" si="0"/>
        <v>#VALUE!</v>
      </c>
      <c r="G28" s="1" t="e">
        <f t="shared" ca="1" si="1"/>
        <v>#VALUE!</v>
      </c>
      <c r="H28" s="1" t="e">
        <f t="shared" ca="1" si="6"/>
        <v>#VALUE!</v>
      </c>
      <c r="I28" s="1" t="e">
        <f t="shared" ca="1" si="2"/>
        <v>#VALUE!</v>
      </c>
      <c r="J28" t="e">
        <f t="shared" ca="1" si="3"/>
        <v>#VALUE!</v>
      </c>
    </row>
    <row r="29" spans="2:10" x14ac:dyDescent="0.35">
      <c r="B29">
        <v>14</v>
      </c>
      <c r="C29" s="2" t="e" cm="1">
        <f t="array" aca="1" ref="C29" ca="1">_xll.RiskNormal($B$8,15)</f>
        <v>#VALUE!</v>
      </c>
      <c r="D29" t="e">
        <f t="shared" ca="1" si="4"/>
        <v>#VALUE!</v>
      </c>
      <c r="E29" s="2" t="e">
        <f t="shared" ca="1" si="5"/>
        <v>#VALUE!</v>
      </c>
      <c r="F29" s="2" t="e">
        <f t="shared" ca="1" si="0"/>
        <v>#VALUE!</v>
      </c>
      <c r="G29" s="1" t="e">
        <f t="shared" ca="1" si="1"/>
        <v>#VALUE!</v>
      </c>
      <c r="H29" s="1" t="e">
        <f t="shared" ca="1" si="6"/>
        <v>#VALUE!</v>
      </c>
      <c r="I29" s="1" t="e">
        <f t="shared" ca="1" si="2"/>
        <v>#VALUE!</v>
      </c>
      <c r="J29" t="e">
        <f t="shared" ca="1" si="3"/>
        <v>#VALUE!</v>
      </c>
    </row>
    <row r="30" spans="2:10" x14ac:dyDescent="0.35">
      <c r="B30">
        <v>15</v>
      </c>
      <c r="C30" s="2" t="e" cm="1">
        <f t="array" aca="1" ref="C30" ca="1">_xll.RiskNormal($B$8,15)</f>
        <v>#VALUE!</v>
      </c>
      <c r="D30" t="e">
        <f t="shared" ca="1" si="4"/>
        <v>#VALUE!</v>
      </c>
      <c r="E30" s="2" t="e">
        <f t="shared" ca="1" si="5"/>
        <v>#VALUE!</v>
      </c>
      <c r="F30" s="2" t="e">
        <f t="shared" ca="1" si="0"/>
        <v>#VALUE!</v>
      </c>
      <c r="G30" s="1" t="e">
        <f t="shared" ca="1" si="1"/>
        <v>#VALUE!</v>
      </c>
      <c r="H30" s="1" t="e">
        <f t="shared" ca="1" si="6"/>
        <v>#VALUE!</v>
      </c>
      <c r="I30" s="1" t="e">
        <f t="shared" ca="1" si="2"/>
        <v>#VALUE!</v>
      </c>
      <c r="J30" t="e">
        <f t="shared" ca="1" si="3"/>
        <v>#VALUE!</v>
      </c>
    </row>
    <row r="31" spans="2:10" x14ac:dyDescent="0.35">
      <c r="B31">
        <v>16</v>
      </c>
      <c r="C31" s="2" t="e" cm="1">
        <f t="array" aca="1" ref="C31" ca="1">_xll.RiskNormal($B$8,15)</f>
        <v>#VALUE!</v>
      </c>
      <c r="D31" t="e">
        <f t="shared" ca="1" si="4"/>
        <v>#VALUE!</v>
      </c>
      <c r="E31" s="2" t="e">
        <f t="shared" ca="1" si="5"/>
        <v>#VALUE!</v>
      </c>
      <c r="F31" s="2" t="e">
        <f t="shared" ca="1" si="0"/>
        <v>#VALUE!</v>
      </c>
      <c r="G31" s="1" t="e">
        <f t="shared" ca="1" si="1"/>
        <v>#VALUE!</v>
      </c>
      <c r="H31" s="1" t="e">
        <f t="shared" ca="1" si="6"/>
        <v>#VALUE!</v>
      </c>
      <c r="I31" s="1" t="e">
        <f t="shared" ca="1" si="2"/>
        <v>#VALUE!</v>
      </c>
      <c r="J31" t="e">
        <f t="shared" ca="1" si="3"/>
        <v>#VALUE!</v>
      </c>
    </row>
    <row r="32" spans="2:10" x14ac:dyDescent="0.35">
      <c r="B32">
        <v>17</v>
      </c>
      <c r="C32" s="2" t="e" cm="1">
        <f t="array" aca="1" ref="C32" ca="1">_xll.RiskNormal($B$8,15)</f>
        <v>#VALUE!</v>
      </c>
      <c r="D32" t="e">
        <f t="shared" ca="1" si="4"/>
        <v>#VALUE!</v>
      </c>
      <c r="E32" s="2" t="e">
        <f t="shared" ca="1" si="5"/>
        <v>#VALUE!</v>
      </c>
      <c r="F32" s="2" t="e">
        <f t="shared" ca="1" si="0"/>
        <v>#VALUE!</v>
      </c>
      <c r="G32" s="1" t="e">
        <f t="shared" ca="1" si="1"/>
        <v>#VALUE!</v>
      </c>
      <c r="H32" s="1" t="e">
        <f t="shared" ca="1" si="6"/>
        <v>#VALUE!</v>
      </c>
      <c r="I32" s="1" t="e">
        <f t="shared" ca="1" si="2"/>
        <v>#VALUE!</v>
      </c>
      <c r="J32" t="e">
        <f t="shared" ca="1" si="3"/>
        <v>#VALUE!</v>
      </c>
    </row>
    <row r="33" spans="2:10" x14ac:dyDescent="0.35">
      <c r="B33">
        <v>18</v>
      </c>
      <c r="C33" s="2" t="e" cm="1">
        <f t="array" aca="1" ref="C33" ca="1">_xll.RiskNormal($B$8,15)</f>
        <v>#VALUE!</v>
      </c>
      <c r="D33" t="e">
        <f t="shared" ca="1" si="4"/>
        <v>#VALUE!</v>
      </c>
      <c r="E33" s="2" t="e">
        <f t="shared" ca="1" si="5"/>
        <v>#VALUE!</v>
      </c>
      <c r="F33" s="2" t="e">
        <f t="shared" ca="1" si="0"/>
        <v>#VALUE!</v>
      </c>
      <c r="G33" s="1" t="e">
        <f t="shared" ca="1" si="1"/>
        <v>#VALUE!</v>
      </c>
      <c r="H33" s="1" t="e">
        <f t="shared" ca="1" si="6"/>
        <v>#VALUE!</v>
      </c>
      <c r="I33" s="1" t="e">
        <f t="shared" ca="1" si="2"/>
        <v>#VALUE!</v>
      </c>
      <c r="J33" t="e">
        <f t="shared" ca="1" si="3"/>
        <v>#VALUE!</v>
      </c>
    </row>
    <row r="34" spans="2:10" x14ac:dyDescent="0.35">
      <c r="B34">
        <v>19</v>
      </c>
      <c r="C34" s="2" t="e" cm="1">
        <f t="array" aca="1" ref="C34" ca="1">_xll.RiskNormal($B$8,15)</f>
        <v>#VALUE!</v>
      </c>
      <c r="D34" t="e">
        <f t="shared" ca="1" si="4"/>
        <v>#VALUE!</v>
      </c>
      <c r="E34" s="2" t="e">
        <f t="shared" ca="1" si="5"/>
        <v>#VALUE!</v>
      </c>
      <c r="F34" s="2" t="e">
        <f t="shared" ca="1" si="0"/>
        <v>#VALUE!</v>
      </c>
      <c r="G34" s="1" t="e">
        <f t="shared" ca="1" si="1"/>
        <v>#VALUE!</v>
      </c>
      <c r="H34" s="1" t="e">
        <f t="shared" ca="1" si="6"/>
        <v>#VALUE!</v>
      </c>
      <c r="I34" s="1" t="e">
        <f t="shared" ca="1" si="2"/>
        <v>#VALUE!</v>
      </c>
      <c r="J34" t="e">
        <f t="shared" ca="1" si="3"/>
        <v>#VALUE!</v>
      </c>
    </row>
    <row r="35" spans="2:10" x14ac:dyDescent="0.35">
      <c r="B35">
        <v>20</v>
      </c>
      <c r="C35" s="2" t="e" cm="1">
        <f t="array" aca="1" ref="C35" ca="1">_xll.RiskNormal($B$8,15)</f>
        <v>#VALUE!</v>
      </c>
      <c r="D35" t="e">
        <f t="shared" ca="1" si="4"/>
        <v>#VALUE!</v>
      </c>
      <c r="E35" s="2" t="e">
        <f t="shared" ca="1" si="5"/>
        <v>#VALUE!</v>
      </c>
      <c r="F35" s="2" t="e">
        <f t="shared" ca="1" si="0"/>
        <v>#VALUE!</v>
      </c>
      <c r="G35" s="1" t="e">
        <f t="shared" ca="1" si="1"/>
        <v>#VALUE!</v>
      </c>
      <c r="H35" s="1" t="e">
        <f t="shared" ca="1" si="6"/>
        <v>#VALUE!</v>
      </c>
      <c r="I35" s="1" t="e">
        <f t="shared" ca="1" si="2"/>
        <v>#VALUE!</v>
      </c>
      <c r="J35" t="e">
        <f t="shared" ca="1" si="3"/>
        <v>#VALUE!</v>
      </c>
    </row>
    <row r="36" spans="2:10" x14ac:dyDescent="0.35">
      <c r="B36">
        <v>21</v>
      </c>
      <c r="C36" s="2" t="e" cm="1">
        <f t="array" aca="1" ref="C36" ca="1">_xll.RiskNormal($B$8,15)</f>
        <v>#VALUE!</v>
      </c>
      <c r="D36" t="e">
        <f t="shared" ca="1" si="4"/>
        <v>#VALUE!</v>
      </c>
      <c r="E36" s="2" t="e">
        <f t="shared" ca="1" si="5"/>
        <v>#VALUE!</v>
      </c>
      <c r="F36" s="2" t="e">
        <f t="shared" ca="1" si="0"/>
        <v>#VALUE!</v>
      </c>
      <c r="G36" s="1" t="e">
        <f t="shared" ca="1" si="1"/>
        <v>#VALUE!</v>
      </c>
      <c r="H36" s="1" t="e">
        <f t="shared" ca="1" si="6"/>
        <v>#VALUE!</v>
      </c>
      <c r="I36" s="1" t="e">
        <f t="shared" ca="1" si="2"/>
        <v>#VALUE!</v>
      </c>
      <c r="J36" t="e">
        <f t="shared" ca="1" si="3"/>
        <v>#VALUE!</v>
      </c>
    </row>
    <row r="37" spans="2:10" x14ac:dyDescent="0.35">
      <c r="B37">
        <v>22</v>
      </c>
      <c r="C37" s="2" t="e" cm="1">
        <f t="array" aca="1" ref="C37" ca="1">_xll.RiskNormal($B$8,15)</f>
        <v>#VALUE!</v>
      </c>
      <c r="D37" t="e">
        <f t="shared" ca="1" si="4"/>
        <v>#VALUE!</v>
      </c>
      <c r="E37" s="2" t="e">
        <f t="shared" ca="1" si="5"/>
        <v>#VALUE!</v>
      </c>
      <c r="F37" s="2" t="e">
        <f t="shared" ca="1" si="0"/>
        <v>#VALUE!</v>
      </c>
      <c r="G37" s="1" t="e">
        <f t="shared" ca="1" si="1"/>
        <v>#VALUE!</v>
      </c>
      <c r="H37" s="1" t="e">
        <f t="shared" ca="1" si="6"/>
        <v>#VALUE!</v>
      </c>
      <c r="I37" s="1" t="e">
        <f t="shared" ca="1" si="2"/>
        <v>#VALUE!</v>
      </c>
      <c r="J37" t="e">
        <f t="shared" ca="1" si="3"/>
        <v>#VALUE!</v>
      </c>
    </row>
    <row r="38" spans="2:10" x14ac:dyDescent="0.35">
      <c r="B38">
        <v>23</v>
      </c>
      <c r="C38" s="2" t="e" cm="1">
        <f t="array" aca="1" ref="C38" ca="1">_xll.RiskNormal($B$8,15)</f>
        <v>#VALUE!</v>
      </c>
      <c r="D38" t="e">
        <f t="shared" ca="1" si="4"/>
        <v>#VALUE!</v>
      </c>
      <c r="E38" s="2" t="e">
        <f t="shared" ca="1" si="5"/>
        <v>#VALUE!</v>
      </c>
      <c r="F38" s="2" t="e">
        <f t="shared" ca="1" si="0"/>
        <v>#VALUE!</v>
      </c>
      <c r="G38" s="1" t="e">
        <f t="shared" ca="1" si="1"/>
        <v>#VALUE!</v>
      </c>
      <c r="H38" s="1" t="e">
        <f t="shared" ca="1" si="6"/>
        <v>#VALUE!</v>
      </c>
      <c r="I38" s="1" t="e">
        <f t="shared" ca="1" si="2"/>
        <v>#VALUE!</v>
      </c>
      <c r="J38" t="e">
        <f t="shared" ca="1" si="3"/>
        <v>#VALUE!</v>
      </c>
    </row>
    <row r="39" spans="2:10" x14ac:dyDescent="0.35">
      <c r="B39">
        <v>24</v>
      </c>
      <c r="C39" s="2" t="e" cm="1">
        <f t="array" aca="1" ref="C39" ca="1">_xll.RiskNormal($B$8,15)</f>
        <v>#VALUE!</v>
      </c>
      <c r="D39" t="e">
        <f t="shared" ca="1" si="4"/>
        <v>#VALUE!</v>
      </c>
      <c r="E39" s="2" t="e">
        <f t="shared" ca="1" si="5"/>
        <v>#VALUE!</v>
      </c>
      <c r="F39" s="2" t="e">
        <f t="shared" ca="1" si="0"/>
        <v>#VALUE!</v>
      </c>
      <c r="G39" s="1" t="e">
        <f t="shared" ca="1" si="1"/>
        <v>#VALUE!</v>
      </c>
      <c r="H39" s="1" t="e">
        <f t="shared" ca="1" si="6"/>
        <v>#VALUE!</v>
      </c>
      <c r="I39" s="1" t="e">
        <f t="shared" ca="1" si="2"/>
        <v>#VALUE!</v>
      </c>
      <c r="J39" t="e">
        <f t="shared" ca="1" si="3"/>
        <v>#VALUE!</v>
      </c>
    </row>
    <row r="40" spans="2:10" x14ac:dyDescent="0.35">
      <c r="B40">
        <v>25</v>
      </c>
      <c r="C40" s="2" t="e" cm="1">
        <f t="array" aca="1" ref="C40" ca="1">_xll.RiskNormal($B$8,15)</f>
        <v>#VALUE!</v>
      </c>
      <c r="D40" t="e">
        <f t="shared" ca="1" si="4"/>
        <v>#VALUE!</v>
      </c>
      <c r="E40" s="2" t="e">
        <f t="shared" ca="1" si="5"/>
        <v>#VALUE!</v>
      </c>
      <c r="F40" s="2" t="e">
        <f t="shared" ca="1" si="0"/>
        <v>#VALUE!</v>
      </c>
      <c r="G40" s="1" t="e">
        <f t="shared" ca="1" si="1"/>
        <v>#VALUE!</v>
      </c>
      <c r="H40" s="1" t="e">
        <f t="shared" ca="1" si="6"/>
        <v>#VALUE!</v>
      </c>
      <c r="I40" s="1" t="e">
        <f t="shared" ca="1" si="2"/>
        <v>#VALUE!</v>
      </c>
      <c r="J40" t="e">
        <f t="shared" ca="1" si="3"/>
        <v>#VALUE!</v>
      </c>
    </row>
    <row r="41" spans="2:10" x14ac:dyDescent="0.35">
      <c r="B41">
        <v>26</v>
      </c>
      <c r="C41" s="2" t="e" cm="1">
        <f t="array" aca="1" ref="C41" ca="1">_xll.RiskNormal($B$8,15)</f>
        <v>#VALUE!</v>
      </c>
      <c r="D41" t="e">
        <f t="shared" ca="1" si="4"/>
        <v>#VALUE!</v>
      </c>
      <c r="E41" s="2" t="e">
        <f t="shared" ca="1" si="5"/>
        <v>#VALUE!</v>
      </c>
      <c r="F41" s="2" t="e">
        <f t="shared" ca="1" si="0"/>
        <v>#VALUE!</v>
      </c>
      <c r="G41" s="1" t="e">
        <f t="shared" ca="1" si="1"/>
        <v>#VALUE!</v>
      </c>
      <c r="H41" s="1" t="e">
        <f t="shared" ca="1" si="6"/>
        <v>#VALUE!</v>
      </c>
      <c r="I41" s="1" t="e">
        <f t="shared" ca="1" si="2"/>
        <v>#VALUE!</v>
      </c>
      <c r="J41" t="e">
        <f t="shared" ca="1" si="3"/>
        <v>#VALUE!</v>
      </c>
    </row>
    <row r="42" spans="2:10" x14ac:dyDescent="0.35">
      <c r="B42">
        <v>27</v>
      </c>
      <c r="C42" s="2" t="e" cm="1">
        <f t="array" aca="1" ref="C42" ca="1">_xll.RiskNormal($B$8,15)</f>
        <v>#VALUE!</v>
      </c>
      <c r="D42" t="e">
        <f t="shared" ca="1" si="4"/>
        <v>#VALUE!</v>
      </c>
      <c r="E42" s="2" t="e">
        <f t="shared" ca="1" si="5"/>
        <v>#VALUE!</v>
      </c>
      <c r="F42" s="2" t="e">
        <f t="shared" ca="1" si="0"/>
        <v>#VALUE!</v>
      </c>
      <c r="G42" s="1" t="e">
        <f t="shared" ca="1" si="1"/>
        <v>#VALUE!</v>
      </c>
      <c r="H42" s="1" t="e">
        <f t="shared" ca="1" si="6"/>
        <v>#VALUE!</v>
      </c>
      <c r="I42" s="1" t="e">
        <f t="shared" ca="1" si="2"/>
        <v>#VALUE!</v>
      </c>
      <c r="J42" t="e">
        <f t="shared" ca="1" si="3"/>
        <v>#VALUE!</v>
      </c>
    </row>
    <row r="43" spans="2:10" x14ac:dyDescent="0.35">
      <c r="B43">
        <v>28</v>
      </c>
      <c r="C43" s="2" t="e" cm="1">
        <f t="array" aca="1" ref="C43" ca="1">_xll.RiskNormal($B$8,15)</f>
        <v>#VALUE!</v>
      </c>
      <c r="D43" t="e">
        <f t="shared" ca="1" si="4"/>
        <v>#VALUE!</v>
      </c>
      <c r="E43" s="2" t="e">
        <f t="shared" ca="1" si="5"/>
        <v>#VALUE!</v>
      </c>
      <c r="F43" s="2" t="e">
        <f t="shared" ca="1" si="0"/>
        <v>#VALUE!</v>
      </c>
      <c r="G43" s="1" t="e">
        <f t="shared" ca="1" si="1"/>
        <v>#VALUE!</v>
      </c>
      <c r="H43" s="1" t="e">
        <f t="shared" ca="1" si="6"/>
        <v>#VALUE!</v>
      </c>
      <c r="I43" s="1" t="e">
        <f t="shared" ca="1" si="2"/>
        <v>#VALUE!</v>
      </c>
      <c r="J43" t="e">
        <f t="shared" ca="1" si="3"/>
        <v>#VALUE!</v>
      </c>
    </row>
    <row r="44" spans="2:10" x14ac:dyDescent="0.35">
      <c r="B44">
        <v>29</v>
      </c>
      <c r="C44" s="2" t="e" cm="1">
        <f t="array" aca="1" ref="C44" ca="1">_xll.RiskNormal($B$8,15)</f>
        <v>#VALUE!</v>
      </c>
      <c r="D44" t="e">
        <f t="shared" ca="1" si="4"/>
        <v>#VALUE!</v>
      </c>
      <c r="E44" s="2" t="e">
        <f t="shared" ca="1" si="5"/>
        <v>#VALUE!</v>
      </c>
      <c r="F44" s="2" t="e">
        <f t="shared" ca="1" si="0"/>
        <v>#VALUE!</v>
      </c>
      <c r="G44" s="1" t="e">
        <f t="shared" ca="1" si="1"/>
        <v>#VALUE!</v>
      </c>
      <c r="H44" s="1" t="e">
        <f t="shared" ca="1" si="6"/>
        <v>#VALUE!</v>
      </c>
      <c r="I44" s="1" t="e">
        <f t="shared" ca="1" si="2"/>
        <v>#VALUE!</v>
      </c>
      <c r="J44" t="e">
        <f t="shared" ca="1" si="3"/>
        <v>#VALUE!</v>
      </c>
    </row>
    <row r="45" spans="2:10" x14ac:dyDescent="0.35">
      <c r="B45">
        <v>30</v>
      </c>
      <c r="C45" s="2" t="e" cm="1">
        <f t="array" aca="1" ref="C45" ca="1">_xll.RiskNormal($B$8,15)</f>
        <v>#VALUE!</v>
      </c>
      <c r="D45" t="e">
        <f t="shared" ca="1" si="4"/>
        <v>#VALUE!</v>
      </c>
      <c r="E45" s="2" t="e">
        <f t="shared" ca="1" si="5"/>
        <v>#VALUE!</v>
      </c>
      <c r="F45" s="2" t="e">
        <f t="shared" ca="1" si="0"/>
        <v>#VALUE!</v>
      </c>
      <c r="G45" s="1" t="e">
        <f t="shared" ca="1" si="1"/>
        <v>#VALUE!</v>
      </c>
      <c r="H45" s="1" t="e">
        <f t="shared" ca="1" si="6"/>
        <v>#VALUE!</v>
      </c>
      <c r="I45" s="1" t="e">
        <f t="shared" ca="1" si="2"/>
        <v>#VALUE!</v>
      </c>
      <c r="J45" t="e">
        <f t="shared" ca="1" si="3"/>
        <v>#VALUE!</v>
      </c>
    </row>
    <row r="46" spans="2:10" x14ac:dyDescent="0.35">
      <c r="B46">
        <v>31</v>
      </c>
      <c r="C46" s="2" t="e" cm="1">
        <f t="array" aca="1" ref="C46" ca="1">_xll.RiskNormal($B$8,15)</f>
        <v>#VALUE!</v>
      </c>
      <c r="D46" t="e">
        <f t="shared" ca="1" si="4"/>
        <v>#VALUE!</v>
      </c>
      <c r="E46" s="2" t="e">
        <f t="shared" ca="1" si="5"/>
        <v>#VALUE!</v>
      </c>
      <c r="F46" s="2" t="e">
        <f t="shared" ca="1" si="0"/>
        <v>#VALUE!</v>
      </c>
      <c r="G46" s="1" t="e">
        <f t="shared" ca="1" si="1"/>
        <v>#VALUE!</v>
      </c>
      <c r="H46" s="1" t="e">
        <f t="shared" ca="1" si="6"/>
        <v>#VALUE!</v>
      </c>
      <c r="I46" s="1" t="e">
        <f t="shared" ca="1" si="2"/>
        <v>#VALUE!</v>
      </c>
      <c r="J46" t="e">
        <f t="shared" ca="1" si="3"/>
        <v>#VALUE!</v>
      </c>
    </row>
    <row r="47" spans="2:10" x14ac:dyDescent="0.35">
      <c r="B47">
        <v>32</v>
      </c>
      <c r="C47" s="2" t="e" cm="1">
        <f t="array" aca="1" ref="C47" ca="1">_xll.RiskNormal($B$8,15)</f>
        <v>#VALUE!</v>
      </c>
      <c r="D47" t="e">
        <f t="shared" ca="1" si="4"/>
        <v>#VALUE!</v>
      </c>
      <c r="E47" s="2" t="e">
        <f t="shared" ca="1" si="5"/>
        <v>#VALUE!</v>
      </c>
      <c r="F47" s="2" t="e">
        <f t="shared" ca="1" si="0"/>
        <v>#VALUE!</v>
      </c>
      <c r="G47" s="1" t="e">
        <f t="shared" ca="1" si="1"/>
        <v>#VALUE!</v>
      </c>
      <c r="H47" s="1" t="e">
        <f t="shared" ca="1" si="6"/>
        <v>#VALUE!</v>
      </c>
      <c r="I47" s="1" t="e">
        <f t="shared" ca="1" si="2"/>
        <v>#VALUE!</v>
      </c>
      <c r="J47" t="e">
        <f t="shared" ca="1" si="3"/>
        <v>#VALUE!</v>
      </c>
    </row>
    <row r="48" spans="2:10" x14ac:dyDescent="0.35">
      <c r="B48">
        <v>33</v>
      </c>
      <c r="C48" s="2" t="e" cm="1">
        <f t="array" aca="1" ref="C48" ca="1">_xll.RiskNormal($B$8,15)</f>
        <v>#VALUE!</v>
      </c>
      <c r="D48" t="e">
        <f t="shared" ca="1" si="4"/>
        <v>#VALUE!</v>
      </c>
      <c r="E48" s="2" t="e">
        <f t="shared" ca="1" si="5"/>
        <v>#VALUE!</v>
      </c>
      <c r="F48" s="2" t="e">
        <f t="shared" ca="1" si="0"/>
        <v>#VALUE!</v>
      </c>
      <c r="G48" s="1" t="e">
        <f t="shared" ca="1" si="1"/>
        <v>#VALUE!</v>
      </c>
      <c r="H48" s="1" t="e">
        <f t="shared" ca="1" si="6"/>
        <v>#VALUE!</v>
      </c>
      <c r="I48" s="1" t="e">
        <f t="shared" ca="1" si="2"/>
        <v>#VALUE!</v>
      </c>
      <c r="J48" t="e">
        <f t="shared" ca="1" si="3"/>
        <v>#VALUE!</v>
      </c>
    </row>
    <row r="49" spans="2:10" x14ac:dyDescent="0.35">
      <c r="B49">
        <v>34</v>
      </c>
      <c r="C49" s="2" t="e" cm="1">
        <f t="array" aca="1" ref="C49" ca="1">_xll.RiskNormal($B$8,15)</f>
        <v>#VALUE!</v>
      </c>
      <c r="D49" t="e">
        <f t="shared" ca="1" si="4"/>
        <v>#VALUE!</v>
      </c>
      <c r="E49" s="2" t="e">
        <f t="shared" ca="1" si="5"/>
        <v>#VALUE!</v>
      </c>
      <c r="F49" s="2" t="e">
        <f t="shared" ca="1" si="0"/>
        <v>#VALUE!</v>
      </c>
      <c r="G49" s="1" t="e">
        <f t="shared" ca="1" si="1"/>
        <v>#VALUE!</v>
      </c>
      <c r="H49" s="1" t="e">
        <f t="shared" ca="1" si="6"/>
        <v>#VALUE!</v>
      </c>
      <c r="I49" s="1" t="e">
        <f t="shared" ca="1" si="2"/>
        <v>#VALUE!</v>
      </c>
      <c r="J49" t="e">
        <f t="shared" ca="1" si="3"/>
        <v>#VALUE!</v>
      </c>
    </row>
    <row r="50" spans="2:10" x14ac:dyDescent="0.35">
      <c r="B50">
        <v>35</v>
      </c>
      <c r="C50" s="2" t="e" cm="1">
        <f t="array" aca="1" ref="C50" ca="1">_xll.RiskNormal($B$8,15)</f>
        <v>#VALUE!</v>
      </c>
      <c r="D50" t="e">
        <f t="shared" ca="1" si="4"/>
        <v>#VALUE!</v>
      </c>
      <c r="E50" s="2" t="e">
        <f t="shared" ca="1" si="5"/>
        <v>#VALUE!</v>
      </c>
      <c r="F50" s="2" t="e">
        <f t="shared" ca="1" si="0"/>
        <v>#VALUE!</v>
      </c>
      <c r="G50" s="1" t="e">
        <f t="shared" ca="1" si="1"/>
        <v>#VALUE!</v>
      </c>
      <c r="H50" s="1" t="e">
        <f t="shared" ca="1" si="6"/>
        <v>#VALUE!</v>
      </c>
      <c r="I50" s="1" t="e">
        <f t="shared" ca="1" si="2"/>
        <v>#VALUE!</v>
      </c>
      <c r="J50" t="e">
        <f t="shared" ca="1" si="3"/>
        <v>#VALUE!</v>
      </c>
    </row>
    <row r="51" spans="2:10" x14ac:dyDescent="0.35">
      <c r="B51">
        <v>36</v>
      </c>
      <c r="C51" s="2" t="e" cm="1">
        <f t="array" aca="1" ref="C51" ca="1">_xll.RiskNormal($B$8,15)</f>
        <v>#VALUE!</v>
      </c>
      <c r="D51" t="e">
        <f t="shared" ca="1" si="4"/>
        <v>#VALUE!</v>
      </c>
      <c r="E51" s="2" t="e">
        <f t="shared" ca="1" si="5"/>
        <v>#VALUE!</v>
      </c>
      <c r="F51" s="2" t="e">
        <f t="shared" ca="1" si="0"/>
        <v>#VALUE!</v>
      </c>
      <c r="G51" s="1" t="e">
        <f t="shared" ca="1" si="1"/>
        <v>#VALUE!</v>
      </c>
      <c r="H51" s="1" t="e">
        <f t="shared" ca="1" si="6"/>
        <v>#VALUE!</v>
      </c>
      <c r="I51" s="1" t="e">
        <f t="shared" ca="1" si="2"/>
        <v>#VALUE!</v>
      </c>
      <c r="J51" t="e">
        <f t="shared" ca="1" si="3"/>
        <v>#VALUE!</v>
      </c>
    </row>
    <row r="52" spans="2:10" x14ac:dyDescent="0.35">
      <c r="B52">
        <v>37</v>
      </c>
      <c r="C52" s="2" t="e" cm="1">
        <f t="array" aca="1" ref="C52" ca="1">_xll.RiskNormal($B$8,15)</f>
        <v>#VALUE!</v>
      </c>
      <c r="D52" t="e">
        <f t="shared" ca="1" si="4"/>
        <v>#VALUE!</v>
      </c>
      <c r="E52" s="2" t="e">
        <f t="shared" ca="1" si="5"/>
        <v>#VALUE!</v>
      </c>
      <c r="F52" s="2" t="e">
        <f t="shared" ca="1" si="0"/>
        <v>#VALUE!</v>
      </c>
      <c r="G52" s="1" t="e">
        <f t="shared" ca="1" si="1"/>
        <v>#VALUE!</v>
      </c>
      <c r="H52" s="1" t="e">
        <f t="shared" ca="1" si="6"/>
        <v>#VALUE!</v>
      </c>
      <c r="I52" s="1" t="e">
        <f t="shared" ca="1" si="2"/>
        <v>#VALUE!</v>
      </c>
      <c r="J52" t="e">
        <f t="shared" ca="1" si="3"/>
        <v>#VALUE!</v>
      </c>
    </row>
    <row r="53" spans="2:10" x14ac:dyDescent="0.35">
      <c r="B53">
        <v>38</v>
      </c>
      <c r="C53" s="2" t="e" cm="1">
        <f t="array" aca="1" ref="C53" ca="1">_xll.RiskNormal($B$8,15)</f>
        <v>#VALUE!</v>
      </c>
      <c r="D53" t="e">
        <f t="shared" ca="1" si="4"/>
        <v>#VALUE!</v>
      </c>
      <c r="E53" s="2" t="e">
        <f t="shared" ca="1" si="5"/>
        <v>#VALUE!</v>
      </c>
      <c r="F53" s="2" t="e">
        <f t="shared" ca="1" si="0"/>
        <v>#VALUE!</v>
      </c>
      <c r="G53" s="1" t="e">
        <f t="shared" ca="1" si="1"/>
        <v>#VALUE!</v>
      </c>
      <c r="H53" s="1" t="e">
        <f t="shared" ca="1" si="6"/>
        <v>#VALUE!</v>
      </c>
      <c r="I53" s="1" t="e">
        <f t="shared" ca="1" si="2"/>
        <v>#VALUE!</v>
      </c>
      <c r="J53" t="e">
        <f t="shared" ca="1" si="3"/>
        <v>#VALUE!</v>
      </c>
    </row>
    <row r="54" spans="2:10" x14ac:dyDescent="0.35">
      <c r="B54">
        <v>39</v>
      </c>
      <c r="C54" s="2" t="e" cm="1">
        <f t="array" aca="1" ref="C54" ca="1">_xll.RiskNormal($B$8,15)</f>
        <v>#VALUE!</v>
      </c>
      <c r="D54" t="e">
        <f t="shared" ca="1" si="4"/>
        <v>#VALUE!</v>
      </c>
      <c r="E54" s="2" t="e">
        <f t="shared" ca="1" si="5"/>
        <v>#VALUE!</v>
      </c>
      <c r="F54" s="2" t="e">
        <f t="shared" ca="1" si="0"/>
        <v>#VALUE!</v>
      </c>
      <c r="G54" s="1" t="e">
        <f t="shared" ca="1" si="1"/>
        <v>#VALUE!</v>
      </c>
      <c r="H54" s="1" t="e">
        <f t="shared" ca="1" si="6"/>
        <v>#VALUE!</v>
      </c>
      <c r="I54" s="1" t="e">
        <f t="shared" ca="1" si="2"/>
        <v>#VALUE!</v>
      </c>
      <c r="J54" t="e">
        <f t="shared" ca="1" si="3"/>
        <v>#VALUE!</v>
      </c>
    </row>
    <row r="55" spans="2:10" x14ac:dyDescent="0.35">
      <c r="B55">
        <v>40</v>
      </c>
      <c r="C55" s="2" t="e" cm="1">
        <f t="array" aca="1" ref="C55" ca="1">_xll.RiskNormal($B$8,15)</f>
        <v>#VALUE!</v>
      </c>
      <c r="D55" t="e">
        <f t="shared" ca="1" si="4"/>
        <v>#VALUE!</v>
      </c>
      <c r="E55" s="2" t="e">
        <f t="shared" ca="1" si="5"/>
        <v>#VALUE!</v>
      </c>
      <c r="F55" s="2" t="e">
        <f t="shared" ca="1" si="0"/>
        <v>#VALUE!</v>
      </c>
      <c r="G55" s="1" t="e">
        <f t="shared" ca="1" si="1"/>
        <v>#VALUE!</v>
      </c>
      <c r="H55" s="1" t="e">
        <f t="shared" ca="1" si="6"/>
        <v>#VALUE!</v>
      </c>
      <c r="I55" s="1" t="e">
        <f t="shared" ca="1" si="2"/>
        <v>#VALUE!</v>
      </c>
      <c r="J55" t="e">
        <f t="shared" ca="1" si="3"/>
        <v>#VALUE!</v>
      </c>
    </row>
    <row r="56" spans="2:10" x14ac:dyDescent="0.35">
      <c r="B56">
        <v>41</v>
      </c>
      <c r="C56" s="2" t="e" cm="1">
        <f t="array" aca="1" ref="C56" ca="1">_xll.RiskNormal($B$8,15)</f>
        <v>#VALUE!</v>
      </c>
      <c r="D56" t="e">
        <f t="shared" ca="1" si="4"/>
        <v>#VALUE!</v>
      </c>
      <c r="E56" s="2" t="e">
        <f t="shared" ca="1" si="5"/>
        <v>#VALUE!</v>
      </c>
      <c r="F56" s="2" t="e">
        <f t="shared" ca="1" si="0"/>
        <v>#VALUE!</v>
      </c>
      <c r="G56" s="1" t="e">
        <f t="shared" ca="1" si="1"/>
        <v>#VALUE!</v>
      </c>
      <c r="H56" s="1" t="e">
        <f t="shared" ca="1" si="6"/>
        <v>#VALUE!</v>
      </c>
      <c r="I56" s="1" t="e">
        <f t="shared" ca="1" si="2"/>
        <v>#VALUE!</v>
      </c>
      <c r="J56" t="e">
        <f t="shared" ca="1" si="3"/>
        <v>#VALUE!</v>
      </c>
    </row>
    <row r="57" spans="2:10" x14ac:dyDescent="0.35">
      <c r="B57">
        <v>42</v>
      </c>
      <c r="C57" s="2" t="e" cm="1">
        <f t="array" aca="1" ref="C57" ca="1">_xll.RiskNormal($B$8,15)</f>
        <v>#VALUE!</v>
      </c>
      <c r="D57" t="e">
        <f t="shared" ca="1" si="4"/>
        <v>#VALUE!</v>
      </c>
      <c r="E57" s="2" t="e">
        <f t="shared" ca="1" si="5"/>
        <v>#VALUE!</v>
      </c>
      <c r="F57" s="2" t="e">
        <f t="shared" ca="1" si="0"/>
        <v>#VALUE!</v>
      </c>
      <c r="G57" s="1" t="e">
        <f t="shared" ca="1" si="1"/>
        <v>#VALUE!</v>
      </c>
      <c r="H57" s="1" t="e">
        <f t="shared" ca="1" si="6"/>
        <v>#VALUE!</v>
      </c>
      <c r="I57" s="1" t="e">
        <f t="shared" ca="1" si="2"/>
        <v>#VALUE!</v>
      </c>
      <c r="J57" t="e">
        <f t="shared" ca="1" si="3"/>
        <v>#VALUE!</v>
      </c>
    </row>
    <row r="58" spans="2:10" x14ac:dyDescent="0.35">
      <c r="B58">
        <v>43</v>
      </c>
      <c r="C58" s="2" t="e" cm="1">
        <f t="array" aca="1" ref="C58" ca="1">_xll.RiskNormal($B$8,15)</f>
        <v>#VALUE!</v>
      </c>
      <c r="D58" t="e">
        <f t="shared" ca="1" si="4"/>
        <v>#VALUE!</v>
      </c>
      <c r="E58" s="2" t="e">
        <f t="shared" ca="1" si="5"/>
        <v>#VALUE!</v>
      </c>
      <c r="F58" s="2" t="e">
        <f t="shared" ca="1" si="0"/>
        <v>#VALUE!</v>
      </c>
      <c r="G58" s="1" t="e">
        <f t="shared" ca="1" si="1"/>
        <v>#VALUE!</v>
      </c>
      <c r="H58" s="1" t="e">
        <f t="shared" ca="1" si="6"/>
        <v>#VALUE!</v>
      </c>
      <c r="I58" s="1" t="e">
        <f t="shared" ca="1" si="2"/>
        <v>#VALUE!</v>
      </c>
      <c r="J58" t="e">
        <f t="shared" ca="1" si="3"/>
        <v>#VALUE!</v>
      </c>
    </row>
    <row r="59" spans="2:10" x14ac:dyDescent="0.35">
      <c r="B59">
        <v>44</v>
      </c>
      <c r="C59" s="2" t="e" cm="1">
        <f t="array" aca="1" ref="C59" ca="1">_xll.RiskNormal($B$8,15)</f>
        <v>#VALUE!</v>
      </c>
      <c r="D59" t="e">
        <f t="shared" ca="1" si="4"/>
        <v>#VALUE!</v>
      </c>
      <c r="E59" s="2" t="e">
        <f t="shared" ca="1" si="5"/>
        <v>#VALUE!</v>
      </c>
      <c r="F59" s="2" t="e">
        <f t="shared" ca="1" si="0"/>
        <v>#VALUE!</v>
      </c>
      <c r="G59" s="1" t="e">
        <f t="shared" ca="1" si="1"/>
        <v>#VALUE!</v>
      </c>
      <c r="H59" s="1" t="e">
        <f t="shared" ca="1" si="6"/>
        <v>#VALUE!</v>
      </c>
      <c r="I59" s="1" t="e">
        <f t="shared" ca="1" si="2"/>
        <v>#VALUE!</v>
      </c>
      <c r="J59" t="e">
        <f t="shared" ca="1" si="3"/>
        <v>#VALUE!</v>
      </c>
    </row>
    <row r="60" spans="2:10" x14ac:dyDescent="0.35">
      <c r="B60">
        <v>45</v>
      </c>
      <c r="C60" s="2" t="e" cm="1">
        <f t="array" aca="1" ref="C60" ca="1">_xll.RiskNormal($B$8,15)</f>
        <v>#VALUE!</v>
      </c>
      <c r="D60" t="e">
        <f t="shared" ca="1" si="4"/>
        <v>#VALUE!</v>
      </c>
      <c r="E60" s="2" t="e">
        <f t="shared" ca="1" si="5"/>
        <v>#VALUE!</v>
      </c>
      <c r="F60" s="2" t="e">
        <f t="shared" ca="1" si="0"/>
        <v>#VALUE!</v>
      </c>
      <c r="G60" s="1" t="e">
        <f t="shared" ca="1" si="1"/>
        <v>#VALUE!</v>
      </c>
      <c r="H60" s="1" t="e">
        <f t="shared" ca="1" si="6"/>
        <v>#VALUE!</v>
      </c>
      <c r="I60" s="1" t="e">
        <f t="shared" ca="1" si="2"/>
        <v>#VALUE!</v>
      </c>
      <c r="J60" t="e">
        <f t="shared" ca="1" si="3"/>
        <v>#VALUE!</v>
      </c>
    </row>
    <row r="61" spans="2:10" x14ac:dyDescent="0.35">
      <c r="B61">
        <v>46</v>
      </c>
      <c r="C61" s="2" t="e" cm="1">
        <f t="array" aca="1" ref="C61" ca="1">_xll.RiskNormal($B$8,15)</f>
        <v>#VALUE!</v>
      </c>
      <c r="D61" t="e">
        <f t="shared" ca="1" si="4"/>
        <v>#VALUE!</v>
      </c>
      <c r="E61" s="2" t="e">
        <f t="shared" ca="1" si="5"/>
        <v>#VALUE!</v>
      </c>
      <c r="F61" s="2" t="e">
        <f t="shared" ca="1" si="0"/>
        <v>#VALUE!</v>
      </c>
      <c r="G61" s="1" t="e">
        <f t="shared" ca="1" si="1"/>
        <v>#VALUE!</v>
      </c>
      <c r="H61" s="1" t="e">
        <f t="shared" ca="1" si="6"/>
        <v>#VALUE!</v>
      </c>
      <c r="I61" s="1" t="e">
        <f t="shared" ca="1" si="2"/>
        <v>#VALUE!</v>
      </c>
      <c r="J61" t="e">
        <f t="shared" ca="1" si="3"/>
        <v>#VALUE!</v>
      </c>
    </row>
    <row r="62" spans="2:10" x14ac:dyDescent="0.35">
      <c r="B62">
        <v>47</v>
      </c>
      <c r="C62" s="2" t="e" cm="1">
        <f t="array" aca="1" ref="C62" ca="1">_xll.RiskNormal($B$8,15)</f>
        <v>#VALUE!</v>
      </c>
      <c r="D62" t="e">
        <f t="shared" ca="1" si="4"/>
        <v>#VALUE!</v>
      </c>
      <c r="E62" s="2" t="e">
        <f t="shared" ca="1" si="5"/>
        <v>#VALUE!</v>
      </c>
      <c r="F62" s="2" t="e">
        <f t="shared" ca="1" si="0"/>
        <v>#VALUE!</v>
      </c>
      <c r="G62" s="1" t="e">
        <f t="shared" ca="1" si="1"/>
        <v>#VALUE!</v>
      </c>
      <c r="H62" s="1" t="e">
        <f t="shared" ca="1" si="6"/>
        <v>#VALUE!</v>
      </c>
      <c r="I62" s="1" t="e">
        <f t="shared" ca="1" si="2"/>
        <v>#VALUE!</v>
      </c>
      <c r="J62" t="e">
        <f t="shared" ca="1" si="3"/>
        <v>#VALUE!</v>
      </c>
    </row>
    <row r="63" spans="2:10" x14ac:dyDescent="0.35">
      <c r="B63">
        <v>48</v>
      </c>
      <c r="C63" s="2" t="e" cm="1">
        <f t="array" aca="1" ref="C63" ca="1">_xll.RiskNormal($B$8,15)</f>
        <v>#VALUE!</v>
      </c>
      <c r="D63" t="e">
        <f t="shared" ca="1" si="4"/>
        <v>#VALUE!</v>
      </c>
      <c r="E63" s="2" t="e">
        <f t="shared" ca="1" si="5"/>
        <v>#VALUE!</v>
      </c>
      <c r="F63" s="2" t="e">
        <f t="shared" ca="1" si="0"/>
        <v>#VALUE!</v>
      </c>
      <c r="G63" s="1" t="e">
        <f t="shared" ca="1" si="1"/>
        <v>#VALUE!</v>
      </c>
      <c r="H63" s="1" t="e">
        <f t="shared" ca="1" si="6"/>
        <v>#VALUE!</v>
      </c>
      <c r="I63" s="1" t="e">
        <f t="shared" ca="1" si="2"/>
        <v>#VALUE!</v>
      </c>
      <c r="J63" t="e">
        <f t="shared" ca="1" si="3"/>
        <v>#VALUE!</v>
      </c>
    </row>
    <row r="64" spans="2:10" x14ac:dyDescent="0.35">
      <c r="B64">
        <v>49</v>
      </c>
      <c r="C64" s="2" t="e" cm="1">
        <f t="array" aca="1" ref="C64" ca="1">_xll.RiskNormal($B$8,15)</f>
        <v>#VALUE!</v>
      </c>
      <c r="D64" t="e">
        <f t="shared" ca="1" si="4"/>
        <v>#VALUE!</v>
      </c>
      <c r="E64" s="2" t="e">
        <f t="shared" ca="1" si="5"/>
        <v>#VALUE!</v>
      </c>
      <c r="F64" s="2" t="e">
        <f t="shared" ca="1" si="0"/>
        <v>#VALUE!</v>
      </c>
      <c r="G64" s="1" t="e">
        <f t="shared" ca="1" si="1"/>
        <v>#VALUE!</v>
      </c>
      <c r="H64" s="1" t="e">
        <f t="shared" ca="1" si="6"/>
        <v>#VALUE!</v>
      </c>
      <c r="I64" s="1" t="e">
        <f t="shared" ca="1" si="2"/>
        <v>#VALUE!</v>
      </c>
      <c r="J64" t="e">
        <f t="shared" ca="1" si="3"/>
        <v>#VALUE!</v>
      </c>
    </row>
    <row r="65" spans="2:10" x14ac:dyDescent="0.35">
      <c r="B65">
        <v>50</v>
      </c>
      <c r="C65" s="2" t="e" cm="1">
        <f t="array" aca="1" ref="C65" ca="1">_xll.RiskNormal($B$8,15)</f>
        <v>#VALUE!</v>
      </c>
      <c r="D65" t="e">
        <f t="shared" ca="1" si="4"/>
        <v>#VALUE!</v>
      </c>
      <c r="E65" s="2" t="e">
        <f t="shared" ca="1" si="5"/>
        <v>#VALUE!</v>
      </c>
      <c r="F65" s="2" t="e">
        <f t="shared" ca="1" si="0"/>
        <v>#VALUE!</v>
      </c>
      <c r="G65" s="1" t="e">
        <f t="shared" ca="1" si="1"/>
        <v>#VALUE!</v>
      </c>
      <c r="H65" s="1" t="e">
        <f t="shared" ca="1" si="6"/>
        <v>#VALUE!</v>
      </c>
      <c r="I65" s="1" t="e">
        <f t="shared" ca="1" si="2"/>
        <v>#VALUE!</v>
      </c>
      <c r="J65" t="e">
        <f t="shared" ca="1" si="3"/>
        <v>#VALUE!</v>
      </c>
    </row>
    <row r="66" spans="2:10" x14ac:dyDescent="0.35">
      <c r="B66">
        <v>51</v>
      </c>
      <c r="C66" s="2" t="e" cm="1">
        <f t="array" aca="1" ref="C66" ca="1">_xll.RiskNormal($B$8,15)</f>
        <v>#VALUE!</v>
      </c>
      <c r="D66" t="e">
        <f t="shared" ca="1" si="4"/>
        <v>#VALUE!</v>
      </c>
      <c r="E66" s="2" t="e">
        <f t="shared" ca="1" si="5"/>
        <v>#VALUE!</v>
      </c>
      <c r="F66" s="2" t="e">
        <f t="shared" ca="1" si="0"/>
        <v>#VALUE!</v>
      </c>
      <c r="G66" s="1" t="e">
        <f t="shared" ca="1" si="1"/>
        <v>#VALUE!</v>
      </c>
      <c r="H66" s="1" t="e">
        <f t="shared" ca="1" si="6"/>
        <v>#VALUE!</v>
      </c>
      <c r="I66" s="1" t="e">
        <f t="shared" ca="1" si="2"/>
        <v>#VALUE!</v>
      </c>
      <c r="J66" t="e">
        <f t="shared" ca="1" si="3"/>
        <v>#VALUE!</v>
      </c>
    </row>
    <row r="67" spans="2:10" x14ac:dyDescent="0.35">
      <c r="B67">
        <v>52</v>
      </c>
      <c r="C67" s="2" t="e" cm="1">
        <f t="array" aca="1" ref="C67" ca="1">_xll.RiskNormal($B$8,15)</f>
        <v>#VALUE!</v>
      </c>
      <c r="D67" t="e">
        <f t="shared" ca="1" si="4"/>
        <v>#VALUE!</v>
      </c>
      <c r="E67" s="2" t="e">
        <f t="shared" ca="1" si="5"/>
        <v>#VALUE!</v>
      </c>
      <c r="F67" s="2" t="e">
        <f t="shared" ca="1" si="0"/>
        <v>#VALUE!</v>
      </c>
      <c r="G67" s="1" t="e">
        <f t="shared" ca="1" si="1"/>
        <v>#VALUE!</v>
      </c>
      <c r="H67" s="1" t="e">
        <f t="shared" ca="1" si="6"/>
        <v>#VALUE!</v>
      </c>
      <c r="I67" s="1" t="e">
        <f t="shared" ca="1" si="2"/>
        <v>#VALUE!</v>
      </c>
      <c r="J67" t="e">
        <f t="shared" ca="1" si="3"/>
        <v>#VALUE!</v>
      </c>
    </row>
    <row r="68" spans="2:10" x14ac:dyDescent="0.35">
      <c r="G68" s="1"/>
      <c r="H68" s="1"/>
    </row>
  </sheetData>
  <pageMargins left="0.70000000000000007" right="0.70000000000000007" top="0.75" bottom="0.75" header="0.30000000000000004" footer="0.3000000000000000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490D-2260-4468-8476-71A9BBB84605}">
  <dimension ref="B1:L88"/>
  <sheetViews>
    <sheetView showGridLines="0" workbookViewId="0">
      <selection activeCell="D112" sqref="D112"/>
    </sheetView>
  </sheetViews>
  <sheetFormatPr defaultColWidth="9.08984375" defaultRowHeight="14.5" x14ac:dyDescent="0.35"/>
  <cols>
    <col min="1" max="1" width="0.26953125" customWidth="1"/>
    <col min="3" max="8" width="9.81640625" bestFit="1" customWidth="1"/>
    <col min="9" max="9" width="10.08984375" bestFit="1" customWidth="1"/>
    <col min="10" max="12" width="9.81640625" bestFit="1" customWidth="1"/>
  </cols>
  <sheetData>
    <row r="1" s="6" customFormat="1" ht="127.15" customHeight="1" x14ac:dyDescent="0.45"/>
    <row r="23" spans="2:9" ht="15" thickBot="1" x14ac:dyDescent="0.4"/>
    <row r="24" spans="2:9" x14ac:dyDescent="0.35">
      <c r="B24" s="56" t="s">
        <v>114</v>
      </c>
      <c r="C24" s="57"/>
      <c r="D24" s="58" t="s">
        <v>143</v>
      </c>
      <c r="E24" s="59"/>
      <c r="F24" s="59"/>
      <c r="G24" s="59"/>
      <c r="H24" s="59"/>
      <c r="I24" s="60"/>
    </row>
    <row r="25" spans="2:9" x14ac:dyDescent="0.35">
      <c r="B25" s="10" t="s">
        <v>119</v>
      </c>
      <c r="C25" s="23" t="s">
        <v>120</v>
      </c>
      <c r="D25" s="19" t="s">
        <v>121</v>
      </c>
      <c r="E25" s="7" t="s">
        <v>122</v>
      </c>
      <c r="F25" s="7" t="s">
        <v>123</v>
      </c>
      <c r="G25" s="42">
        <v>0.05</v>
      </c>
      <c r="H25" s="42">
        <v>0.95</v>
      </c>
      <c r="I25" s="13" t="s">
        <v>126</v>
      </c>
    </row>
    <row r="26" spans="2:9" x14ac:dyDescent="0.35">
      <c r="B26" s="11" t="s">
        <v>133</v>
      </c>
      <c r="C26" s="24">
        <v>30</v>
      </c>
      <c r="D26" s="27">
        <v>7196.3302429742571</v>
      </c>
      <c r="E26" s="30">
        <v>3991.4762436016463</v>
      </c>
      <c r="F26" s="30">
        <v>37001.239884867988</v>
      </c>
      <c r="G26" s="30">
        <v>4055.9107999972593</v>
      </c>
      <c r="H26" s="30">
        <v>18137.492557969465</v>
      </c>
      <c r="I26" s="39">
        <v>4598.0333864677305</v>
      </c>
    </row>
    <row r="27" spans="2:9" x14ac:dyDescent="0.35">
      <c r="B27" s="12" t="s">
        <v>134</v>
      </c>
      <c r="C27" s="25">
        <v>35.55555555555555</v>
      </c>
      <c r="D27" s="28">
        <v>7196.3302429742571</v>
      </c>
      <c r="E27" s="31">
        <v>3991.4762436016463</v>
      </c>
      <c r="F27" s="31">
        <v>37001.239884867988</v>
      </c>
      <c r="G27" s="31">
        <v>4055.9107999972593</v>
      </c>
      <c r="H27" s="31">
        <v>18137.492557969465</v>
      </c>
      <c r="I27" s="40">
        <v>4598.0333864677305</v>
      </c>
    </row>
    <row r="28" spans="2:9" x14ac:dyDescent="0.35">
      <c r="B28" s="12" t="s">
        <v>135</v>
      </c>
      <c r="C28" s="25">
        <v>41.111111111111107</v>
      </c>
      <c r="D28" s="28">
        <v>7196.3302429742571</v>
      </c>
      <c r="E28" s="31">
        <v>3991.4762436016463</v>
      </c>
      <c r="F28" s="31">
        <v>37001.239884867988</v>
      </c>
      <c r="G28" s="31">
        <v>4055.9107999972593</v>
      </c>
      <c r="H28" s="31">
        <v>18137.492557969465</v>
      </c>
      <c r="I28" s="40">
        <v>4598.0333864677305</v>
      </c>
    </row>
    <row r="29" spans="2:9" x14ac:dyDescent="0.35">
      <c r="B29" s="12" t="s">
        <v>136</v>
      </c>
      <c r="C29" s="25">
        <v>46.666666666666671</v>
      </c>
      <c r="D29" s="28">
        <v>7196.3302429742571</v>
      </c>
      <c r="E29" s="31">
        <v>3991.4762436016463</v>
      </c>
      <c r="F29" s="31">
        <v>37001.239884867988</v>
      </c>
      <c r="G29" s="31">
        <v>4055.9107999972593</v>
      </c>
      <c r="H29" s="31">
        <v>18137.492557969465</v>
      </c>
      <c r="I29" s="40">
        <v>4598.0333864677305</v>
      </c>
    </row>
    <row r="30" spans="2:9" x14ac:dyDescent="0.35">
      <c r="B30" s="12" t="s">
        <v>137</v>
      </c>
      <c r="C30" s="25">
        <v>52.222222222222214</v>
      </c>
      <c r="D30" s="28">
        <v>7196.3302429742571</v>
      </c>
      <c r="E30" s="31">
        <v>3991.4762436016463</v>
      </c>
      <c r="F30" s="31">
        <v>37001.239884867988</v>
      </c>
      <c r="G30" s="31">
        <v>4055.9107999972593</v>
      </c>
      <c r="H30" s="31">
        <v>18137.492557969465</v>
      </c>
      <c r="I30" s="40">
        <v>4598.0333864677305</v>
      </c>
    </row>
    <row r="31" spans="2:9" x14ac:dyDescent="0.35">
      <c r="B31" s="12" t="s">
        <v>138</v>
      </c>
      <c r="C31" s="25">
        <v>57.777777777777786</v>
      </c>
      <c r="D31" s="28">
        <v>7196.3302429742571</v>
      </c>
      <c r="E31" s="31">
        <v>3991.4762436016463</v>
      </c>
      <c r="F31" s="31">
        <v>37001.239884867988</v>
      </c>
      <c r="G31" s="31">
        <v>4055.9107999972593</v>
      </c>
      <c r="H31" s="31">
        <v>18137.492557969465</v>
      </c>
      <c r="I31" s="40">
        <v>4598.0333864677305</v>
      </c>
    </row>
    <row r="32" spans="2:9" x14ac:dyDescent="0.35">
      <c r="B32" s="12" t="s">
        <v>139</v>
      </c>
      <c r="C32" s="25">
        <v>63.333333333333336</v>
      </c>
      <c r="D32" s="28">
        <v>7196.3302429742571</v>
      </c>
      <c r="E32" s="31">
        <v>3991.4762436016463</v>
      </c>
      <c r="F32" s="31">
        <v>37001.239884867988</v>
      </c>
      <c r="G32" s="31">
        <v>4055.9107999972593</v>
      </c>
      <c r="H32" s="31">
        <v>18137.492557969465</v>
      </c>
      <c r="I32" s="40">
        <v>4598.0333864677305</v>
      </c>
    </row>
    <row r="33" spans="2:12" x14ac:dyDescent="0.35">
      <c r="B33" s="12" t="s">
        <v>140</v>
      </c>
      <c r="C33" s="25">
        <v>68.888888888888886</v>
      </c>
      <c r="D33" s="28">
        <v>7196.3302429742571</v>
      </c>
      <c r="E33" s="31">
        <v>3991.4762436016463</v>
      </c>
      <c r="F33" s="31">
        <v>37001.239884867988</v>
      </c>
      <c r="G33" s="31">
        <v>4055.9107999972593</v>
      </c>
      <c r="H33" s="31">
        <v>18137.492557969465</v>
      </c>
      <c r="I33" s="40">
        <v>4598.0333864677305</v>
      </c>
    </row>
    <row r="34" spans="2:12" x14ac:dyDescent="0.35">
      <c r="B34" s="12" t="s">
        <v>141</v>
      </c>
      <c r="C34" s="25">
        <v>74.444444444444429</v>
      </c>
      <c r="D34" s="28">
        <v>7196.3302429742571</v>
      </c>
      <c r="E34" s="31">
        <v>3991.4762436016463</v>
      </c>
      <c r="F34" s="31">
        <v>37001.239884867988</v>
      </c>
      <c r="G34" s="31">
        <v>4055.9107999972593</v>
      </c>
      <c r="H34" s="31">
        <v>18137.492557969465</v>
      </c>
      <c r="I34" s="40">
        <v>4598.0333864677305</v>
      </c>
    </row>
    <row r="35" spans="2:12" ht="15" thickBot="1" x14ac:dyDescent="0.4">
      <c r="B35" s="16" t="s">
        <v>142</v>
      </c>
      <c r="C35" s="26">
        <v>80</v>
      </c>
      <c r="D35" s="29">
        <v>7196.3302429742571</v>
      </c>
      <c r="E35" s="32">
        <v>3991.4762436016463</v>
      </c>
      <c r="F35" s="32">
        <v>37001.239884867988</v>
      </c>
      <c r="G35" s="32">
        <v>4055.9107999972593</v>
      </c>
      <c r="H35" s="32">
        <v>18137.492557969465</v>
      </c>
      <c r="I35" s="41">
        <v>4598.0333864677305</v>
      </c>
    </row>
    <row r="36" spans="2:12" ht="15" thickBot="1" x14ac:dyDescent="0.4"/>
    <row r="37" spans="2:12" x14ac:dyDescent="0.35">
      <c r="B37" s="44" t="s">
        <v>144</v>
      </c>
      <c r="C37" s="47" t="s">
        <v>145</v>
      </c>
      <c r="D37" s="47" t="s">
        <v>146</v>
      </c>
      <c r="E37" s="47" t="s">
        <v>147</v>
      </c>
      <c r="F37" s="47" t="s">
        <v>148</v>
      </c>
      <c r="G37" s="47" t="s">
        <v>149</v>
      </c>
      <c r="H37" s="47" t="s">
        <v>150</v>
      </c>
      <c r="I37" s="47" t="s">
        <v>151</v>
      </c>
      <c r="J37" s="47" t="s">
        <v>152</v>
      </c>
      <c r="K37" s="47" t="s">
        <v>153</v>
      </c>
      <c r="L37" s="45" t="s">
        <v>154</v>
      </c>
    </row>
    <row r="38" spans="2:12" x14ac:dyDescent="0.35">
      <c r="B38" s="49">
        <v>3317.807597861517</v>
      </c>
      <c r="C38" s="20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14">
        <v>0</v>
      </c>
    </row>
    <row r="39" spans="2:12" x14ac:dyDescent="0.35">
      <c r="B39" s="49">
        <v>3991.4762436016463</v>
      </c>
      <c r="C39" s="21">
        <v>2E-3</v>
      </c>
      <c r="D39" s="9">
        <v>2E-3</v>
      </c>
      <c r="E39" s="9">
        <v>2E-3</v>
      </c>
      <c r="F39" s="9">
        <v>2E-3</v>
      </c>
      <c r="G39" s="9">
        <v>2E-3</v>
      </c>
      <c r="H39" s="9">
        <v>2E-3</v>
      </c>
      <c r="I39" s="9">
        <v>2E-3</v>
      </c>
      <c r="J39" s="9">
        <v>2E-3</v>
      </c>
      <c r="K39" s="9">
        <v>2E-3</v>
      </c>
      <c r="L39" s="15">
        <v>2E-3</v>
      </c>
    </row>
    <row r="40" spans="2:12" x14ac:dyDescent="0.35">
      <c r="B40" s="49">
        <v>4665.1448893417755</v>
      </c>
      <c r="C40" s="21">
        <v>0.21920303171717423</v>
      </c>
      <c r="D40" s="9">
        <v>0.21920303171717423</v>
      </c>
      <c r="E40" s="9">
        <v>0.21920303171717423</v>
      </c>
      <c r="F40" s="9">
        <v>0.21920303171717423</v>
      </c>
      <c r="G40" s="9">
        <v>0.21920303171717423</v>
      </c>
      <c r="H40" s="9">
        <v>0.21920303171717423</v>
      </c>
      <c r="I40" s="9">
        <v>0.21920303171717423</v>
      </c>
      <c r="J40" s="9">
        <v>0.21920303171717423</v>
      </c>
      <c r="K40" s="9">
        <v>0.21920303171717423</v>
      </c>
      <c r="L40" s="15">
        <v>0.21920303171717423</v>
      </c>
    </row>
    <row r="41" spans="2:12" x14ac:dyDescent="0.35">
      <c r="B41" s="49">
        <v>5338.8135350819048</v>
      </c>
      <c r="C41" s="21">
        <v>0.34069733559047677</v>
      </c>
      <c r="D41" s="9">
        <v>0.34069733559047677</v>
      </c>
      <c r="E41" s="9">
        <v>0.34069733559047677</v>
      </c>
      <c r="F41" s="9">
        <v>0.34069733559047677</v>
      </c>
      <c r="G41" s="9">
        <v>0.34069733559047677</v>
      </c>
      <c r="H41" s="9">
        <v>0.34069733559047677</v>
      </c>
      <c r="I41" s="9">
        <v>0.34069733559047677</v>
      </c>
      <c r="J41" s="9">
        <v>0.34069733559047677</v>
      </c>
      <c r="K41" s="9">
        <v>0.34069733559047677</v>
      </c>
      <c r="L41" s="15">
        <v>0.34069733559047677</v>
      </c>
    </row>
    <row r="42" spans="2:12" x14ac:dyDescent="0.35">
      <c r="B42" s="49">
        <v>6012.4821808220349</v>
      </c>
      <c r="C42" s="21">
        <v>0.68341124172824907</v>
      </c>
      <c r="D42" s="9">
        <v>0.68341124172824907</v>
      </c>
      <c r="E42" s="9">
        <v>0.68341124172824907</v>
      </c>
      <c r="F42" s="9">
        <v>0.68341124172824907</v>
      </c>
      <c r="G42" s="9">
        <v>0.68341124172824907</v>
      </c>
      <c r="H42" s="9">
        <v>0.68341124172824907</v>
      </c>
      <c r="I42" s="9">
        <v>0.68341124172824907</v>
      </c>
      <c r="J42" s="9">
        <v>0.68341124172824907</v>
      </c>
      <c r="K42" s="9">
        <v>0.68341124172824907</v>
      </c>
      <c r="L42" s="15">
        <v>0.68341124172824907</v>
      </c>
    </row>
    <row r="43" spans="2:12" x14ac:dyDescent="0.35">
      <c r="B43" s="49">
        <v>6686.1508265621651</v>
      </c>
      <c r="C43" s="21">
        <v>0.75600645477964734</v>
      </c>
      <c r="D43" s="9">
        <v>0.75600645477964734</v>
      </c>
      <c r="E43" s="9">
        <v>0.75600645477964734</v>
      </c>
      <c r="F43" s="9">
        <v>0.75600645477964734</v>
      </c>
      <c r="G43" s="9">
        <v>0.75600645477964734</v>
      </c>
      <c r="H43" s="9">
        <v>0.75600645477964734</v>
      </c>
      <c r="I43" s="9">
        <v>0.75600645477964734</v>
      </c>
      <c r="J43" s="9">
        <v>0.75600645477964734</v>
      </c>
      <c r="K43" s="9">
        <v>0.75600645477964734</v>
      </c>
      <c r="L43" s="15">
        <v>0.75600645477964734</v>
      </c>
    </row>
    <row r="44" spans="2:12" x14ac:dyDescent="0.35">
      <c r="B44" s="49">
        <v>7359.8194723022934</v>
      </c>
      <c r="C44" s="21">
        <v>0.77619244983285607</v>
      </c>
      <c r="D44" s="9">
        <v>0.77619244983285607</v>
      </c>
      <c r="E44" s="9">
        <v>0.77619244983285607</v>
      </c>
      <c r="F44" s="9">
        <v>0.77619244983285607</v>
      </c>
      <c r="G44" s="9">
        <v>0.77619244983285607</v>
      </c>
      <c r="H44" s="9">
        <v>0.77619244983285607</v>
      </c>
      <c r="I44" s="9">
        <v>0.77619244983285607</v>
      </c>
      <c r="J44" s="9">
        <v>0.77619244983285607</v>
      </c>
      <c r="K44" s="9">
        <v>0.77619244983285607</v>
      </c>
      <c r="L44" s="15">
        <v>0.77619244983285607</v>
      </c>
    </row>
    <row r="45" spans="2:12" x14ac:dyDescent="0.35">
      <c r="B45" s="49">
        <v>8033.4881180424236</v>
      </c>
      <c r="C45" s="21">
        <v>0.8035606042178558</v>
      </c>
      <c r="D45" s="9">
        <v>0.8035606042178558</v>
      </c>
      <c r="E45" s="9">
        <v>0.8035606042178558</v>
      </c>
      <c r="F45" s="9">
        <v>0.8035606042178558</v>
      </c>
      <c r="G45" s="9">
        <v>0.8035606042178558</v>
      </c>
      <c r="H45" s="9">
        <v>0.8035606042178558</v>
      </c>
      <c r="I45" s="9">
        <v>0.8035606042178558</v>
      </c>
      <c r="J45" s="9">
        <v>0.8035606042178558</v>
      </c>
      <c r="K45" s="9">
        <v>0.8035606042178558</v>
      </c>
      <c r="L45" s="15">
        <v>0.8035606042178558</v>
      </c>
    </row>
    <row r="46" spans="2:12" x14ac:dyDescent="0.35">
      <c r="B46" s="49">
        <v>8707.1567637825519</v>
      </c>
      <c r="C46" s="21">
        <v>0.82254184796191532</v>
      </c>
      <c r="D46" s="9">
        <v>0.82254184796191532</v>
      </c>
      <c r="E46" s="9">
        <v>0.82254184796191532</v>
      </c>
      <c r="F46" s="9">
        <v>0.82254184796191532</v>
      </c>
      <c r="G46" s="9">
        <v>0.82254184796191532</v>
      </c>
      <c r="H46" s="9">
        <v>0.82254184796191532</v>
      </c>
      <c r="I46" s="9">
        <v>0.82254184796191532</v>
      </c>
      <c r="J46" s="9">
        <v>0.82254184796191532</v>
      </c>
      <c r="K46" s="9">
        <v>0.82254184796191532</v>
      </c>
      <c r="L46" s="15">
        <v>0.82254184796191532</v>
      </c>
    </row>
    <row r="47" spans="2:12" x14ac:dyDescent="0.35">
      <c r="B47" s="49">
        <v>9380.8254095226821</v>
      </c>
      <c r="C47" s="21">
        <v>0.82786730252060259</v>
      </c>
      <c r="D47" s="9">
        <v>0.82786730252060259</v>
      </c>
      <c r="E47" s="9">
        <v>0.82786730252060259</v>
      </c>
      <c r="F47" s="9">
        <v>0.82786730252060259</v>
      </c>
      <c r="G47" s="9">
        <v>0.82786730252060259</v>
      </c>
      <c r="H47" s="9">
        <v>0.82786730252060259</v>
      </c>
      <c r="I47" s="9">
        <v>0.82786730252060259</v>
      </c>
      <c r="J47" s="9">
        <v>0.82786730252060259</v>
      </c>
      <c r="K47" s="9">
        <v>0.82786730252060259</v>
      </c>
      <c r="L47" s="15">
        <v>0.82786730252060259</v>
      </c>
    </row>
    <row r="48" spans="2:12" x14ac:dyDescent="0.35">
      <c r="B48" s="49">
        <v>10054.494055262812</v>
      </c>
      <c r="C48" s="21">
        <v>0.84098113889881931</v>
      </c>
      <c r="D48" s="9">
        <v>0.84098113889881931</v>
      </c>
      <c r="E48" s="9">
        <v>0.84098113889881931</v>
      </c>
      <c r="F48" s="9">
        <v>0.84098113889881931</v>
      </c>
      <c r="G48" s="9">
        <v>0.84098113889881931</v>
      </c>
      <c r="H48" s="9">
        <v>0.84098113889881931</v>
      </c>
      <c r="I48" s="9">
        <v>0.84098113889881931</v>
      </c>
      <c r="J48" s="9">
        <v>0.84098113889881931</v>
      </c>
      <c r="K48" s="9">
        <v>0.84098113889881931</v>
      </c>
      <c r="L48" s="15">
        <v>0.84098113889881931</v>
      </c>
    </row>
    <row r="49" spans="2:12" x14ac:dyDescent="0.35">
      <c r="B49" s="49">
        <v>10728.162701002941</v>
      </c>
      <c r="C49" s="21">
        <v>0.8500985139738586</v>
      </c>
      <c r="D49" s="9">
        <v>0.8500985139738586</v>
      </c>
      <c r="E49" s="9">
        <v>0.8500985139738586</v>
      </c>
      <c r="F49" s="9">
        <v>0.8500985139738586</v>
      </c>
      <c r="G49" s="9">
        <v>0.8500985139738586</v>
      </c>
      <c r="H49" s="9">
        <v>0.8500985139738586</v>
      </c>
      <c r="I49" s="9">
        <v>0.8500985139738586</v>
      </c>
      <c r="J49" s="9">
        <v>0.8500985139738586</v>
      </c>
      <c r="K49" s="9">
        <v>0.8500985139738586</v>
      </c>
      <c r="L49" s="15">
        <v>0.8500985139738586</v>
      </c>
    </row>
    <row r="50" spans="2:12" x14ac:dyDescent="0.35">
      <c r="B50" s="49">
        <v>11401.831346743071</v>
      </c>
      <c r="C50" s="21">
        <v>0.87013170113558558</v>
      </c>
      <c r="D50" s="9">
        <v>0.87013170113558558</v>
      </c>
      <c r="E50" s="9">
        <v>0.87013170113558558</v>
      </c>
      <c r="F50" s="9">
        <v>0.87013170113558558</v>
      </c>
      <c r="G50" s="9">
        <v>0.87013170113558558</v>
      </c>
      <c r="H50" s="9">
        <v>0.87013170113558558</v>
      </c>
      <c r="I50" s="9">
        <v>0.87013170113558558</v>
      </c>
      <c r="J50" s="9">
        <v>0.87013170113558558</v>
      </c>
      <c r="K50" s="9">
        <v>0.87013170113558558</v>
      </c>
      <c r="L50" s="15">
        <v>0.87013170113558558</v>
      </c>
    </row>
    <row r="51" spans="2:12" x14ac:dyDescent="0.35">
      <c r="B51" s="49">
        <v>12075.499992483199</v>
      </c>
      <c r="C51" s="21">
        <v>0.88681421469995891</v>
      </c>
      <c r="D51" s="9">
        <v>0.88681421469995891</v>
      </c>
      <c r="E51" s="9">
        <v>0.88681421469995891</v>
      </c>
      <c r="F51" s="9">
        <v>0.88681421469995891</v>
      </c>
      <c r="G51" s="9">
        <v>0.88681421469995891</v>
      </c>
      <c r="H51" s="9">
        <v>0.88681421469995891</v>
      </c>
      <c r="I51" s="9">
        <v>0.88681421469995891</v>
      </c>
      <c r="J51" s="9">
        <v>0.88681421469995891</v>
      </c>
      <c r="K51" s="9">
        <v>0.88681421469995891</v>
      </c>
      <c r="L51" s="15">
        <v>0.88681421469995891</v>
      </c>
    </row>
    <row r="52" spans="2:12" x14ac:dyDescent="0.35">
      <c r="B52" s="49">
        <v>12749.168638223329</v>
      </c>
      <c r="C52" s="21">
        <v>0.89884825934554202</v>
      </c>
      <c r="D52" s="9">
        <v>0.89884825934554202</v>
      </c>
      <c r="E52" s="9">
        <v>0.89884825934554202</v>
      </c>
      <c r="F52" s="9">
        <v>0.89884825934554202</v>
      </c>
      <c r="G52" s="9">
        <v>0.89884825934554202</v>
      </c>
      <c r="H52" s="9">
        <v>0.89884825934554202</v>
      </c>
      <c r="I52" s="9">
        <v>0.89884825934554202</v>
      </c>
      <c r="J52" s="9">
        <v>0.89884825934554202</v>
      </c>
      <c r="K52" s="9">
        <v>0.89884825934554202</v>
      </c>
      <c r="L52" s="15">
        <v>0.89884825934554202</v>
      </c>
    </row>
    <row r="53" spans="2:12" x14ac:dyDescent="0.35">
      <c r="B53" s="49">
        <v>13422.837283963458</v>
      </c>
      <c r="C53" s="21">
        <v>0.90940310351358611</v>
      </c>
      <c r="D53" s="9">
        <v>0.90940310351358611</v>
      </c>
      <c r="E53" s="9">
        <v>0.90940310351358611</v>
      </c>
      <c r="F53" s="9">
        <v>0.90940310351358611</v>
      </c>
      <c r="G53" s="9">
        <v>0.90940310351358611</v>
      </c>
      <c r="H53" s="9">
        <v>0.90940310351358611</v>
      </c>
      <c r="I53" s="9">
        <v>0.90940310351358611</v>
      </c>
      <c r="J53" s="9">
        <v>0.90940310351358611</v>
      </c>
      <c r="K53" s="9">
        <v>0.90940310351358611</v>
      </c>
      <c r="L53" s="15">
        <v>0.90940310351358611</v>
      </c>
    </row>
    <row r="54" spans="2:12" x14ac:dyDescent="0.35">
      <c r="B54" s="49">
        <v>14096.505929703588</v>
      </c>
      <c r="C54" s="21">
        <v>0.91700505679532085</v>
      </c>
      <c r="D54" s="9">
        <v>0.91700505679532085</v>
      </c>
      <c r="E54" s="9">
        <v>0.91700505679532085</v>
      </c>
      <c r="F54" s="9">
        <v>0.91700505679532085</v>
      </c>
      <c r="G54" s="9">
        <v>0.91700505679532085</v>
      </c>
      <c r="H54" s="9">
        <v>0.91700505679532085</v>
      </c>
      <c r="I54" s="9">
        <v>0.91700505679532085</v>
      </c>
      <c r="J54" s="9">
        <v>0.91700505679532085</v>
      </c>
      <c r="K54" s="9">
        <v>0.91700505679532085</v>
      </c>
      <c r="L54" s="15">
        <v>0.91700505679532085</v>
      </c>
    </row>
    <row r="55" spans="2:12" x14ac:dyDescent="0.35">
      <c r="B55" s="49">
        <v>14770.174575443718</v>
      </c>
      <c r="C55" s="21">
        <v>0.91973794890050786</v>
      </c>
      <c r="D55" s="9">
        <v>0.91973794890050786</v>
      </c>
      <c r="E55" s="9">
        <v>0.91973794890050786</v>
      </c>
      <c r="F55" s="9">
        <v>0.91973794890050786</v>
      </c>
      <c r="G55" s="9">
        <v>0.91973794890050786</v>
      </c>
      <c r="H55" s="9">
        <v>0.91973794890050786</v>
      </c>
      <c r="I55" s="9">
        <v>0.91973794890050786</v>
      </c>
      <c r="J55" s="9">
        <v>0.91973794890050786</v>
      </c>
      <c r="K55" s="9">
        <v>0.91973794890050786</v>
      </c>
      <c r="L55" s="15">
        <v>0.91973794890050786</v>
      </c>
    </row>
    <row r="56" spans="2:12" x14ac:dyDescent="0.35">
      <c r="B56" s="49">
        <v>15443.843221183846</v>
      </c>
      <c r="C56" s="21">
        <v>0.92344622982341629</v>
      </c>
      <c r="D56" s="9">
        <v>0.92344622982341629</v>
      </c>
      <c r="E56" s="9">
        <v>0.92344622982341629</v>
      </c>
      <c r="F56" s="9">
        <v>0.92344622982341629</v>
      </c>
      <c r="G56" s="9">
        <v>0.92344622982341629</v>
      </c>
      <c r="H56" s="9">
        <v>0.92344622982341629</v>
      </c>
      <c r="I56" s="9">
        <v>0.92344622982341629</v>
      </c>
      <c r="J56" s="9">
        <v>0.92344622982341629</v>
      </c>
      <c r="K56" s="9">
        <v>0.92344622982341629</v>
      </c>
      <c r="L56" s="15">
        <v>0.92344622982341629</v>
      </c>
    </row>
    <row r="57" spans="2:12" x14ac:dyDescent="0.35">
      <c r="B57" s="49">
        <v>16117.511866923976</v>
      </c>
      <c r="C57" s="21">
        <v>0.93823279021188966</v>
      </c>
      <c r="D57" s="9">
        <v>0.93823279021188966</v>
      </c>
      <c r="E57" s="9">
        <v>0.93823279021188966</v>
      </c>
      <c r="F57" s="9">
        <v>0.93823279021188966</v>
      </c>
      <c r="G57" s="9">
        <v>0.93823279021188966</v>
      </c>
      <c r="H57" s="9">
        <v>0.93823279021188966</v>
      </c>
      <c r="I57" s="9">
        <v>0.93823279021188966</v>
      </c>
      <c r="J57" s="9">
        <v>0.93823279021188966</v>
      </c>
      <c r="K57" s="9">
        <v>0.93823279021188966</v>
      </c>
      <c r="L57" s="15">
        <v>0.93823279021188966</v>
      </c>
    </row>
    <row r="58" spans="2:12" x14ac:dyDescent="0.35">
      <c r="B58" s="49">
        <v>16791.180512664105</v>
      </c>
      <c r="C58" s="21">
        <v>0.94461216292766437</v>
      </c>
      <c r="D58" s="9">
        <v>0.94461216292766437</v>
      </c>
      <c r="E58" s="9">
        <v>0.94461216292766437</v>
      </c>
      <c r="F58" s="9">
        <v>0.94461216292766437</v>
      </c>
      <c r="G58" s="9">
        <v>0.94461216292766437</v>
      </c>
      <c r="H58" s="9">
        <v>0.94461216292766437</v>
      </c>
      <c r="I58" s="9">
        <v>0.94461216292766437</v>
      </c>
      <c r="J58" s="9">
        <v>0.94461216292766437</v>
      </c>
      <c r="K58" s="9">
        <v>0.94461216292766437</v>
      </c>
      <c r="L58" s="15">
        <v>0.94461216292766437</v>
      </c>
    </row>
    <row r="59" spans="2:12" x14ac:dyDescent="0.35">
      <c r="B59" s="49">
        <v>17464.849158404235</v>
      </c>
      <c r="C59" s="21">
        <v>0.94724465371027433</v>
      </c>
      <c r="D59" s="9">
        <v>0.94724465371027433</v>
      </c>
      <c r="E59" s="9">
        <v>0.94724465371027433</v>
      </c>
      <c r="F59" s="9">
        <v>0.94724465371027433</v>
      </c>
      <c r="G59" s="9">
        <v>0.94724465371027433</v>
      </c>
      <c r="H59" s="9">
        <v>0.94724465371027433</v>
      </c>
      <c r="I59" s="9">
        <v>0.94724465371027433</v>
      </c>
      <c r="J59" s="9">
        <v>0.94724465371027433</v>
      </c>
      <c r="K59" s="9">
        <v>0.94724465371027433</v>
      </c>
      <c r="L59" s="15">
        <v>0.94724465371027433</v>
      </c>
    </row>
    <row r="60" spans="2:12" x14ac:dyDescent="0.35">
      <c r="B60" s="49">
        <v>18138.517804144365</v>
      </c>
      <c r="C60" s="21">
        <v>0.95001489750158474</v>
      </c>
      <c r="D60" s="9">
        <v>0.95001489750158474</v>
      </c>
      <c r="E60" s="9">
        <v>0.95001489750158474</v>
      </c>
      <c r="F60" s="9">
        <v>0.95001489750158474</v>
      </c>
      <c r="G60" s="9">
        <v>0.95001489750158474</v>
      </c>
      <c r="H60" s="9">
        <v>0.95001489750158474</v>
      </c>
      <c r="I60" s="9">
        <v>0.95001489750158474</v>
      </c>
      <c r="J60" s="9">
        <v>0.95001489750158474</v>
      </c>
      <c r="K60" s="9">
        <v>0.95001489750158474</v>
      </c>
      <c r="L60" s="15">
        <v>0.95001489750158474</v>
      </c>
    </row>
    <row r="61" spans="2:12" x14ac:dyDescent="0.35">
      <c r="B61" s="49">
        <v>18812.186449884495</v>
      </c>
      <c r="C61" s="21">
        <v>0.95774473523854498</v>
      </c>
      <c r="D61" s="9">
        <v>0.95774473523854498</v>
      </c>
      <c r="E61" s="9">
        <v>0.95774473523854498</v>
      </c>
      <c r="F61" s="9">
        <v>0.95774473523854498</v>
      </c>
      <c r="G61" s="9">
        <v>0.95774473523854498</v>
      </c>
      <c r="H61" s="9">
        <v>0.95774473523854498</v>
      </c>
      <c r="I61" s="9">
        <v>0.95774473523854498</v>
      </c>
      <c r="J61" s="9">
        <v>0.95774473523854498</v>
      </c>
      <c r="K61" s="9">
        <v>0.95774473523854498</v>
      </c>
      <c r="L61" s="15">
        <v>0.95774473523854498</v>
      </c>
    </row>
    <row r="62" spans="2:12" x14ac:dyDescent="0.35">
      <c r="B62" s="49">
        <v>19485.855095624625</v>
      </c>
      <c r="C62" s="21">
        <v>0.96082059490505967</v>
      </c>
      <c r="D62" s="9">
        <v>0.96082059490505967</v>
      </c>
      <c r="E62" s="9">
        <v>0.96082059490505967</v>
      </c>
      <c r="F62" s="9">
        <v>0.96082059490505967</v>
      </c>
      <c r="G62" s="9">
        <v>0.96082059490505967</v>
      </c>
      <c r="H62" s="9">
        <v>0.96082059490505967</v>
      </c>
      <c r="I62" s="9">
        <v>0.96082059490505967</v>
      </c>
      <c r="J62" s="9">
        <v>0.96082059490505967</v>
      </c>
      <c r="K62" s="9">
        <v>0.96082059490505967</v>
      </c>
      <c r="L62" s="15">
        <v>0.96082059490505967</v>
      </c>
    </row>
    <row r="63" spans="2:12" x14ac:dyDescent="0.35">
      <c r="B63" s="49">
        <v>20159.523741364752</v>
      </c>
      <c r="C63" s="21">
        <v>0.96314438787751755</v>
      </c>
      <c r="D63" s="9">
        <v>0.96314438787751755</v>
      </c>
      <c r="E63" s="9">
        <v>0.96314438787751755</v>
      </c>
      <c r="F63" s="9">
        <v>0.96314438787751755</v>
      </c>
      <c r="G63" s="9">
        <v>0.96314438787751755</v>
      </c>
      <c r="H63" s="9">
        <v>0.96314438787751755</v>
      </c>
      <c r="I63" s="9">
        <v>0.96314438787751755</v>
      </c>
      <c r="J63" s="9">
        <v>0.96314438787751755</v>
      </c>
      <c r="K63" s="9">
        <v>0.96314438787751755</v>
      </c>
      <c r="L63" s="15">
        <v>0.96314438787751755</v>
      </c>
    </row>
    <row r="64" spans="2:12" x14ac:dyDescent="0.35">
      <c r="B64" s="49">
        <v>20833.192387104882</v>
      </c>
      <c r="C64" s="21">
        <v>0.97129152880573655</v>
      </c>
      <c r="D64" s="9">
        <v>0.97129152880573655</v>
      </c>
      <c r="E64" s="9">
        <v>0.97129152880573655</v>
      </c>
      <c r="F64" s="9">
        <v>0.97129152880573655</v>
      </c>
      <c r="G64" s="9">
        <v>0.97129152880573655</v>
      </c>
      <c r="H64" s="9">
        <v>0.97129152880573655</v>
      </c>
      <c r="I64" s="9">
        <v>0.97129152880573655</v>
      </c>
      <c r="J64" s="9">
        <v>0.97129152880573655</v>
      </c>
      <c r="K64" s="9">
        <v>0.97129152880573655</v>
      </c>
      <c r="L64" s="15">
        <v>0.97129152880573655</v>
      </c>
    </row>
    <row r="65" spans="2:12" x14ac:dyDescent="0.35">
      <c r="B65" s="49">
        <v>21506.861032845012</v>
      </c>
      <c r="C65" s="21">
        <v>0.98085073931030409</v>
      </c>
      <c r="D65" s="9">
        <v>0.98085073931030409</v>
      </c>
      <c r="E65" s="9">
        <v>0.98085073931030409</v>
      </c>
      <c r="F65" s="9">
        <v>0.98085073931030409</v>
      </c>
      <c r="G65" s="9">
        <v>0.98085073931030409</v>
      </c>
      <c r="H65" s="9">
        <v>0.98085073931030409</v>
      </c>
      <c r="I65" s="9">
        <v>0.98085073931030409</v>
      </c>
      <c r="J65" s="9">
        <v>0.98085073931030409</v>
      </c>
      <c r="K65" s="9">
        <v>0.98085073931030409</v>
      </c>
      <c r="L65" s="15">
        <v>0.98085073931030409</v>
      </c>
    </row>
    <row r="66" spans="2:12" x14ac:dyDescent="0.35">
      <c r="B66" s="49">
        <v>22180.529678585142</v>
      </c>
      <c r="C66" s="21">
        <v>0.98278487914934742</v>
      </c>
      <c r="D66" s="9">
        <v>0.98278487914934742</v>
      </c>
      <c r="E66" s="9">
        <v>0.98278487914934742</v>
      </c>
      <c r="F66" s="9">
        <v>0.98278487914934742</v>
      </c>
      <c r="G66" s="9">
        <v>0.98278487914934742</v>
      </c>
      <c r="H66" s="9">
        <v>0.98278487914934742</v>
      </c>
      <c r="I66" s="9">
        <v>0.98278487914934742</v>
      </c>
      <c r="J66" s="9">
        <v>0.98278487914934742</v>
      </c>
      <c r="K66" s="9">
        <v>0.98278487914934742</v>
      </c>
      <c r="L66" s="15">
        <v>0.98278487914934742</v>
      </c>
    </row>
    <row r="67" spans="2:12" x14ac:dyDescent="0.35">
      <c r="B67" s="49">
        <v>22854.198324325269</v>
      </c>
      <c r="C67" s="21">
        <v>0.98519089149089367</v>
      </c>
      <c r="D67" s="9">
        <v>0.98519089149089367</v>
      </c>
      <c r="E67" s="9">
        <v>0.98519089149089367</v>
      </c>
      <c r="F67" s="9">
        <v>0.98519089149089367</v>
      </c>
      <c r="G67" s="9">
        <v>0.98519089149089367</v>
      </c>
      <c r="H67" s="9">
        <v>0.98519089149089367</v>
      </c>
      <c r="I67" s="9">
        <v>0.98519089149089367</v>
      </c>
      <c r="J67" s="9">
        <v>0.98519089149089367</v>
      </c>
      <c r="K67" s="9">
        <v>0.98519089149089367</v>
      </c>
      <c r="L67" s="15">
        <v>0.98519089149089367</v>
      </c>
    </row>
    <row r="68" spans="2:12" x14ac:dyDescent="0.35">
      <c r="B68" s="49">
        <v>23527.866970065399</v>
      </c>
      <c r="C68" s="21">
        <v>0.98708408810108439</v>
      </c>
      <c r="D68" s="9">
        <v>0.98708408810108439</v>
      </c>
      <c r="E68" s="9">
        <v>0.98708408810108439</v>
      </c>
      <c r="F68" s="9">
        <v>0.98708408810108439</v>
      </c>
      <c r="G68" s="9">
        <v>0.98708408810108439</v>
      </c>
      <c r="H68" s="9">
        <v>0.98708408810108439</v>
      </c>
      <c r="I68" s="9">
        <v>0.98708408810108439</v>
      </c>
      <c r="J68" s="9">
        <v>0.98708408810108439</v>
      </c>
      <c r="K68" s="9">
        <v>0.98708408810108439</v>
      </c>
      <c r="L68" s="15">
        <v>0.98708408810108439</v>
      </c>
    </row>
    <row r="69" spans="2:12" x14ac:dyDescent="0.35">
      <c r="B69" s="49">
        <v>24201.535615805529</v>
      </c>
      <c r="C69" s="21">
        <v>0.988388055531221</v>
      </c>
      <c r="D69" s="9">
        <v>0.988388055531221</v>
      </c>
      <c r="E69" s="9">
        <v>0.988388055531221</v>
      </c>
      <c r="F69" s="9">
        <v>0.988388055531221</v>
      </c>
      <c r="G69" s="9">
        <v>0.988388055531221</v>
      </c>
      <c r="H69" s="9">
        <v>0.988388055531221</v>
      </c>
      <c r="I69" s="9">
        <v>0.988388055531221</v>
      </c>
      <c r="J69" s="9">
        <v>0.988388055531221</v>
      </c>
      <c r="K69" s="9">
        <v>0.988388055531221</v>
      </c>
      <c r="L69" s="15">
        <v>0.988388055531221</v>
      </c>
    </row>
    <row r="70" spans="2:12" x14ac:dyDescent="0.35">
      <c r="B70" s="49">
        <v>24875.204261545659</v>
      </c>
      <c r="C70" s="21">
        <v>0.98942983636457826</v>
      </c>
      <c r="D70" s="9">
        <v>0.98942983636457826</v>
      </c>
      <c r="E70" s="9">
        <v>0.98942983636457826</v>
      </c>
      <c r="F70" s="9">
        <v>0.98942983636457826</v>
      </c>
      <c r="G70" s="9">
        <v>0.98942983636457826</v>
      </c>
      <c r="H70" s="9">
        <v>0.98942983636457826</v>
      </c>
      <c r="I70" s="9">
        <v>0.98942983636457826</v>
      </c>
      <c r="J70" s="9">
        <v>0.98942983636457826</v>
      </c>
      <c r="K70" s="9">
        <v>0.98942983636457826</v>
      </c>
      <c r="L70" s="15">
        <v>0.98942983636457826</v>
      </c>
    </row>
    <row r="71" spans="2:12" x14ac:dyDescent="0.35">
      <c r="B71" s="49">
        <v>25548.87290728579</v>
      </c>
      <c r="C71" s="21">
        <v>0.99235167530696677</v>
      </c>
      <c r="D71" s="9">
        <v>0.99235167530696677</v>
      </c>
      <c r="E71" s="9">
        <v>0.99235167530696677</v>
      </c>
      <c r="F71" s="9">
        <v>0.99235167530696677</v>
      </c>
      <c r="G71" s="9">
        <v>0.99235167530696677</v>
      </c>
      <c r="H71" s="9">
        <v>0.99235167530696677</v>
      </c>
      <c r="I71" s="9">
        <v>0.99235167530696677</v>
      </c>
      <c r="J71" s="9">
        <v>0.99235167530696677</v>
      </c>
      <c r="K71" s="9">
        <v>0.99235167530696677</v>
      </c>
      <c r="L71" s="15">
        <v>0.99235167530696677</v>
      </c>
    </row>
    <row r="72" spans="2:12" x14ac:dyDescent="0.35">
      <c r="B72" s="49">
        <v>26222.54155302592</v>
      </c>
      <c r="C72" s="21">
        <v>0.99403410045471807</v>
      </c>
      <c r="D72" s="9">
        <v>0.99403410045471807</v>
      </c>
      <c r="E72" s="9">
        <v>0.99403410045471807</v>
      </c>
      <c r="F72" s="9">
        <v>0.99403410045471807</v>
      </c>
      <c r="G72" s="9">
        <v>0.99403410045471807</v>
      </c>
      <c r="H72" s="9">
        <v>0.99403410045471807</v>
      </c>
      <c r="I72" s="9">
        <v>0.99403410045471807</v>
      </c>
      <c r="J72" s="9">
        <v>0.99403410045471807</v>
      </c>
      <c r="K72" s="9">
        <v>0.99403410045471807</v>
      </c>
      <c r="L72" s="15">
        <v>0.99403410045471807</v>
      </c>
    </row>
    <row r="73" spans="2:12" x14ac:dyDescent="0.35">
      <c r="B73" s="49">
        <v>26896.210198766043</v>
      </c>
      <c r="C73" s="21">
        <v>0.99445445651161157</v>
      </c>
      <c r="D73" s="9">
        <v>0.99445445651161157</v>
      </c>
      <c r="E73" s="9">
        <v>0.99445445651161157</v>
      </c>
      <c r="F73" s="9">
        <v>0.99445445651161157</v>
      </c>
      <c r="G73" s="9">
        <v>0.99445445651161157</v>
      </c>
      <c r="H73" s="9">
        <v>0.99445445651161157</v>
      </c>
      <c r="I73" s="9">
        <v>0.99445445651161157</v>
      </c>
      <c r="J73" s="9">
        <v>0.99445445651161157</v>
      </c>
      <c r="K73" s="9">
        <v>0.99445445651161157</v>
      </c>
      <c r="L73" s="15">
        <v>0.99445445651161157</v>
      </c>
    </row>
    <row r="74" spans="2:12" x14ac:dyDescent="0.35">
      <c r="B74" s="49">
        <v>27569.878844506176</v>
      </c>
      <c r="C74" s="21">
        <v>0.99487481256850518</v>
      </c>
      <c r="D74" s="9">
        <v>0.99487481256850518</v>
      </c>
      <c r="E74" s="9">
        <v>0.99487481256850518</v>
      </c>
      <c r="F74" s="9">
        <v>0.99487481256850518</v>
      </c>
      <c r="G74" s="9">
        <v>0.99487481256850518</v>
      </c>
      <c r="H74" s="9">
        <v>0.99487481256850518</v>
      </c>
      <c r="I74" s="9">
        <v>0.99487481256850518</v>
      </c>
      <c r="J74" s="9">
        <v>0.99487481256850518</v>
      </c>
      <c r="K74" s="9">
        <v>0.99487481256850518</v>
      </c>
      <c r="L74" s="15">
        <v>0.99487481256850518</v>
      </c>
    </row>
    <row r="75" spans="2:12" x14ac:dyDescent="0.35">
      <c r="B75" s="49">
        <v>28243.547490246303</v>
      </c>
      <c r="C75" s="21">
        <v>0.99529516862539869</v>
      </c>
      <c r="D75" s="9">
        <v>0.99529516862539869</v>
      </c>
      <c r="E75" s="9">
        <v>0.99529516862539869</v>
      </c>
      <c r="F75" s="9">
        <v>0.99529516862539869</v>
      </c>
      <c r="G75" s="9">
        <v>0.99529516862539869</v>
      </c>
      <c r="H75" s="9">
        <v>0.99529516862539869</v>
      </c>
      <c r="I75" s="9">
        <v>0.99529516862539869</v>
      </c>
      <c r="J75" s="9">
        <v>0.99529516862539869</v>
      </c>
      <c r="K75" s="9">
        <v>0.99529516862539869</v>
      </c>
      <c r="L75" s="15">
        <v>0.99529516862539869</v>
      </c>
    </row>
    <row r="76" spans="2:12" x14ac:dyDescent="0.35">
      <c r="B76" s="49">
        <v>28917.216135986437</v>
      </c>
      <c r="C76" s="21">
        <v>0.99571552468229207</v>
      </c>
      <c r="D76" s="9">
        <v>0.99571552468229207</v>
      </c>
      <c r="E76" s="9">
        <v>0.99571552468229207</v>
      </c>
      <c r="F76" s="9">
        <v>0.99571552468229207</v>
      </c>
      <c r="G76" s="9">
        <v>0.99571552468229207</v>
      </c>
      <c r="H76" s="9">
        <v>0.99571552468229207</v>
      </c>
      <c r="I76" s="9">
        <v>0.99571552468229207</v>
      </c>
      <c r="J76" s="9">
        <v>0.99571552468229207</v>
      </c>
      <c r="K76" s="9">
        <v>0.99571552468229207</v>
      </c>
      <c r="L76" s="15">
        <v>0.99571552468229207</v>
      </c>
    </row>
    <row r="77" spans="2:12" x14ac:dyDescent="0.35">
      <c r="B77" s="49">
        <v>29590.884781726563</v>
      </c>
      <c r="C77" s="21">
        <v>0.99612433498912056</v>
      </c>
      <c r="D77" s="9">
        <v>0.99612433498912056</v>
      </c>
      <c r="E77" s="9">
        <v>0.99612433498912056</v>
      </c>
      <c r="F77" s="9">
        <v>0.99612433498912056</v>
      </c>
      <c r="G77" s="9">
        <v>0.99612433498912056</v>
      </c>
      <c r="H77" s="9">
        <v>0.99612433498912056</v>
      </c>
      <c r="I77" s="9">
        <v>0.99612433498912056</v>
      </c>
      <c r="J77" s="9">
        <v>0.99612433498912056</v>
      </c>
      <c r="K77" s="9">
        <v>0.99612433498912056</v>
      </c>
      <c r="L77" s="15">
        <v>0.99612433498912056</v>
      </c>
    </row>
    <row r="78" spans="2:12" x14ac:dyDescent="0.35">
      <c r="B78" s="49">
        <v>30264.553427466697</v>
      </c>
      <c r="C78" s="21">
        <v>0.99650897350429135</v>
      </c>
      <c r="D78" s="9">
        <v>0.99650897350429135</v>
      </c>
      <c r="E78" s="9">
        <v>0.99650897350429135</v>
      </c>
      <c r="F78" s="9">
        <v>0.99650897350429135</v>
      </c>
      <c r="G78" s="9">
        <v>0.99650897350429135</v>
      </c>
      <c r="H78" s="9">
        <v>0.99650897350429135</v>
      </c>
      <c r="I78" s="9">
        <v>0.99650897350429135</v>
      </c>
      <c r="J78" s="9">
        <v>0.99650897350429135</v>
      </c>
      <c r="K78" s="9">
        <v>0.99650897350429135</v>
      </c>
      <c r="L78" s="15">
        <v>0.99650897350429135</v>
      </c>
    </row>
    <row r="79" spans="2:12" x14ac:dyDescent="0.35">
      <c r="B79" s="49">
        <v>30938.22207320682</v>
      </c>
      <c r="C79" s="21">
        <v>0.99689361201946203</v>
      </c>
      <c r="D79" s="9">
        <v>0.99689361201946203</v>
      </c>
      <c r="E79" s="9">
        <v>0.99689361201946203</v>
      </c>
      <c r="F79" s="9">
        <v>0.99689361201946203</v>
      </c>
      <c r="G79" s="9">
        <v>0.99689361201946203</v>
      </c>
      <c r="H79" s="9">
        <v>0.99689361201946203</v>
      </c>
      <c r="I79" s="9">
        <v>0.99689361201946203</v>
      </c>
      <c r="J79" s="9">
        <v>0.99689361201946203</v>
      </c>
      <c r="K79" s="9">
        <v>0.99689361201946203</v>
      </c>
      <c r="L79" s="15">
        <v>0.99689361201946203</v>
      </c>
    </row>
    <row r="80" spans="2:12" x14ac:dyDescent="0.35">
      <c r="B80" s="49">
        <v>31611.89071894695</v>
      </c>
      <c r="C80" s="21">
        <v>0.9972782505346327</v>
      </c>
      <c r="D80" s="9">
        <v>0.9972782505346327</v>
      </c>
      <c r="E80" s="9">
        <v>0.9972782505346327</v>
      </c>
      <c r="F80" s="9">
        <v>0.9972782505346327</v>
      </c>
      <c r="G80" s="9">
        <v>0.9972782505346327</v>
      </c>
      <c r="H80" s="9">
        <v>0.9972782505346327</v>
      </c>
      <c r="I80" s="9">
        <v>0.9972782505346327</v>
      </c>
      <c r="J80" s="9">
        <v>0.9972782505346327</v>
      </c>
      <c r="K80" s="9">
        <v>0.9972782505346327</v>
      </c>
      <c r="L80" s="15">
        <v>0.9972782505346327</v>
      </c>
    </row>
    <row r="81" spans="2:12" x14ac:dyDescent="0.35">
      <c r="B81" s="49">
        <v>32285.55936468708</v>
      </c>
      <c r="C81" s="21">
        <v>0.99766288904980327</v>
      </c>
      <c r="D81" s="9">
        <v>0.99766288904980327</v>
      </c>
      <c r="E81" s="9">
        <v>0.99766288904980327</v>
      </c>
      <c r="F81" s="9">
        <v>0.99766288904980327</v>
      </c>
      <c r="G81" s="9">
        <v>0.99766288904980327</v>
      </c>
      <c r="H81" s="9">
        <v>0.99766288904980327</v>
      </c>
      <c r="I81" s="9">
        <v>0.99766288904980327</v>
      </c>
      <c r="J81" s="9">
        <v>0.99766288904980327</v>
      </c>
      <c r="K81" s="9">
        <v>0.99766288904980327</v>
      </c>
      <c r="L81" s="15">
        <v>0.99766288904980327</v>
      </c>
    </row>
    <row r="82" spans="2:12" x14ac:dyDescent="0.35">
      <c r="B82" s="49">
        <v>32959.228010427207</v>
      </c>
      <c r="C82" s="21">
        <v>0.99804035696631843</v>
      </c>
      <c r="D82" s="9">
        <v>0.99804035696631843</v>
      </c>
      <c r="E82" s="9">
        <v>0.99804035696631843</v>
      </c>
      <c r="F82" s="9">
        <v>0.99804035696631843</v>
      </c>
      <c r="G82" s="9">
        <v>0.99804035696631843</v>
      </c>
      <c r="H82" s="9">
        <v>0.99804035696631843</v>
      </c>
      <c r="I82" s="9">
        <v>0.99804035696631843</v>
      </c>
      <c r="J82" s="9">
        <v>0.99804035696631843</v>
      </c>
      <c r="K82" s="9">
        <v>0.99804035696631843</v>
      </c>
      <c r="L82" s="15">
        <v>0.99804035696631843</v>
      </c>
    </row>
    <row r="83" spans="2:12" x14ac:dyDescent="0.35">
      <c r="B83" s="49">
        <v>33632.896656167344</v>
      </c>
      <c r="C83" s="21">
        <v>0.99836696413859871</v>
      </c>
      <c r="D83" s="9">
        <v>0.99836696413859871</v>
      </c>
      <c r="E83" s="9">
        <v>0.99836696413859871</v>
      </c>
      <c r="F83" s="9">
        <v>0.99836696413859871</v>
      </c>
      <c r="G83" s="9">
        <v>0.99836696413859871</v>
      </c>
      <c r="H83" s="9">
        <v>0.99836696413859871</v>
      </c>
      <c r="I83" s="9">
        <v>0.99836696413859871</v>
      </c>
      <c r="J83" s="9">
        <v>0.99836696413859871</v>
      </c>
      <c r="K83" s="9">
        <v>0.99836696413859871</v>
      </c>
      <c r="L83" s="15">
        <v>0.99836696413859871</v>
      </c>
    </row>
    <row r="84" spans="2:12" x14ac:dyDescent="0.35">
      <c r="B84" s="49">
        <v>34306.565301907474</v>
      </c>
      <c r="C84" s="21">
        <v>0.99869357131087899</v>
      </c>
      <c r="D84" s="9">
        <v>0.99869357131087899</v>
      </c>
      <c r="E84" s="9">
        <v>0.99869357131087899</v>
      </c>
      <c r="F84" s="9">
        <v>0.99869357131087899</v>
      </c>
      <c r="G84" s="9">
        <v>0.99869357131087899</v>
      </c>
      <c r="H84" s="9">
        <v>0.99869357131087899</v>
      </c>
      <c r="I84" s="9">
        <v>0.99869357131087899</v>
      </c>
      <c r="J84" s="9">
        <v>0.99869357131087899</v>
      </c>
      <c r="K84" s="9">
        <v>0.99869357131087899</v>
      </c>
      <c r="L84" s="15">
        <v>0.99869357131087899</v>
      </c>
    </row>
    <row r="85" spans="2:12" x14ac:dyDescent="0.35">
      <c r="B85" s="49">
        <v>34980.233947647597</v>
      </c>
      <c r="C85" s="21">
        <v>0.99902017848315927</v>
      </c>
      <c r="D85" s="9">
        <v>0.99902017848315927</v>
      </c>
      <c r="E85" s="9">
        <v>0.99902017848315927</v>
      </c>
      <c r="F85" s="9">
        <v>0.99902017848315927</v>
      </c>
      <c r="G85" s="9">
        <v>0.99902017848315927</v>
      </c>
      <c r="H85" s="9">
        <v>0.99902017848315927</v>
      </c>
      <c r="I85" s="9">
        <v>0.99902017848315927</v>
      </c>
      <c r="J85" s="9">
        <v>0.99902017848315927</v>
      </c>
      <c r="K85" s="9">
        <v>0.99902017848315927</v>
      </c>
      <c r="L85" s="15">
        <v>0.99902017848315927</v>
      </c>
    </row>
    <row r="86" spans="2:12" x14ac:dyDescent="0.35">
      <c r="B86" s="49">
        <v>35653.902593387727</v>
      </c>
      <c r="C86" s="21">
        <v>0.99934678565543944</v>
      </c>
      <c r="D86" s="9">
        <v>0.99934678565543944</v>
      </c>
      <c r="E86" s="9">
        <v>0.99934678565543944</v>
      </c>
      <c r="F86" s="9">
        <v>0.99934678565543944</v>
      </c>
      <c r="G86" s="9">
        <v>0.99934678565543944</v>
      </c>
      <c r="H86" s="9">
        <v>0.99934678565543944</v>
      </c>
      <c r="I86" s="9">
        <v>0.99934678565543944</v>
      </c>
      <c r="J86" s="9">
        <v>0.99934678565543944</v>
      </c>
      <c r="K86" s="9">
        <v>0.99934678565543944</v>
      </c>
      <c r="L86" s="15">
        <v>0.99934678565543944</v>
      </c>
    </row>
    <row r="87" spans="2:12" x14ac:dyDescent="0.35">
      <c r="B87" s="49">
        <v>36327.571239127858</v>
      </c>
      <c r="C87" s="21">
        <v>0.99967339282771983</v>
      </c>
      <c r="D87" s="9">
        <v>0.99967339282771983</v>
      </c>
      <c r="E87" s="9">
        <v>0.99967339282771983</v>
      </c>
      <c r="F87" s="9">
        <v>0.99967339282771983</v>
      </c>
      <c r="G87" s="9">
        <v>0.99967339282771983</v>
      </c>
      <c r="H87" s="9">
        <v>0.99967339282771983</v>
      </c>
      <c r="I87" s="9">
        <v>0.99967339282771983</v>
      </c>
      <c r="J87" s="9">
        <v>0.99967339282771983</v>
      </c>
      <c r="K87" s="9">
        <v>0.99967339282771983</v>
      </c>
      <c r="L87" s="15">
        <v>0.99967339282771983</v>
      </c>
    </row>
    <row r="88" spans="2:12" ht="15" thickBot="1" x14ac:dyDescent="0.4">
      <c r="B88" s="50">
        <v>37001.239884867988</v>
      </c>
      <c r="C88" s="22">
        <v>1</v>
      </c>
      <c r="D88" s="17">
        <v>1</v>
      </c>
      <c r="E88" s="17">
        <v>1</v>
      </c>
      <c r="F88" s="17">
        <v>1</v>
      </c>
      <c r="G88" s="17">
        <v>1</v>
      </c>
      <c r="H88" s="17">
        <v>1</v>
      </c>
      <c r="I88" s="17">
        <v>1</v>
      </c>
      <c r="J88" s="17">
        <v>1</v>
      </c>
      <c r="K88" s="17">
        <v>1</v>
      </c>
      <c r="L88" s="18">
        <v>1</v>
      </c>
    </row>
  </sheetData>
  <mergeCells count="2">
    <mergeCell ref="B24:C24"/>
    <mergeCell ref="D24:I2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C8C2-9F1F-4290-8265-27E0CC732FE8}">
  <dimension ref="B1:L231"/>
  <sheetViews>
    <sheetView showGridLines="0" topLeftCell="A4" zoomScale="84" workbookViewId="0">
      <selection activeCell="M209" sqref="M209"/>
    </sheetView>
  </sheetViews>
  <sheetFormatPr defaultColWidth="9.08984375" defaultRowHeight="14.5" x14ac:dyDescent="0.35"/>
  <cols>
    <col min="1" max="1" width="0.26953125" customWidth="1"/>
    <col min="2" max="2" width="15" bestFit="1" customWidth="1"/>
    <col min="3" max="12" width="9.81640625" bestFit="1" customWidth="1"/>
  </cols>
  <sheetData>
    <row r="1" s="6" customFormat="1" ht="102.5" customHeight="1" x14ac:dyDescent="0.45"/>
    <row r="67" spans="2:12" ht="15" thickBot="1" x14ac:dyDescent="0.4"/>
    <row r="68" spans="2:12" x14ac:dyDescent="0.35">
      <c r="B68" s="44" t="s">
        <v>155</v>
      </c>
      <c r="C68" s="45" t="s">
        <v>156</v>
      </c>
    </row>
    <row r="69" spans="2:12" x14ac:dyDescent="0.35">
      <c r="B69" s="51">
        <v>30</v>
      </c>
      <c r="C69" s="39">
        <v>7196.3302429742571</v>
      </c>
    </row>
    <row r="70" spans="2:12" x14ac:dyDescent="0.35">
      <c r="B70" s="52">
        <v>35.55555555555555</v>
      </c>
      <c r="C70" s="40">
        <v>7196.3302429742571</v>
      </c>
    </row>
    <row r="71" spans="2:12" x14ac:dyDescent="0.35">
      <c r="B71" s="52">
        <v>41.111111111111107</v>
      </c>
      <c r="C71" s="40">
        <v>7196.3302429742571</v>
      </c>
    </row>
    <row r="72" spans="2:12" x14ac:dyDescent="0.35">
      <c r="B72" s="52">
        <v>46.666666666666671</v>
      </c>
      <c r="C72" s="40">
        <v>7196.3302429742571</v>
      </c>
    </row>
    <row r="73" spans="2:12" x14ac:dyDescent="0.35">
      <c r="B73" s="52">
        <v>52.222222222222214</v>
      </c>
      <c r="C73" s="40">
        <v>7196.3302429742571</v>
      </c>
    </row>
    <row r="74" spans="2:12" x14ac:dyDescent="0.35">
      <c r="B74" s="52">
        <v>57.777777777777786</v>
      </c>
      <c r="C74" s="40">
        <v>7196.3302429742571</v>
      </c>
    </row>
    <row r="75" spans="2:12" x14ac:dyDescent="0.35">
      <c r="B75" s="52">
        <v>63.333333333333336</v>
      </c>
      <c r="C75" s="40">
        <v>7196.3302429742571</v>
      </c>
    </row>
    <row r="76" spans="2:12" x14ac:dyDescent="0.35">
      <c r="B76" s="52">
        <v>68.888888888888886</v>
      </c>
      <c r="C76" s="40">
        <v>7196.3302429742571</v>
      </c>
    </row>
    <row r="77" spans="2:12" x14ac:dyDescent="0.35">
      <c r="B77" s="52">
        <v>74.444444444444429</v>
      </c>
      <c r="C77" s="40">
        <v>7196.3302429742571</v>
      </c>
    </row>
    <row r="78" spans="2:12" ht="15" thickBot="1" x14ac:dyDescent="0.4">
      <c r="B78" s="53">
        <v>80</v>
      </c>
      <c r="C78" s="41">
        <v>7196.3302429742571</v>
      </c>
    </row>
    <row r="79" spans="2:12" ht="15" thickBot="1" x14ac:dyDescent="0.4"/>
    <row r="80" spans="2:12" x14ac:dyDescent="0.35">
      <c r="B80" s="44" t="s">
        <v>144</v>
      </c>
      <c r="C80" s="47" t="s">
        <v>145</v>
      </c>
      <c r="D80" s="47" t="s">
        <v>146</v>
      </c>
      <c r="E80" s="47" t="s">
        <v>147</v>
      </c>
      <c r="F80" s="47" t="s">
        <v>148</v>
      </c>
      <c r="G80" s="47" t="s">
        <v>149</v>
      </c>
      <c r="H80" s="47" t="s">
        <v>150</v>
      </c>
      <c r="I80" s="47" t="s">
        <v>151</v>
      </c>
      <c r="J80" s="47" t="s">
        <v>152</v>
      </c>
      <c r="K80" s="47" t="s">
        <v>153</v>
      </c>
      <c r="L80" s="45" t="s">
        <v>154</v>
      </c>
    </row>
    <row r="81" spans="2:12" x14ac:dyDescent="0.35">
      <c r="B81" s="49">
        <v>3317.807597861517</v>
      </c>
      <c r="C81" s="20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14">
        <v>0</v>
      </c>
    </row>
    <row r="82" spans="2:12" x14ac:dyDescent="0.35">
      <c r="B82" s="49">
        <v>3991.4762436016463</v>
      </c>
      <c r="C82" s="21">
        <v>2E-3</v>
      </c>
      <c r="D82" s="9">
        <v>2E-3</v>
      </c>
      <c r="E82" s="9">
        <v>2E-3</v>
      </c>
      <c r="F82" s="9">
        <v>2E-3</v>
      </c>
      <c r="G82" s="9">
        <v>2E-3</v>
      </c>
      <c r="H82" s="9">
        <v>2E-3</v>
      </c>
      <c r="I82" s="9">
        <v>2E-3</v>
      </c>
      <c r="J82" s="9">
        <v>2E-3</v>
      </c>
      <c r="K82" s="9">
        <v>2E-3</v>
      </c>
      <c r="L82" s="15">
        <v>2E-3</v>
      </c>
    </row>
    <row r="83" spans="2:12" x14ac:dyDescent="0.35">
      <c r="B83" s="49">
        <v>4665.1448893417755</v>
      </c>
      <c r="C83" s="21">
        <v>0.21920303171717423</v>
      </c>
      <c r="D83" s="9">
        <v>0.21920303171717423</v>
      </c>
      <c r="E83" s="9">
        <v>0.21920303171717423</v>
      </c>
      <c r="F83" s="9">
        <v>0.21920303171717423</v>
      </c>
      <c r="G83" s="9">
        <v>0.21920303171717423</v>
      </c>
      <c r="H83" s="9">
        <v>0.21920303171717423</v>
      </c>
      <c r="I83" s="9">
        <v>0.21920303171717423</v>
      </c>
      <c r="J83" s="9">
        <v>0.21920303171717423</v>
      </c>
      <c r="K83" s="9">
        <v>0.21920303171717423</v>
      </c>
      <c r="L83" s="15">
        <v>0.21920303171717423</v>
      </c>
    </row>
    <row r="84" spans="2:12" x14ac:dyDescent="0.35">
      <c r="B84" s="49">
        <v>5338.8135350819048</v>
      </c>
      <c r="C84" s="21">
        <v>0.34069733559047677</v>
      </c>
      <c r="D84" s="9">
        <v>0.34069733559047677</v>
      </c>
      <c r="E84" s="9">
        <v>0.34069733559047677</v>
      </c>
      <c r="F84" s="9">
        <v>0.34069733559047677</v>
      </c>
      <c r="G84" s="9">
        <v>0.34069733559047677</v>
      </c>
      <c r="H84" s="9">
        <v>0.34069733559047677</v>
      </c>
      <c r="I84" s="9">
        <v>0.34069733559047677</v>
      </c>
      <c r="J84" s="9">
        <v>0.34069733559047677</v>
      </c>
      <c r="K84" s="9">
        <v>0.34069733559047677</v>
      </c>
      <c r="L84" s="15">
        <v>0.34069733559047677</v>
      </c>
    </row>
    <row r="85" spans="2:12" x14ac:dyDescent="0.35">
      <c r="B85" s="49">
        <v>6012.4821808220349</v>
      </c>
      <c r="C85" s="21">
        <v>0.68341124172824907</v>
      </c>
      <c r="D85" s="9">
        <v>0.68341124172824907</v>
      </c>
      <c r="E85" s="9">
        <v>0.68341124172824907</v>
      </c>
      <c r="F85" s="9">
        <v>0.68341124172824907</v>
      </c>
      <c r="G85" s="9">
        <v>0.68341124172824907</v>
      </c>
      <c r="H85" s="9">
        <v>0.68341124172824907</v>
      </c>
      <c r="I85" s="9">
        <v>0.68341124172824907</v>
      </c>
      <c r="J85" s="9">
        <v>0.68341124172824907</v>
      </c>
      <c r="K85" s="9">
        <v>0.68341124172824907</v>
      </c>
      <c r="L85" s="15">
        <v>0.68341124172824907</v>
      </c>
    </row>
    <row r="86" spans="2:12" x14ac:dyDescent="0.35">
      <c r="B86" s="49">
        <v>6686.1508265621651</v>
      </c>
      <c r="C86" s="21">
        <v>0.75600645477964734</v>
      </c>
      <c r="D86" s="9">
        <v>0.75600645477964734</v>
      </c>
      <c r="E86" s="9">
        <v>0.75600645477964734</v>
      </c>
      <c r="F86" s="9">
        <v>0.75600645477964734</v>
      </c>
      <c r="G86" s="9">
        <v>0.75600645477964734</v>
      </c>
      <c r="H86" s="9">
        <v>0.75600645477964734</v>
      </c>
      <c r="I86" s="9">
        <v>0.75600645477964734</v>
      </c>
      <c r="J86" s="9">
        <v>0.75600645477964734</v>
      </c>
      <c r="K86" s="9">
        <v>0.75600645477964734</v>
      </c>
      <c r="L86" s="15">
        <v>0.75600645477964734</v>
      </c>
    </row>
    <row r="87" spans="2:12" x14ac:dyDescent="0.35">
      <c r="B87" s="49">
        <v>7359.8194723022934</v>
      </c>
      <c r="C87" s="21">
        <v>0.77619244983285607</v>
      </c>
      <c r="D87" s="9">
        <v>0.77619244983285607</v>
      </c>
      <c r="E87" s="9">
        <v>0.77619244983285607</v>
      </c>
      <c r="F87" s="9">
        <v>0.77619244983285607</v>
      </c>
      <c r="G87" s="9">
        <v>0.77619244983285607</v>
      </c>
      <c r="H87" s="9">
        <v>0.77619244983285607</v>
      </c>
      <c r="I87" s="9">
        <v>0.77619244983285607</v>
      </c>
      <c r="J87" s="9">
        <v>0.77619244983285607</v>
      </c>
      <c r="K87" s="9">
        <v>0.77619244983285607</v>
      </c>
      <c r="L87" s="15">
        <v>0.77619244983285607</v>
      </c>
    </row>
    <row r="88" spans="2:12" x14ac:dyDescent="0.35">
      <c r="B88" s="49">
        <v>8033.4881180424236</v>
      </c>
      <c r="C88" s="21">
        <v>0.8035606042178558</v>
      </c>
      <c r="D88" s="9">
        <v>0.8035606042178558</v>
      </c>
      <c r="E88" s="9">
        <v>0.8035606042178558</v>
      </c>
      <c r="F88" s="9">
        <v>0.8035606042178558</v>
      </c>
      <c r="G88" s="9">
        <v>0.8035606042178558</v>
      </c>
      <c r="H88" s="9">
        <v>0.8035606042178558</v>
      </c>
      <c r="I88" s="9">
        <v>0.8035606042178558</v>
      </c>
      <c r="J88" s="9">
        <v>0.8035606042178558</v>
      </c>
      <c r="K88" s="9">
        <v>0.8035606042178558</v>
      </c>
      <c r="L88" s="15">
        <v>0.8035606042178558</v>
      </c>
    </row>
    <row r="89" spans="2:12" x14ac:dyDescent="0.35">
      <c r="B89" s="49">
        <v>8707.1567637825519</v>
      </c>
      <c r="C89" s="21">
        <v>0.82254184796191532</v>
      </c>
      <c r="D89" s="9">
        <v>0.82254184796191532</v>
      </c>
      <c r="E89" s="9">
        <v>0.82254184796191532</v>
      </c>
      <c r="F89" s="9">
        <v>0.82254184796191532</v>
      </c>
      <c r="G89" s="9">
        <v>0.82254184796191532</v>
      </c>
      <c r="H89" s="9">
        <v>0.82254184796191532</v>
      </c>
      <c r="I89" s="9">
        <v>0.82254184796191532</v>
      </c>
      <c r="J89" s="9">
        <v>0.82254184796191532</v>
      </c>
      <c r="K89" s="9">
        <v>0.82254184796191532</v>
      </c>
      <c r="L89" s="15">
        <v>0.82254184796191532</v>
      </c>
    </row>
    <row r="90" spans="2:12" x14ac:dyDescent="0.35">
      <c r="B90" s="49">
        <v>9380.8254095226821</v>
      </c>
      <c r="C90" s="21">
        <v>0.82786730252060259</v>
      </c>
      <c r="D90" s="9">
        <v>0.82786730252060259</v>
      </c>
      <c r="E90" s="9">
        <v>0.82786730252060259</v>
      </c>
      <c r="F90" s="9">
        <v>0.82786730252060259</v>
      </c>
      <c r="G90" s="9">
        <v>0.82786730252060259</v>
      </c>
      <c r="H90" s="9">
        <v>0.82786730252060259</v>
      </c>
      <c r="I90" s="9">
        <v>0.82786730252060259</v>
      </c>
      <c r="J90" s="9">
        <v>0.82786730252060259</v>
      </c>
      <c r="K90" s="9">
        <v>0.82786730252060259</v>
      </c>
      <c r="L90" s="15">
        <v>0.82786730252060259</v>
      </c>
    </row>
    <row r="91" spans="2:12" x14ac:dyDescent="0.35">
      <c r="B91" s="49">
        <v>10054.494055262812</v>
      </c>
      <c r="C91" s="21">
        <v>0.84098113889881931</v>
      </c>
      <c r="D91" s="9">
        <v>0.84098113889881931</v>
      </c>
      <c r="E91" s="9">
        <v>0.84098113889881931</v>
      </c>
      <c r="F91" s="9">
        <v>0.84098113889881931</v>
      </c>
      <c r="G91" s="9">
        <v>0.84098113889881931</v>
      </c>
      <c r="H91" s="9">
        <v>0.84098113889881931</v>
      </c>
      <c r="I91" s="9">
        <v>0.84098113889881931</v>
      </c>
      <c r="J91" s="9">
        <v>0.84098113889881931</v>
      </c>
      <c r="K91" s="9">
        <v>0.84098113889881931</v>
      </c>
      <c r="L91" s="15">
        <v>0.84098113889881931</v>
      </c>
    </row>
    <row r="92" spans="2:12" x14ac:dyDescent="0.35">
      <c r="B92" s="49">
        <v>10728.162701002941</v>
      </c>
      <c r="C92" s="21">
        <v>0.8500985139738586</v>
      </c>
      <c r="D92" s="9">
        <v>0.8500985139738586</v>
      </c>
      <c r="E92" s="9">
        <v>0.8500985139738586</v>
      </c>
      <c r="F92" s="9">
        <v>0.8500985139738586</v>
      </c>
      <c r="G92" s="9">
        <v>0.8500985139738586</v>
      </c>
      <c r="H92" s="9">
        <v>0.8500985139738586</v>
      </c>
      <c r="I92" s="9">
        <v>0.8500985139738586</v>
      </c>
      <c r="J92" s="9">
        <v>0.8500985139738586</v>
      </c>
      <c r="K92" s="9">
        <v>0.8500985139738586</v>
      </c>
      <c r="L92" s="15">
        <v>0.8500985139738586</v>
      </c>
    </row>
    <row r="93" spans="2:12" x14ac:dyDescent="0.35">
      <c r="B93" s="49">
        <v>11401.831346743071</v>
      </c>
      <c r="C93" s="21">
        <v>0.87013170113558558</v>
      </c>
      <c r="D93" s="9">
        <v>0.87013170113558558</v>
      </c>
      <c r="E93" s="9">
        <v>0.87013170113558558</v>
      </c>
      <c r="F93" s="9">
        <v>0.87013170113558558</v>
      </c>
      <c r="G93" s="9">
        <v>0.87013170113558558</v>
      </c>
      <c r="H93" s="9">
        <v>0.87013170113558558</v>
      </c>
      <c r="I93" s="9">
        <v>0.87013170113558558</v>
      </c>
      <c r="J93" s="9">
        <v>0.87013170113558558</v>
      </c>
      <c r="K93" s="9">
        <v>0.87013170113558558</v>
      </c>
      <c r="L93" s="15">
        <v>0.87013170113558558</v>
      </c>
    </row>
    <row r="94" spans="2:12" x14ac:dyDescent="0.35">
      <c r="B94" s="49">
        <v>12075.499992483199</v>
      </c>
      <c r="C94" s="21">
        <v>0.88681421469995891</v>
      </c>
      <c r="D94" s="9">
        <v>0.88681421469995891</v>
      </c>
      <c r="E94" s="9">
        <v>0.88681421469995891</v>
      </c>
      <c r="F94" s="9">
        <v>0.88681421469995891</v>
      </c>
      <c r="G94" s="9">
        <v>0.88681421469995891</v>
      </c>
      <c r="H94" s="9">
        <v>0.88681421469995891</v>
      </c>
      <c r="I94" s="9">
        <v>0.88681421469995891</v>
      </c>
      <c r="J94" s="9">
        <v>0.88681421469995891</v>
      </c>
      <c r="K94" s="9">
        <v>0.88681421469995891</v>
      </c>
      <c r="L94" s="15">
        <v>0.88681421469995891</v>
      </c>
    </row>
    <row r="95" spans="2:12" x14ac:dyDescent="0.35">
      <c r="B95" s="49">
        <v>12749.168638223329</v>
      </c>
      <c r="C95" s="21">
        <v>0.89884825934554202</v>
      </c>
      <c r="D95" s="9">
        <v>0.89884825934554202</v>
      </c>
      <c r="E95" s="9">
        <v>0.89884825934554202</v>
      </c>
      <c r="F95" s="9">
        <v>0.89884825934554202</v>
      </c>
      <c r="G95" s="9">
        <v>0.89884825934554202</v>
      </c>
      <c r="H95" s="9">
        <v>0.89884825934554202</v>
      </c>
      <c r="I95" s="9">
        <v>0.89884825934554202</v>
      </c>
      <c r="J95" s="9">
        <v>0.89884825934554202</v>
      </c>
      <c r="K95" s="9">
        <v>0.89884825934554202</v>
      </c>
      <c r="L95" s="15">
        <v>0.89884825934554202</v>
      </c>
    </row>
    <row r="96" spans="2:12" x14ac:dyDescent="0.35">
      <c r="B96" s="49">
        <v>13422.837283963458</v>
      </c>
      <c r="C96" s="21">
        <v>0.90940310351358611</v>
      </c>
      <c r="D96" s="9">
        <v>0.90940310351358611</v>
      </c>
      <c r="E96" s="9">
        <v>0.90940310351358611</v>
      </c>
      <c r="F96" s="9">
        <v>0.90940310351358611</v>
      </c>
      <c r="G96" s="9">
        <v>0.90940310351358611</v>
      </c>
      <c r="H96" s="9">
        <v>0.90940310351358611</v>
      </c>
      <c r="I96" s="9">
        <v>0.90940310351358611</v>
      </c>
      <c r="J96" s="9">
        <v>0.90940310351358611</v>
      </c>
      <c r="K96" s="9">
        <v>0.90940310351358611</v>
      </c>
      <c r="L96" s="15">
        <v>0.90940310351358611</v>
      </c>
    </row>
    <row r="97" spans="2:12" x14ac:dyDescent="0.35">
      <c r="B97" s="49">
        <v>14096.505929703588</v>
      </c>
      <c r="C97" s="21">
        <v>0.91700505679532085</v>
      </c>
      <c r="D97" s="9">
        <v>0.91700505679532085</v>
      </c>
      <c r="E97" s="9">
        <v>0.91700505679532085</v>
      </c>
      <c r="F97" s="9">
        <v>0.91700505679532085</v>
      </c>
      <c r="G97" s="9">
        <v>0.91700505679532085</v>
      </c>
      <c r="H97" s="9">
        <v>0.91700505679532085</v>
      </c>
      <c r="I97" s="9">
        <v>0.91700505679532085</v>
      </c>
      <c r="J97" s="9">
        <v>0.91700505679532085</v>
      </c>
      <c r="K97" s="9">
        <v>0.91700505679532085</v>
      </c>
      <c r="L97" s="15">
        <v>0.91700505679532085</v>
      </c>
    </row>
    <row r="98" spans="2:12" x14ac:dyDescent="0.35">
      <c r="B98" s="49">
        <v>14770.174575443718</v>
      </c>
      <c r="C98" s="21">
        <v>0.91973794890050786</v>
      </c>
      <c r="D98" s="9">
        <v>0.91973794890050786</v>
      </c>
      <c r="E98" s="9">
        <v>0.91973794890050786</v>
      </c>
      <c r="F98" s="9">
        <v>0.91973794890050786</v>
      </c>
      <c r="G98" s="9">
        <v>0.91973794890050786</v>
      </c>
      <c r="H98" s="9">
        <v>0.91973794890050786</v>
      </c>
      <c r="I98" s="9">
        <v>0.91973794890050786</v>
      </c>
      <c r="J98" s="9">
        <v>0.91973794890050786</v>
      </c>
      <c r="K98" s="9">
        <v>0.91973794890050786</v>
      </c>
      <c r="L98" s="15">
        <v>0.91973794890050786</v>
      </c>
    </row>
    <row r="99" spans="2:12" x14ac:dyDescent="0.35">
      <c r="B99" s="49">
        <v>15443.843221183846</v>
      </c>
      <c r="C99" s="21">
        <v>0.92344622982341629</v>
      </c>
      <c r="D99" s="9">
        <v>0.92344622982341629</v>
      </c>
      <c r="E99" s="9">
        <v>0.92344622982341629</v>
      </c>
      <c r="F99" s="9">
        <v>0.92344622982341629</v>
      </c>
      <c r="G99" s="9">
        <v>0.92344622982341629</v>
      </c>
      <c r="H99" s="9">
        <v>0.92344622982341629</v>
      </c>
      <c r="I99" s="9">
        <v>0.92344622982341629</v>
      </c>
      <c r="J99" s="9">
        <v>0.92344622982341629</v>
      </c>
      <c r="K99" s="9">
        <v>0.92344622982341629</v>
      </c>
      <c r="L99" s="15">
        <v>0.92344622982341629</v>
      </c>
    </row>
    <row r="100" spans="2:12" x14ac:dyDescent="0.35">
      <c r="B100" s="49">
        <v>16117.511866923976</v>
      </c>
      <c r="C100" s="21">
        <v>0.93823279021188966</v>
      </c>
      <c r="D100" s="9">
        <v>0.93823279021188966</v>
      </c>
      <c r="E100" s="9">
        <v>0.93823279021188966</v>
      </c>
      <c r="F100" s="9">
        <v>0.93823279021188966</v>
      </c>
      <c r="G100" s="9">
        <v>0.93823279021188966</v>
      </c>
      <c r="H100" s="9">
        <v>0.93823279021188966</v>
      </c>
      <c r="I100" s="9">
        <v>0.93823279021188966</v>
      </c>
      <c r="J100" s="9">
        <v>0.93823279021188966</v>
      </c>
      <c r="K100" s="9">
        <v>0.93823279021188966</v>
      </c>
      <c r="L100" s="15">
        <v>0.93823279021188966</v>
      </c>
    </row>
    <row r="101" spans="2:12" x14ac:dyDescent="0.35">
      <c r="B101" s="49">
        <v>16791.180512664105</v>
      </c>
      <c r="C101" s="21">
        <v>0.94461216292766437</v>
      </c>
      <c r="D101" s="9">
        <v>0.94461216292766437</v>
      </c>
      <c r="E101" s="9">
        <v>0.94461216292766437</v>
      </c>
      <c r="F101" s="9">
        <v>0.94461216292766437</v>
      </c>
      <c r="G101" s="9">
        <v>0.94461216292766437</v>
      </c>
      <c r="H101" s="9">
        <v>0.94461216292766437</v>
      </c>
      <c r="I101" s="9">
        <v>0.94461216292766437</v>
      </c>
      <c r="J101" s="9">
        <v>0.94461216292766437</v>
      </c>
      <c r="K101" s="9">
        <v>0.94461216292766437</v>
      </c>
      <c r="L101" s="15">
        <v>0.94461216292766437</v>
      </c>
    </row>
    <row r="102" spans="2:12" x14ac:dyDescent="0.35">
      <c r="B102" s="49">
        <v>17464.849158404235</v>
      </c>
      <c r="C102" s="21">
        <v>0.94724465371027433</v>
      </c>
      <c r="D102" s="9">
        <v>0.94724465371027433</v>
      </c>
      <c r="E102" s="9">
        <v>0.94724465371027433</v>
      </c>
      <c r="F102" s="9">
        <v>0.94724465371027433</v>
      </c>
      <c r="G102" s="9">
        <v>0.94724465371027433</v>
      </c>
      <c r="H102" s="9">
        <v>0.94724465371027433</v>
      </c>
      <c r="I102" s="9">
        <v>0.94724465371027433</v>
      </c>
      <c r="J102" s="9">
        <v>0.94724465371027433</v>
      </c>
      <c r="K102" s="9">
        <v>0.94724465371027433</v>
      </c>
      <c r="L102" s="15">
        <v>0.94724465371027433</v>
      </c>
    </row>
    <row r="103" spans="2:12" x14ac:dyDescent="0.35">
      <c r="B103" s="49">
        <v>18138.517804144365</v>
      </c>
      <c r="C103" s="21">
        <v>0.95001489750158474</v>
      </c>
      <c r="D103" s="9">
        <v>0.95001489750158474</v>
      </c>
      <c r="E103" s="9">
        <v>0.95001489750158474</v>
      </c>
      <c r="F103" s="9">
        <v>0.95001489750158474</v>
      </c>
      <c r="G103" s="9">
        <v>0.95001489750158474</v>
      </c>
      <c r="H103" s="9">
        <v>0.95001489750158474</v>
      </c>
      <c r="I103" s="9">
        <v>0.95001489750158474</v>
      </c>
      <c r="J103" s="9">
        <v>0.95001489750158474</v>
      </c>
      <c r="K103" s="9">
        <v>0.95001489750158474</v>
      </c>
      <c r="L103" s="15">
        <v>0.95001489750158474</v>
      </c>
    </row>
    <row r="104" spans="2:12" x14ac:dyDescent="0.35">
      <c r="B104" s="49">
        <v>18812.186449884495</v>
      </c>
      <c r="C104" s="21">
        <v>0.95774473523854498</v>
      </c>
      <c r="D104" s="9">
        <v>0.95774473523854498</v>
      </c>
      <c r="E104" s="9">
        <v>0.95774473523854498</v>
      </c>
      <c r="F104" s="9">
        <v>0.95774473523854498</v>
      </c>
      <c r="G104" s="9">
        <v>0.95774473523854498</v>
      </c>
      <c r="H104" s="9">
        <v>0.95774473523854498</v>
      </c>
      <c r="I104" s="9">
        <v>0.95774473523854498</v>
      </c>
      <c r="J104" s="9">
        <v>0.95774473523854498</v>
      </c>
      <c r="K104" s="9">
        <v>0.95774473523854498</v>
      </c>
      <c r="L104" s="15">
        <v>0.95774473523854498</v>
      </c>
    </row>
    <row r="105" spans="2:12" x14ac:dyDescent="0.35">
      <c r="B105" s="49">
        <v>19485.855095624625</v>
      </c>
      <c r="C105" s="21">
        <v>0.96082059490505967</v>
      </c>
      <c r="D105" s="9">
        <v>0.96082059490505967</v>
      </c>
      <c r="E105" s="9">
        <v>0.96082059490505967</v>
      </c>
      <c r="F105" s="9">
        <v>0.96082059490505967</v>
      </c>
      <c r="G105" s="9">
        <v>0.96082059490505967</v>
      </c>
      <c r="H105" s="9">
        <v>0.96082059490505967</v>
      </c>
      <c r="I105" s="9">
        <v>0.96082059490505967</v>
      </c>
      <c r="J105" s="9">
        <v>0.96082059490505967</v>
      </c>
      <c r="K105" s="9">
        <v>0.96082059490505967</v>
      </c>
      <c r="L105" s="15">
        <v>0.96082059490505967</v>
      </c>
    </row>
    <row r="106" spans="2:12" x14ac:dyDescent="0.35">
      <c r="B106" s="49">
        <v>20159.523741364752</v>
      </c>
      <c r="C106" s="21">
        <v>0.96314438787751755</v>
      </c>
      <c r="D106" s="9">
        <v>0.96314438787751755</v>
      </c>
      <c r="E106" s="9">
        <v>0.96314438787751755</v>
      </c>
      <c r="F106" s="9">
        <v>0.96314438787751755</v>
      </c>
      <c r="G106" s="9">
        <v>0.96314438787751755</v>
      </c>
      <c r="H106" s="9">
        <v>0.96314438787751755</v>
      </c>
      <c r="I106" s="9">
        <v>0.96314438787751755</v>
      </c>
      <c r="J106" s="9">
        <v>0.96314438787751755</v>
      </c>
      <c r="K106" s="9">
        <v>0.96314438787751755</v>
      </c>
      <c r="L106" s="15">
        <v>0.96314438787751755</v>
      </c>
    </row>
    <row r="107" spans="2:12" x14ac:dyDescent="0.35">
      <c r="B107" s="49">
        <v>20833.192387104882</v>
      </c>
      <c r="C107" s="21">
        <v>0.97129152880573655</v>
      </c>
      <c r="D107" s="9">
        <v>0.97129152880573655</v>
      </c>
      <c r="E107" s="9">
        <v>0.97129152880573655</v>
      </c>
      <c r="F107" s="9">
        <v>0.97129152880573655</v>
      </c>
      <c r="G107" s="9">
        <v>0.97129152880573655</v>
      </c>
      <c r="H107" s="9">
        <v>0.97129152880573655</v>
      </c>
      <c r="I107" s="9">
        <v>0.97129152880573655</v>
      </c>
      <c r="J107" s="9">
        <v>0.97129152880573655</v>
      </c>
      <c r="K107" s="9">
        <v>0.97129152880573655</v>
      </c>
      <c r="L107" s="15">
        <v>0.97129152880573655</v>
      </c>
    </row>
    <row r="108" spans="2:12" x14ac:dyDescent="0.35">
      <c r="B108" s="49">
        <v>21506.861032845012</v>
      </c>
      <c r="C108" s="21">
        <v>0.98085073931030409</v>
      </c>
      <c r="D108" s="9">
        <v>0.98085073931030409</v>
      </c>
      <c r="E108" s="9">
        <v>0.98085073931030409</v>
      </c>
      <c r="F108" s="9">
        <v>0.98085073931030409</v>
      </c>
      <c r="G108" s="9">
        <v>0.98085073931030409</v>
      </c>
      <c r="H108" s="9">
        <v>0.98085073931030409</v>
      </c>
      <c r="I108" s="9">
        <v>0.98085073931030409</v>
      </c>
      <c r="J108" s="9">
        <v>0.98085073931030409</v>
      </c>
      <c r="K108" s="9">
        <v>0.98085073931030409</v>
      </c>
      <c r="L108" s="15">
        <v>0.98085073931030409</v>
      </c>
    </row>
    <row r="109" spans="2:12" x14ac:dyDescent="0.35">
      <c r="B109" s="49">
        <v>22180.529678585142</v>
      </c>
      <c r="C109" s="21">
        <v>0.98278487914934742</v>
      </c>
      <c r="D109" s="9">
        <v>0.98278487914934742</v>
      </c>
      <c r="E109" s="9">
        <v>0.98278487914934742</v>
      </c>
      <c r="F109" s="9">
        <v>0.98278487914934742</v>
      </c>
      <c r="G109" s="9">
        <v>0.98278487914934742</v>
      </c>
      <c r="H109" s="9">
        <v>0.98278487914934742</v>
      </c>
      <c r="I109" s="9">
        <v>0.98278487914934742</v>
      </c>
      <c r="J109" s="9">
        <v>0.98278487914934742</v>
      </c>
      <c r="K109" s="9">
        <v>0.98278487914934742</v>
      </c>
      <c r="L109" s="15">
        <v>0.98278487914934742</v>
      </c>
    </row>
    <row r="110" spans="2:12" x14ac:dyDescent="0.35">
      <c r="B110" s="49">
        <v>22854.198324325269</v>
      </c>
      <c r="C110" s="21">
        <v>0.98519089149089367</v>
      </c>
      <c r="D110" s="9">
        <v>0.98519089149089367</v>
      </c>
      <c r="E110" s="9">
        <v>0.98519089149089367</v>
      </c>
      <c r="F110" s="9">
        <v>0.98519089149089367</v>
      </c>
      <c r="G110" s="9">
        <v>0.98519089149089367</v>
      </c>
      <c r="H110" s="9">
        <v>0.98519089149089367</v>
      </c>
      <c r="I110" s="9">
        <v>0.98519089149089367</v>
      </c>
      <c r="J110" s="9">
        <v>0.98519089149089367</v>
      </c>
      <c r="K110" s="9">
        <v>0.98519089149089367</v>
      </c>
      <c r="L110" s="15">
        <v>0.98519089149089367</v>
      </c>
    </row>
    <row r="111" spans="2:12" x14ac:dyDescent="0.35">
      <c r="B111" s="49">
        <v>23527.866970065399</v>
      </c>
      <c r="C111" s="21">
        <v>0.98708408810108439</v>
      </c>
      <c r="D111" s="9">
        <v>0.98708408810108439</v>
      </c>
      <c r="E111" s="9">
        <v>0.98708408810108439</v>
      </c>
      <c r="F111" s="9">
        <v>0.98708408810108439</v>
      </c>
      <c r="G111" s="9">
        <v>0.98708408810108439</v>
      </c>
      <c r="H111" s="9">
        <v>0.98708408810108439</v>
      </c>
      <c r="I111" s="9">
        <v>0.98708408810108439</v>
      </c>
      <c r="J111" s="9">
        <v>0.98708408810108439</v>
      </c>
      <c r="K111" s="9">
        <v>0.98708408810108439</v>
      </c>
      <c r="L111" s="15">
        <v>0.98708408810108439</v>
      </c>
    </row>
    <row r="112" spans="2:12" x14ac:dyDescent="0.35">
      <c r="B112" s="49">
        <v>24201.535615805529</v>
      </c>
      <c r="C112" s="21">
        <v>0.988388055531221</v>
      </c>
      <c r="D112" s="9">
        <v>0.988388055531221</v>
      </c>
      <c r="E112" s="9">
        <v>0.988388055531221</v>
      </c>
      <c r="F112" s="9">
        <v>0.988388055531221</v>
      </c>
      <c r="G112" s="9">
        <v>0.988388055531221</v>
      </c>
      <c r="H112" s="9">
        <v>0.988388055531221</v>
      </c>
      <c r="I112" s="9">
        <v>0.988388055531221</v>
      </c>
      <c r="J112" s="9">
        <v>0.988388055531221</v>
      </c>
      <c r="K112" s="9">
        <v>0.988388055531221</v>
      </c>
      <c r="L112" s="15">
        <v>0.988388055531221</v>
      </c>
    </row>
    <row r="113" spans="2:12" x14ac:dyDescent="0.35">
      <c r="B113" s="49">
        <v>24875.204261545659</v>
      </c>
      <c r="C113" s="21">
        <v>0.98942983636457826</v>
      </c>
      <c r="D113" s="9">
        <v>0.98942983636457826</v>
      </c>
      <c r="E113" s="9">
        <v>0.98942983636457826</v>
      </c>
      <c r="F113" s="9">
        <v>0.98942983636457826</v>
      </c>
      <c r="G113" s="9">
        <v>0.98942983636457826</v>
      </c>
      <c r="H113" s="9">
        <v>0.98942983636457826</v>
      </c>
      <c r="I113" s="9">
        <v>0.98942983636457826</v>
      </c>
      <c r="J113" s="9">
        <v>0.98942983636457826</v>
      </c>
      <c r="K113" s="9">
        <v>0.98942983636457826</v>
      </c>
      <c r="L113" s="15">
        <v>0.98942983636457826</v>
      </c>
    </row>
    <row r="114" spans="2:12" x14ac:dyDescent="0.35">
      <c r="B114" s="49">
        <v>25548.87290728579</v>
      </c>
      <c r="C114" s="21">
        <v>0.99235167530696677</v>
      </c>
      <c r="D114" s="9">
        <v>0.99235167530696677</v>
      </c>
      <c r="E114" s="9">
        <v>0.99235167530696677</v>
      </c>
      <c r="F114" s="9">
        <v>0.99235167530696677</v>
      </c>
      <c r="G114" s="9">
        <v>0.99235167530696677</v>
      </c>
      <c r="H114" s="9">
        <v>0.99235167530696677</v>
      </c>
      <c r="I114" s="9">
        <v>0.99235167530696677</v>
      </c>
      <c r="J114" s="9">
        <v>0.99235167530696677</v>
      </c>
      <c r="K114" s="9">
        <v>0.99235167530696677</v>
      </c>
      <c r="L114" s="15">
        <v>0.99235167530696677</v>
      </c>
    </row>
    <row r="115" spans="2:12" x14ac:dyDescent="0.35">
      <c r="B115" s="49">
        <v>26222.54155302592</v>
      </c>
      <c r="C115" s="21">
        <v>0.99403410045471807</v>
      </c>
      <c r="D115" s="9">
        <v>0.99403410045471807</v>
      </c>
      <c r="E115" s="9">
        <v>0.99403410045471807</v>
      </c>
      <c r="F115" s="9">
        <v>0.99403410045471807</v>
      </c>
      <c r="G115" s="9">
        <v>0.99403410045471807</v>
      </c>
      <c r="H115" s="9">
        <v>0.99403410045471807</v>
      </c>
      <c r="I115" s="9">
        <v>0.99403410045471807</v>
      </c>
      <c r="J115" s="9">
        <v>0.99403410045471807</v>
      </c>
      <c r="K115" s="9">
        <v>0.99403410045471807</v>
      </c>
      <c r="L115" s="15">
        <v>0.99403410045471807</v>
      </c>
    </row>
    <row r="116" spans="2:12" x14ac:dyDescent="0.35">
      <c r="B116" s="49">
        <v>26896.210198766043</v>
      </c>
      <c r="C116" s="21">
        <v>0.99445445651161157</v>
      </c>
      <c r="D116" s="9">
        <v>0.99445445651161157</v>
      </c>
      <c r="E116" s="9">
        <v>0.99445445651161157</v>
      </c>
      <c r="F116" s="9">
        <v>0.99445445651161157</v>
      </c>
      <c r="G116" s="9">
        <v>0.99445445651161157</v>
      </c>
      <c r="H116" s="9">
        <v>0.99445445651161157</v>
      </c>
      <c r="I116" s="9">
        <v>0.99445445651161157</v>
      </c>
      <c r="J116" s="9">
        <v>0.99445445651161157</v>
      </c>
      <c r="K116" s="9">
        <v>0.99445445651161157</v>
      </c>
      <c r="L116" s="15">
        <v>0.99445445651161157</v>
      </c>
    </row>
    <row r="117" spans="2:12" x14ac:dyDescent="0.35">
      <c r="B117" s="49">
        <v>27569.878844506176</v>
      </c>
      <c r="C117" s="21">
        <v>0.99487481256850518</v>
      </c>
      <c r="D117" s="9">
        <v>0.99487481256850518</v>
      </c>
      <c r="E117" s="9">
        <v>0.99487481256850518</v>
      </c>
      <c r="F117" s="9">
        <v>0.99487481256850518</v>
      </c>
      <c r="G117" s="9">
        <v>0.99487481256850518</v>
      </c>
      <c r="H117" s="9">
        <v>0.99487481256850518</v>
      </c>
      <c r="I117" s="9">
        <v>0.99487481256850518</v>
      </c>
      <c r="J117" s="9">
        <v>0.99487481256850518</v>
      </c>
      <c r="K117" s="9">
        <v>0.99487481256850518</v>
      </c>
      <c r="L117" s="15">
        <v>0.99487481256850518</v>
      </c>
    </row>
    <row r="118" spans="2:12" x14ac:dyDescent="0.35">
      <c r="B118" s="49">
        <v>28243.547490246303</v>
      </c>
      <c r="C118" s="21">
        <v>0.99529516862539869</v>
      </c>
      <c r="D118" s="9">
        <v>0.99529516862539869</v>
      </c>
      <c r="E118" s="9">
        <v>0.99529516862539869</v>
      </c>
      <c r="F118" s="9">
        <v>0.99529516862539869</v>
      </c>
      <c r="G118" s="9">
        <v>0.99529516862539869</v>
      </c>
      <c r="H118" s="9">
        <v>0.99529516862539869</v>
      </c>
      <c r="I118" s="9">
        <v>0.99529516862539869</v>
      </c>
      <c r="J118" s="9">
        <v>0.99529516862539869</v>
      </c>
      <c r="K118" s="9">
        <v>0.99529516862539869</v>
      </c>
      <c r="L118" s="15">
        <v>0.99529516862539869</v>
      </c>
    </row>
    <row r="119" spans="2:12" x14ac:dyDescent="0.35">
      <c r="B119" s="49">
        <v>28917.216135986437</v>
      </c>
      <c r="C119" s="21">
        <v>0.99571552468229207</v>
      </c>
      <c r="D119" s="9">
        <v>0.99571552468229207</v>
      </c>
      <c r="E119" s="9">
        <v>0.99571552468229207</v>
      </c>
      <c r="F119" s="9">
        <v>0.99571552468229207</v>
      </c>
      <c r="G119" s="9">
        <v>0.99571552468229207</v>
      </c>
      <c r="H119" s="9">
        <v>0.99571552468229207</v>
      </c>
      <c r="I119" s="9">
        <v>0.99571552468229207</v>
      </c>
      <c r="J119" s="9">
        <v>0.99571552468229207</v>
      </c>
      <c r="K119" s="9">
        <v>0.99571552468229207</v>
      </c>
      <c r="L119" s="15">
        <v>0.99571552468229207</v>
      </c>
    </row>
    <row r="120" spans="2:12" x14ac:dyDescent="0.35">
      <c r="B120" s="49">
        <v>29590.884781726563</v>
      </c>
      <c r="C120" s="21">
        <v>0.99612433498912056</v>
      </c>
      <c r="D120" s="9">
        <v>0.99612433498912056</v>
      </c>
      <c r="E120" s="9">
        <v>0.99612433498912056</v>
      </c>
      <c r="F120" s="9">
        <v>0.99612433498912056</v>
      </c>
      <c r="G120" s="9">
        <v>0.99612433498912056</v>
      </c>
      <c r="H120" s="9">
        <v>0.99612433498912056</v>
      </c>
      <c r="I120" s="9">
        <v>0.99612433498912056</v>
      </c>
      <c r="J120" s="9">
        <v>0.99612433498912056</v>
      </c>
      <c r="K120" s="9">
        <v>0.99612433498912056</v>
      </c>
      <c r="L120" s="15">
        <v>0.99612433498912056</v>
      </c>
    </row>
    <row r="121" spans="2:12" x14ac:dyDescent="0.35">
      <c r="B121" s="49">
        <v>30264.553427466697</v>
      </c>
      <c r="C121" s="21">
        <v>0.99650897350429135</v>
      </c>
      <c r="D121" s="9">
        <v>0.99650897350429135</v>
      </c>
      <c r="E121" s="9">
        <v>0.99650897350429135</v>
      </c>
      <c r="F121" s="9">
        <v>0.99650897350429135</v>
      </c>
      <c r="G121" s="9">
        <v>0.99650897350429135</v>
      </c>
      <c r="H121" s="9">
        <v>0.99650897350429135</v>
      </c>
      <c r="I121" s="9">
        <v>0.99650897350429135</v>
      </c>
      <c r="J121" s="9">
        <v>0.99650897350429135</v>
      </c>
      <c r="K121" s="9">
        <v>0.99650897350429135</v>
      </c>
      <c r="L121" s="15">
        <v>0.99650897350429135</v>
      </c>
    </row>
    <row r="122" spans="2:12" x14ac:dyDescent="0.35">
      <c r="B122" s="49">
        <v>30938.22207320682</v>
      </c>
      <c r="C122" s="21">
        <v>0.99689361201946203</v>
      </c>
      <c r="D122" s="9">
        <v>0.99689361201946203</v>
      </c>
      <c r="E122" s="9">
        <v>0.99689361201946203</v>
      </c>
      <c r="F122" s="9">
        <v>0.99689361201946203</v>
      </c>
      <c r="G122" s="9">
        <v>0.99689361201946203</v>
      </c>
      <c r="H122" s="9">
        <v>0.99689361201946203</v>
      </c>
      <c r="I122" s="9">
        <v>0.99689361201946203</v>
      </c>
      <c r="J122" s="9">
        <v>0.99689361201946203</v>
      </c>
      <c r="K122" s="9">
        <v>0.99689361201946203</v>
      </c>
      <c r="L122" s="15">
        <v>0.99689361201946203</v>
      </c>
    </row>
    <row r="123" spans="2:12" x14ac:dyDescent="0.35">
      <c r="B123" s="49">
        <v>31611.89071894695</v>
      </c>
      <c r="C123" s="21">
        <v>0.9972782505346327</v>
      </c>
      <c r="D123" s="9">
        <v>0.9972782505346327</v>
      </c>
      <c r="E123" s="9">
        <v>0.9972782505346327</v>
      </c>
      <c r="F123" s="9">
        <v>0.9972782505346327</v>
      </c>
      <c r="G123" s="9">
        <v>0.9972782505346327</v>
      </c>
      <c r="H123" s="9">
        <v>0.9972782505346327</v>
      </c>
      <c r="I123" s="9">
        <v>0.9972782505346327</v>
      </c>
      <c r="J123" s="9">
        <v>0.9972782505346327</v>
      </c>
      <c r="K123" s="9">
        <v>0.9972782505346327</v>
      </c>
      <c r="L123" s="15">
        <v>0.9972782505346327</v>
      </c>
    </row>
    <row r="124" spans="2:12" x14ac:dyDescent="0.35">
      <c r="B124" s="49">
        <v>32285.55936468708</v>
      </c>
      <c r="C124" s="21">
        <v>0.99766288904980327</v>
      </c>
      <c r="D124" s="9">
        <v>0.99766288904980327</v>
      </c>
      <c r="E124" s="9">
        <v>0.99766288904980327</v>
      </c>
      <c r="F124" s="9">
        <v>0.99766288904980327</v>
      </c>
      <c r="G124" s="9">
        <v>0.99766288904980327</v>
      </c>
      <c r="H124" s="9">
        <v>0.99766288904980327</v>
      </c>
      <c r="I124" s="9">
        <v>0.99766288904980327</v>
      </c>
      <c r="J124" s="9">
        <v>0.99766288904980327</v>
      </c>
      <c r="K124" s="9">
        <v>0.99766288904980327</v>
      </c>
      <c r="L124" s="15">
        <v>0.99766288904980327</v>
      </c>
    </row>
    <row r="125" spans="2:12" x14ac:dyDescent="0.35">
      <c r="B125" s="49">
        <v>32959.228010427207</v>
      </c>
      <c r="C125" s="21">
        <v>0.99804035696631843</v>
      </c>
      <c r="D125" s="9">
        <v>0.99804035696631843</v>
      </c>
      <c r="E125" s="9">
        <v>0.99804035696631843</v>
      </c>
      <c r="F125" s="9">
        <v>0.99804035696631843</v>
      </c>
      <c r="G125" s="9">
        <v>0.99804035696631843</v>
      </c>
      <c r="H125" s="9">
        <v>0.99804035696631843</v>
      </c>
      <c r="I125" s="9">
        <v>0.99804035696631843</v>
      </c>
      <c r="J125" s="9">
        <v>0.99804035696631843</v>
      </c>
      <c r="K125" s="9">
        <v>0.99804035696631843</v>
      </c>
      <c r="L125" s="15">
        <v>0.99804035696631843</v>
      </c>
    </row>
    <row r="126" spans="2:12" x14ac:dyDescent="0.35">
      <c r="B126" s="49">
        <v>33632.896656167344</v>
      </c>
      <c r="C126" s="21">
        <v>0.99836696413859871</v>
      </c>
      <c r="D126" s="9">
        <v>0.99836696413859871</v>
      </c>
      <c r="E126" s="9">
        <v>0.99836696413859871</v>
      </c>
      <c r="F126" s="9">
        <v>0.99836696413859871</v>
      </c>
      <c r="G126" s="9">
        <v>0.99836696413859871</v>
      </c>
      <c r="H126" s="9">
        <v>0.99836696413859871</v>
      </c>
      <c r="I126" s="9">
        <v>0.99836696413859871</v>
      </c>
      <c r="J126" s="9">
        <v>0.99836696413859871</v>
      </c>
      <c r="K126" s="9">
        <v>0.99836696413859871</v>
      </c>
      <c r="L126" s="15">
        <v>0.99836696413859871</v>
      </c>
    </row>
    <row r="127" spans="2:12" x14ac:dyDescent="0.35">
      <c r="B127" s="49">
        <v>34306.565301907474</v>
      </c>
      <c r="C127" s="21">
        <v>0.99869357131087899</v>
      </c>
      <c r="D127" s="9">
        <v>0.99869357131087899</v>
      </c>
      <c r="E127" s="9">
        <v>0.99869357131087899</v>
      </c>
      <c r="F127" s="9">
        <v>0.99869357131087899</v>
      </c>
      <c r="G127" s="9">
        <v>0.99869357131087899</v>
      </c>
      <c r="H127" s="9">
        <v>0.99869357131087899</v>
      </c>
      <c r="I127" s="9">
        <v>0.99869357131087899</v>
      </c>
      <c r="J127" s="9">
        <v>0.99869357131087899</v>
      </c>
      <c r="K127" s="9">
        <v>0.99869357131087899</v>
      </c>
      <c r="L127" s="15">
        <v>0.99869357131087899</v>
      </c>
    </row>
    <row r="128" spans="2:12" x14ac:dyDescent="0.35">
      <c r="B128" s="49">
        <v>34980.233947647597</v>
      </c>
      <c r="C128" s="21">
        <v>0.99902017848315927</v>
      </c>
      <c r="D128" s="9">
        <v>0.99902017848315927</v>
      </c>
      <c r="E128" s="9">
        <v>0.99902017848315927</v>
      </c>
      <c r="F128" s="9">
        <v>0.99902017848315927</v>
      </c>
      <c r="G128" s="9">
        <v>0.99902017848315927</v>
      </c>
      <c r="H128" s="9">
        <v>0.99902017848315927</v>
      </c>
      <c r="I128" s="9">
        <v>0.99902017848315927</v>
      </c>
      <c r="J128" s="9">
        <v>0.99902017848315927</v>
      </c>
      <c r="K128" s="9">
        <v>0.99902017848315927</v>
      </c>
      <c r="L128" s="15">
        <v>0.99902017848315927</v>
      </c>
    </row>
    <row r="129" spans="2:12" x14ac:dyDescent="0.35">
      <c r="B129" s="49">
        <v>35653.902593387727</v>
      </c>
      <c r="C129" s="21">
        <v>0.99934678565543944</v>
      </c>
      <c r="D129" s="9">
        <v>0.99934678565543944</v>
      </c>
      <c r="E129" s="9">
        <v>0.99934678565543944</v>
      </c>
      <c r="F129" s="9">
        <v>0.99934678565543944</v>
      </c>
      <c r="G129" s="9">
        <v>0.99934678565543944</v>
      </c>
      <c r="H129" s="9">
        <v>0.99934678565543944</v>
      </c>
      <c r="I129" s="9">
        <v>0.99934678565543944</v>
      </c>
      <c r="J129" s="9">
        <v>0.99934678565543944</v>
      </c>
      <c r="K129" s="9">
        <v>0.99934678565543944</v>
      </c>
      <c r="L129" s="15">
        <v>0.99934678565543944</v>
      </c>
    </row>
    <row r="130" spans="2:12" x14ac:dyDescent="0.35">
      <c r="B130" s="49">
        <v>36327.571239127858</v>
      </c>
      <c r="C130" s="21">
        <v>0.99967339282771983</v>
      </c>
      <c r="D130" s="9">
        <v>0.99967339282771983</v>
      </c>
      <c r="E130" s="9">
        <v>0.99967339282771983</v>
      </c>
      <c r="F130" s="9">
        <v>0.99967339282771983</v>
      </c>
      <c r="G130" s="9">
        <v>0.99967339282771983</v>
      </c>
      <c r="H130" s="9">
        <v>0.99967339282771983</v>
      </c>
      <c r="I130" s="9">
        <v>0.99967339282771983</v>
      </c>
      <c r="J130" s="9">
        <v>0.99967339282771983</v>
      </c>
      <c r="K130" s="9">
        <v>0.99967339282771983</v>
      </c>
      <c r="L130" s="15">
        <v>0.99967339282771983</v>
      </c>
    </row>
    <row r="131" spans="2:12" ht="15" thickBot="1" x14ac:dyDescent="0.4">
      <c r="B131" s="50">
        <v>37001.239884867988</v>
      </c>
      <c r="C131" s="22">
        <v>1</v>
      </c>
      <c r="D131" s="17">
        <v>1</v>
      </c>
      <c r="E131" s="17">
        <v>1</v>
      </c>
      <c r="F131" s="17">
        <v>1</v>
      </c>
      <c r="G131" s="17">
        <v>1</v>
      </c>
      <c r="H131" s="17">
        <v>1</v>
      </c>
      <c r="I131" s="17">
        <v>1</v>
      </c>
      <c r="J131" s="17">
        <v>1</v>
      </c>
      <c r="K131" s="17">
        <v>1</v>
      </c>
      <c r="L131" s="18">
        <v>1</v>
      </c>
    </row>
    <row r="132" spans="2:12" ht="15" thickBot="1" x14ac:dyDescent="0.4"/>
    <row r="133" spans="2:12" x14ac:dyDescent="0.35">
      <c r="B133" s="44"/>
      <c r="C133" s="47" t="s">
        <v>157</v>
      </c>
      <c r="D133" s="47" t="s">
        <v>158</v>
      </c>
      <c r="E133" s="47" t="s">
        <v>159</v>
      </c>
      <c r="F133" s="47" t="s">
        <v>160</v>
      </c>
      <c r="G133" s="47" t="s">
        <v>161</v>
      </c>
      <c r="H133" s="47" t="s">
        <v>162</v>
      </c>
      <c r="I133" s="47" t="s">
        <v>163</v>
      </c>
      <c r="J133" s="47" t="s">
        <v>164</v>
      </c>
      <c r="K133" s="47" t="s">
        <v>165</v>
      </c>
      <c r="L133" s="45" t="s">
        <v>166</v>
      </c>
    </row>
    <row r="134" spans="2:12" x14ac:dyDescent="0.35">
      <c r="B134" s="46" t="s">
        <v>121</v>
      </c>
      <c r="C134" s="27">
        <v>7196.3302429742571</v>
      </c>
      <c r="D134" s="30">
        <v>7196.3302429742571</v>
      </c>
      <c r="E134" s="30">
        <v>7196.3302429742571</v>
      </c>
      <c r="F134" s="30">
        <v>7196.3302429742571</v>
      </c>
      <c r="G134" s="30">
        <v>7196.3302429742571</v>
      </c>
      <c r="H134" s="30">
        <v>7196.3302429742571</v>
      </c>
      <c r="I134" s="30">
        <v>7196.3302429742571</v>
      </c>
      <c r="J134" s="30">
        <v>7196.3302429742571</v>
      </c>
      <c r="K134" s="30">
        <v>7196.3302429742571</v>
      </c>
      <c r="L134" s="39">
        <v>7196.3302429742571</v>
      </c>
    </row>
    <row r="135" spans="2:12" x14ac:dyDescent="0.35">
      <c r="B135" s="46" t="s">
        <v>167</v>
      </c>
      <c r="C135" s="28">
        <v>3991.4762436016463</v>
      </c>
      <c r="D135" s="31">
        <v>3991.4762436016463</v>
      </c>
      <c r="E135" s="31">
        <v>3991.4762436016463</v>
      </c>
      <c r="F135" s="31">
        <v>3991.4762436016463</v>
      </c>
      <c r="G135" s="31">
        <v>3991.4762436016463</v>
      </c>
      <c r="H135" s="31">
        <v>3991.4762436016463</v>
      </c>
      <c r="I135" s="31">
        <v>3991.4762436016463</v>
      </c>
      <c r="J135" s="31">
        <v>3991.4762436016463</v>
      </c>
      <c r="K135" s="31">
        <v>3991.4762436016463</v>
      </c>
      <c r="L135" s="40">
        <v>3991.4762436016463</v>
      </c>
    </row>
    <row r="136" spans="2:12" x14ac:dyDescent="0.35">
      <c r="B136" s="54">
        <v>0.25</v>
      </c>
      <c r="C136" s="28">
        <v>4807.8095779091627</v>
      </c>
      <c r="D136" s="31">
        <v>4807.8095779091627</v>
      </c>
      <c r="E136" s="31">
        <v>4807.8095779091627</v>
      </c>
      <c r="F136" s="31">
        <v>4807.8095779091627</v>
      </c>
      <c r="G136" s="31">
        <v>4807.8095779091627</v>
      </c>
      <c r="H136" s="31">
        <v>4807.8095779091627</v>
      </c>
      <c r="I136" s="31">
        <v>4807.8095779091627</v>
      </c>
      <c r="J136" s="31">
        <v>4807.8095779091627</v>
      </c>
      <c r="K136" s="31">
        <v>4807.8095779091627</v>
      </c>
      <c r="L136" s="40">
        <v>4807.8095779091627</v>
      </c>
    </row>
    <row r="137" spans="2:12" x14ac:dyDescent="0.35">
      <c r="B137" s="46" t="s">
        <v>125</v>
      </c>
      <c r="C137" s="28">
        <v>5640.7218904953952</v>
      </c>
      <c r="D137" s="31">
        <v>5640.7218904953952</v>
      </c>
      <c r="E137" s="31">
        <v>5640.7218904953952</v>
      </c>
      <c r="F137" s="31">
        <v>5640.7218904953952</v>
      </c>
      <c r="G137" s="31">
        <v>5640.7218904953952</v>
      </c>
      <c r="H137" s="31">
        <v>5640.7218904953952</v>
      </c>
      <c r="I137" s="31">
        <v>5640.7218904953952</v>
      </c>
      <c r="J137" s="31">
        <v>5640.7218904953952</v>
      </c>
      <c r="K137" s="31">
        <v>5640.7218904953952</v>
      </c>
      <c r="L137" s="40">
        <v>5640.7218904953952</v>
      </c>
    </row>
    <row r="138" spans="2:12" x14ac:dyDescent="0.35">
      <c r="B138" s="54">
        <v>0.75</v>
      </c>
      <c r="C138" s="28">
        <v>6548.6996724045312</v>
      </c>
      <c r="D138" s="31">
        <v>6548.6996724045312</v>
      </c>
      <c r="E138" s="31">
        <v>6548.6996724045312</v>
      </c>
      <c r="F138" s="31">
        <v>6548.6996724045312</v>
      </c>
      <c r="G138" s="31">
        <v>6548.6996724045312</v>
      </c>
      <c r="H138" s="31">
        <v>6548.6996724045312</v>
      </c>
      <c r="I138" s="31">
        <v>6548.6996724045312</v>
      </c>
      <c r="J138" s="31">
        <v>6548.6996724045312</v>
      </c>
      <c r="K138" s="31">
        <v>6548.6996724045312</v>
      </c>
      <c r="L138" s="40">
        <v>6548.6996724045312</v>
      </c>
    </row>
    <row r="139" spans="2:12" x14ac:dyDescent="0.35">
      <c r="B139" s="46" t="s">
        <v>168</v>
      </c>
      <c r="C139" s="28">
        <v>8864.1434909494201</v>
      </c>
      <c r="D139" s="31">
        <v>8864.1434909494201</v>
      </c>
      <c r="E139" s="31">
        <v>8864.1434909494201</v>
      </c>
      <c r="F139" s="31">
        <v>8864.1434909494201</v>
      </c>
      <c r="G139" s="31">
        <v>8864.1434909494201</v>
      </c>
      <c r="H139" s="31">
        <v>8864.1434909494201</v>
      </c>
      <c r="I139" s="31">
        <v>8864.1434909494201</v>
      </c>
      <c r="J139" s="31">
        <v>8864.1434909494201</v>
      </c>
      <c r="K139" s="31">
        <v>8864.1434909494201</v>
      </c>
      <c r="L139" s="40">
        <v>8864.1434909494201</v>
      </c>
    </row>
    <row r="140" spans="2:12" x14ac:dyDescent="0.35">
      <c r="B140" s="46" t="s">
        <v>169</v>
      </c>
      <c r="C140" s="28">
        <v>816.33333430751645</v>
      </c>
      <c r="D140" s="31">
        <v>816.33333430751645</v>
      </c>
      <c r="E140" s="31">
        <v>816.33333430751645</v>
      </c>
      <c r="F140" s="31">
        <v>816.33333430751645</v>
      </c>
      <c r="G140" s="31">
        <v>816.33333430751645</v>
      </c>
      <c r="H140" s="31">
        <v>816.33333430751645</v>
      </c>
      <c r="I140" s="31">
        <v>816.33333430751645</v>
      </c>
      <c r="J140" s="31">
        <v>816.33333430751645</v>
      </c>
      <c r="K140" s="31">
        <v>816.33333430751645</v>
      </c>
      <c r="L140" s="40">
        <v>816.33333430751645</v>
      </c>
    </row>
    <row r="141" spans="2:12" x14ac:dyDescent="0.35">
      <c r="B141" s="46" t="s">
        <v>170</v>
      </c>
      <c r="C141" s="28">
        <v>832.91231258623247</v>
      </c>
      <c r="D141" s="31">
        <v>832.91231258623247</v>
      </c>
      <c r="E141" s="31">
        <v>832.91231258623247</v>
      </c>
      <c r="F141" s="31">
        <v>832.91231258623247</v>
      </c>
      <c r="G141" s="31">
        <v>832.91231258623247</v>
      </c>
      <c r="H141" s="31">
        <v>832.91231258623247</v>
      </c>
      <c r="I141" s="31">
        <v>832.91231258623247</v>
      </c>
      <c r="J141" s="31">
        <v>832.91231258623247</v>
      </c>
      <c r="K141" s="31">
        <v>832.91231258623247</v>
      </c>
      <c r="L141" s="40">
        <v>832.91231258623247</v>
      </c>
    </row>
    <row r="142" spans="2:12" x14ac:dyDescent="0.35">
      <c r="B142" s="46" t="s">
        <v>171</v>
      </c>
      <c r="C142" s="28">
        <v>907.97778190913596</v>
      </c>
      <c r="D142" s="31">
        <v>907.97778190913596</v>
      </c>
      <c r="E142" s="31">
        <v>907.97778190913596</v>
      </c>
      <c r="F142" s="31">
        <v>907.97778190913596</v>
      </c>
      <c r="G142" s="31">
        <v>907.97778190913596</v>
      </c>
      <c r="H142" s="31">
        <v>907.97778190913596</v>
      </c>
      <c r="I142" s="31">
        <v>907.97778190913596</v>
      </c>
      <c r="J142" s="31">
        <v>907.97778190913596</v>
      </c>
      <c r="K142" s="31">
        <v>907.97778190913596</v>
      </c>
      <c r="L142" s="40">
        <v>907.97778190913596</v>
      </c>
    </row>
    <row r="143" spans="2:12" x14ac:dyDescent="0.35">
      <c r="B143" s="46" t="s">
        <v>172</v>
      </c>
      <c r="C143" s="28">
        <v>2315.4438185448889</v>
      </c>
      <c r="D143" s="31">
        <v>2315.4438185448889</v>
      </c>
      <c r="E143" s="31">
        <v>2315.4438185448889</v>
      </c>
      <c r="F143" s="31">
        <v>2315.4438185448889</v>
      </c>
      <c r="G143" s="31">
        <v>2315.4438185448889</v>
      </c>
      <c r="H143" s="31">
        <v>2315.4438185448889</v>
      </c>
      <c r="I143" s="31">
        <v>2315.4438185448889</v>
      </c>
      <c r="J143" s="31">
        <v>2315.4438185448889</v>
      </c>
      <c r="K143" s="31">
        <v>2315.4438185448889</v>
      </c>
      <c r="L143" s="40">
        <v>2315.4438185448889</v>
      </c>
    </row>
    <row r="144" spans="2:12" x14ac:dyDescent="0.35">
      <c r="B144" s="46" t="s">
        <v>173</v>
      </c>
      <c r="C144" s="28">
        <v>9307.4444726180609</v>
      </c>
      <c r="D144" s="31">
        <v>9307.4444726180609</v>
      </c>
      <c r="E144" s="31">
        <v>9307.4444726180609</v>
      </c>
      <c r="F144" s="31">
        <v>9307.4444726180609</v>
      </c>
      <c r="G144" s="31">
        <v>9307.4444726180609</v>
      </c>
      <c r="H144" s="31">
        <v>9307.4444726180609</v>
      </c>
      <c r="I144" s="31">
        <v>9307.4444726180609</v>
      </c>
      <c r="J144" s="31">
        <v>9307.4444726180609</v>
      </c>
      <c r="K144" s="31">
        <v>9307.4444726180609</v>
      </c>
      <c r="L144" s="40">
        <v>9307.4444726180609</v>
      </c>
    </row>
    <row r="145" spans="2:12" x14ac:dyDescent="0.35">
      <c r="B145" s="46"/>
      <c r="C145" s="28">
        <v>9386.0401325017501</v>
      </c>
      <c r="D145" s="31">
        <v>9386.0401325017501</v>
      </c>
      <c r="E145" s="31">
        <v>9386.0401325017501</v>
      </c>
      <c r="F145" s="31">
        <v>9386.0401325017501</v>
      </c>
      <c r="G145" s="31">
        <v>9386.0401325017501</v>
      </c>
      <c r="H145" s="31">
        <v>9386.0401325017501</v>
      </c>
      <c r="I145" s="31">
        <v>9386.0401325017501</v>
      </c>
      <c r="J145" s="31">
        <v>9386.0401325017501</v>
      </c>
      <c r="K145" s="31">
        <v>9386.0401325017501</v>
      </c>
      <c r="L145" s="40">
        <v>9386.0401325017501</v>
      </c>
    </row>
    <row r="146" spans="2:12" x14ac:dyDescent="0.35">
      <c r="B146" s="46"/>
      <c r="C146" s="28">
        <v>9403.4974808459465</v>
      </c>
      <c r="D146" s="31">
        <v>9403.4974808459465</v>
      </c>
      <c r="E146" s="31">
        <v>9403.4974808459465</v>
      </c>
      <c r="F146" s="31">
        <v>9403.4974808459465</v>
      </c>
      <c r="G146" s="31">
        <v>9403.4974808459465</v>
      </c>
      <c r="H146" s="31">
        <v>9403.4974808459465</v>
      </c>
      <c r="I146" s="31">
        <v>9403.4974808459465</v>
      </c>
      <c r="J146" s="31">
        <v>9403.4974808459465</v>
      </c>
      <c r="K146" s="31">
        <v>9403.4974808459465</v>
      </c>
      <c r="L146" s="40">
        <v>9403.4974808459465</v>
      </c>
    </row>
    <row r="147" spans="2:12" x14ac:dyDescent="0.35">
      <c r="B147" s="46"/>
      <c r="C147" s="28">
        <v>9499.222318362763</v>
      </c>
      <c r="D147" s="31">
        <v>9499.222318362763</v>
      </c>
      <c r="E147" s="31">
        <v>9499.222318362763</v>
      </c>
      <c r="F147" s="31">
        <v>9499.222318362763</v>
      </c>
      <c r="G147" s="31">
        <v>9499.222318362763</v>
      </c>
      <c r="H147" s="31">
        <v>9499.222318362763</v>
      </c>
      <c r="I147" s="31">
        <v>9499.222318362763</v>
      </c>
      <c r="J147" s="31">
        <v>9499.222318362763</v>
      </c>
      <c r="K147" s="31">
        <v>9499.222318362763</v>
      </c>
      <c r="L147" s="40">
        <v>9499.222318362763</v>
      </c>
    </row>
    <row r="148" spans="2:12" x14ac:dyDescent="0.35">
      <c r="B148" s="46"/>
      <c r="C148" s="28">
        <v>9553.0343737842159</v>
      </c>
      <c r="D148" s="31">
        <v>9553.0343737842159</v>
      </c>
      <c r="E148" s="31">
        <v>9553.0343737842159</v>
      </c>
      <c r="F148" s="31">
        <v>9553.0343737842159</v>
      </c>
      <c r="G148" s="31">
        <v>9553.0343737842159</v>
      </c>
      <c r="H148" s="31">
        <v>9553.0343737842159</v>
      </c>
      <c r="I148" s="31">
        <v>9553.0343737842159</v>
      </c>
      <c r="J148" s="31">
        <v>9553.0343737842159</v>
      </c>
      <c r="K148" s="31">
        <v>9553.0343737842159</v>
      </c>
      <c r="L148" s="40">
        <v>9553.0343737842159</v>
      </c>
    </row>
    <row r="149" spans="2:12" x14ac:dyDescent="0.35">
      <c r="B149" s="46"/>
      <c r="C149" s="28">
        <v>9574.5211754246739</v>
      </c>
      <c r="D149" s="31">
        <v>9574.5211754246739</v>
      </c>
      <c r="E149" s="31">
        <v>9574.5211754246739</v>
      </c>
      <c r="F149" s="31">
        <v>9574.5211754246739</v>
      </c>
      <c r="G149" s="31">
        <v>9574.5211754246739</v>
      </c>
      <c r="H149" s="31">
        <v>9574.5211754246739</v>
      </c>
      <c r="I149" s="31">
        <v>9574.5211754246739</v>
      </c>
      <c r="J149" s="31">
        <v>9574.5211754246739</v>
      </c>
      <c r="K149" s="31">
        <v>9574.5211754246739</v>
      </c>
      <c r="L149" s="40">
        <v>9574.5211754246739</v>
      </c>
    </row>
    <row r="150" spans="2:12" x14ac:dyDescent="0.35">
      <c r="B150" s="46"/>
      <c r="C150" s="28">
        <v>9718.4248792852377</v>
      </c>
      <c r="D150" s="31">
        <v>9718.4248792852377</v>
      </c>
      <c r="E150" s="31">
        <v>9718.4248792852377</v>
      </c>
      <c r="F150" s="31">
        <v>9718.4248792852377</v>
      </c>
      <c r="G150" s="31">
        <v>9718.4248792852377</v>
      </c>
      <c r="H150" s="31">
        <v>9718.4248792852377</v>
      </c>
      <c r="I150" s="31">
        <v>9718.4248792852377</v>
      </c>
      <c r="J150" s="31">
        <v>9718.4248792852377</v>
      </c>
      <c r="K150" s="31">
        <v>9718.4248792852377</v>
      </c>
      <c r="L150" s="40">
        <v>9718.4248792852377</v>
      </c>
    </row>
    <row r="151" spans="2:12" x14ac:dyDescent="0.35">
      <c r="B151" s="46"/>
      <c r="C151" s="28">
        <v>9811.5308305190338</v>
      </c>
      <c r="D151" s="31">
        <v>9811.5308305190338</v>
      </c>
      <c r="E151" s="31">
        <v>9811.5308305190338</v>
      </c>
      <c r="F151" s="31">
        <v>9811.5308305190338</v>
      </c>
      <c r="G151" s="31">
        <v>9811.5308305190338</v>
      </c>
      <c r="H151" s="31">
        <v>9811.5308305190338</v>
      </c>
      <c r="I151" s="31">
        <v>9811.5308305190338</v>
      </c>
      <c r="J151" s="31">
        <v>9811.5308305190338</v>
      </c>
      <c r="K151" s="31">
        <v>9811.5308305190338</v>
      </c>
      <c r="L151" s="40">
        <v>9811.5308305190338</v>
      </c>
    </row>
    <row r="152" spans="2:12" x14ac:dyDescent="0.35">
      <c r="B152" s="46"/>
      <c r="C152" s="28">
        <v>10306.798575047693</v>
      </c>
      <c r="D152" s="31">
        <v>10306.798575047693</v>
      </c>
      <c r="E152" s="31">
        <v>10306.798575047693</v>
      </c>
      <c r="F152" s="31">
        <v>10306.798575047693</v>
      </c>
      <c r="G152" s="31">
        <v>10306.798575047693</v>
      </c>
      <c r="H152" s="31">
        <v>10306.798575047693</v>
      </c>
      <c r="I152" s="31">
        <v>10306.798575047693</v>
      </c>
      <c r="J152" s="31">
        <v>10306.798575047693</v>
      </c>
      <c r="K152" s="31">
        <v>10306.798575047693</v>
      </c>
      <c r="L152" s="40">
        <v>10306.798575047693</v>
      </c>
    </row>
    <row r="153" spans="2:12" x14ac:dyDescent="0.35">
      <c r="B153" s="46"/>
      <c r="C153" s="28">
        <v>10603.9559731195</v>
      </c>
      <c r="D153" s="31">
        <v>10603.9559731195</v>
      </c>
      <c r="E153" s="31">
        <v>10603.9559731195</v>
      </c>
      <c r="F153" s="31">
        <v>10603.9559731195</v>
      </c>
      <c r="G153" s="31">
        <v>10603.9559731195</v>
      </c>
      <c r="H153" s="31">
        <v>10603.9559731195</v>
      </c>
      <c r="I153" s="31">
        <v>10603.9559731195</v>
      </c>
      <c r="J153" s="31">
        <v>10603.9559731195</v>
      </c>
      <c r="K153" s="31">
        <v>10603.9559731195</v>
      </c>
      <c r="L153" s="40">
        <v>10603.9559731195</v>
      </c>
    </row>
    <row r="154" spans="2:12" x14ac:dyDescent="0.35">
      <c r="B154" s="46"/>
      <c r="C154" s="28">
        <v>10635.790450603115</v>
      </c>
      <c r="D154" s="31">
        <v>10635.790450603115</v>
      </c>
      <c r="E154" s="31">
        <v>10635.790450603115</v>
      </c>
      <c r="F154" s="31">
        <v>10635.790450603115</v>
      </c>
      <c r="G154" s="31">
        <v>10635.790450603115</v>
      </c>
      <c r="H154" s="31">
        <v>10635.790450603115</v>
      </c>
      <c r="I154" s="31">
        <v>10635.790450603115</v>
      </c>
      <c r="J154" s="31">
        <v>10635.790450603115</v>
      </c>
      <c r="K154" s="31">
        <v>10635.790450603115</v>
      </c>
      <c r="L154" s="40">
        <v>10635.790450603115</v>
      </c>
    </row>
    <row r="155" spans="2:12" x14ac:dyDescent="0.35">
      <c r="B155" s="46"/>
      <c r="C155" s="28">
        <v>10686.64636453501</v>
      </c>
      <c r="D155" s="31">
        <v>10686.64636453501</v>
      </c>
      <c r="E155" s="31">
        <v>10686.64636453501</v>
      </c>
      <c r="F155" s="31">
        <v>10686.64636453501</v>
      </c>
      <c r="G155" s="31">
        <v>10686.64636453501</v>
      </c>
      <c r="H155" s="31">
        <v>10686.64636453501</v>
      </c>
      <c r="I155" s="31">
        <v>10686.64636453501</v>
      </c>
      <c r="J155" s="31">
        <v>10686.64636453501</v>
      </c>
      <c r="K155" s="31">
        <v>10686.64636453501</v>
      </c>
      <c r="L155" s="40">
        <v>10686.64636453501</v>
      </c>
    </row>
    <row r="156" spans="2:12" x14ac:dyDescent="0.35">
      <c r="B156" s="46"/>
      <c r="C156" s="28">
        <v>10726.687890827552</v>
      </c>
      <c r="D156" s="31">
        <v>10726.687890827552</v>
      </c>
      <c r="E156" s="31">
        <v>10726.687890827552</v>
      </c>
      <c r="F156" s="31">
        <v>10726.687890827552</v>
      </c>
      <c r="G156" s="31">
        <v>10726.687890827552</v>
      </c>
      <c r="H156" s="31">
        <v>10726.687890827552</v>
      </c>
      <c r="I156" s="31">
        <v>10726.687890827552</v>
      </c>
      <c r="J156" s="31">
        <v>10726.687890827552</v>
      </c>
      <c r="K156" s="31">
        <v>10726.687890827552</v>
      </c>
      <c r="L156" s="40">
        <v>10726.687890827552</v>
      </c>
    </row>
    <row r="157" spans="2:12" x14ac:dyDescent="0.35">
      <c r="B157" s="46"/>
      <c r="C157" s="28">
        <v>10756.629027452595</v>
      </c>
      <c r="D157" s="31">
        <v>10756.629027452595</v>
      </c>
      <c r="E157" s="31">
        <v>10756.629027452595</v>
      </c>
      <c r="F157" s="31">
        <v>10756.629027452595</v>
      </c>
      <c r="G157" s="31">
        <v>10756.629027452595</v>
      </c>
      <c r="H157" s="31">
        <v>10756.629027452595</v>
      </c>
      <c r="I157" s="31">
        <v>10756.629027452595</v>
      </c>
      <c r="J157" s="31">
        <v>10756.629027452595</v>
      </c>
      <c r="K157" s="31">
        <v>10756.629027452595</v>
      </c>
      <c r="L157" s="40">
        <v>10756.629027452595</v>
      </c>
    </row>
    <row r="158" spans="2:12" x14ac:dyDescent="0.35">
      <c r="B158" s="46"/>
      <c r="C158" s="28">
        <v>10946.167563877427</v>
      </c>
      <c r="D158" s="31">
        <v>10946.167563877427</v>
      </c>
      <c r="E158" s="31">
        <v>10946.167563877427</v>
      </c>
      <c r="F158" s="31">
        <v>10946.167563877427</v>
      </c>
      <c r="G158" s="31">
        <v>10946.167563877427</v>
      </c>
      <c r="H158" s="31">
        <v>10946.167563877427</v>
      </c>
      <c r="I158" s="31">
        <v>10946.167563877427</v>
      </c>
      <c r="J158" s="31">
        <v>10946.167563877427</v>
      </c>
      <c r="K158" s="31">
        <v>10946.167563877427</v>
      </c>
      <c r="L158" s="40">
        <v>10946.167563877427</v>
      </c>
    </row>
    <row r="159" spans="2:12" x14ac:dyDescent="0.35">
      <c r="B159" s="46"/>
      <c r="C159" s="28">
        <v>11023.830770015438</v>
      </c>
      <c r="D159" s="31">
        <v>11023.830770015438</v>
      </c>
      <c r="E159" s="31">
        <v>11023.830770015438</v>
      </c>
      <c r="F159" s="31">
        <v>11023.830770015438</v>
      </c>
      <c r="G159" s="31">
        <v>11023.830770015438</v>
      </c>
      <c r="H159" s="31">
        <v>11023.830770015438</v>
      </c>
      <c r="I159" s="31">
        <v>11023.830770015438</v>
      </c>
      <c r="J159" s="31">
        <v>11023.830770015438</v>
      </c>
      <c r="K159" s="31">
        <v>11023.830770015438</v>
      </c>
      <c r="L159" s="40">
        <v>11023.830770015438</v>
      </c>
    </row>
    <row r="160" spans="2:12" x14ac:dyDescent="0.35">
      <c r="B160" s="46"/>
      <c r="C160" s="28">
        <v>11029.169953327508</v>
      </c>
      <c r="D160" s="31">
        <v>11029.169953327508</v>
      </c>
      <c r="E160" s="31">
        <v>11029.169953327508</v>
      </c>
      <c r="F160" s="31">
        <v>11029.169953327508</v>
      </c>
      <c r="G160" s="31">
        <v>11029.169953327508</v>
      </c>
      <c r="H160" s="31">
        <v>11029.169953327508</v>
      </c>
      <c r="I160" s="31">
        <v>11029.169953327508</v>
      </c>
      <c r="J160" s="31">
        <v>11029.169953327508</v>
      </c>
      <c r="K160" s="31">
        <v>11029.169953327508</v>
      </c>
      <c r="L160" s="40">
        <v>11029.169953327508</v>
      </c>
    </row>
    <row r="161" spans="2:12" x14ac:dyDescent="0.35">
      <c r="B161" s="46"/>
      <c r="C161" s="28">
        <v>11043.639723685301</v>
      </c>
      <c r="D161" s="31">
        <v>11043.639723685301</v>
      </c>
      <c r="E161" s="31">
        <v>11043.639723685301</v>
      </c>
      <c r="F161" s="31">
        <v>11043.639723685301</v>
      </c>
      <c r="G161" s="31">
        <v>11043.639723685301</v>
      </c>
      <c r="H161" s="31">
        <v>11043.639723685301</v>
      </c>
      <c r="I161" s="31">
        <v>11043.639723685301</v>
      </c>
      <c r="J161" s="31">
        <v>11043.639723685301</v>
      </c>
      <c r="K161" s="31">
        <v>11043.639723685301</v>
      </c>
      <c r="L161" s="40">
        <v>11043.639723685301</v>
      </c>
    </row>
    <row r="162" spans="2:12" x14ac:dyDescent="0.35">
      <c r="B162" s="46"/>
      <c r="C162" s="28">
        <v>11063.746851781672</v>
      </c>
      <c r="D162" s="31">
        <v>11063.746851781672</v>
      </c>
      <c r="E162" s="31">
        <v>11063.746851781672</v>
      </c>
      <c r="F162" s="31">
        <v>11063.746851781672</v>
      </c>
      <c r="G162" s="31">
        <v>11063.746851781672</v>
      </c>
      <c r="H162" s="31">
        <v>11063.746851781672</v>
      </c>
      <c r="I162" s="31">
        <v>11063.746851781672</v>
      </c>
      <c r="J162" s="31">
        <v>11063.746851781672</v>
      </c>
      <c r="K162" s="31">
        <v>11063.746851781672</v>
      </c>
      <c r="L162" s="40">
        <v>11063.746851781672</v>
      </c>
    </row>
    <row r="163" spans="2:12" x14ac:dyDescent="0.35">
      <c r="B163" s="46"/>
      <c r="C163" s="28">
        <v>11109.156532541114</v>
      </c>
      <c r="D163" s="31">
        <v>11109.156532541114</v>
      </c>
      <c r="E163" s="31">
        <v>11109.156532541114</v>
      </c>
      <c r="F163" s="31">
        <v>11109.156532541114</v>
      </c>
      <c r="G163" s="31">
        <v>11109.156532541114</v>
      </c>
      <c r="H163" s="31">
        <v>11109.156532541114</v>
      </c>
      <c r="I163" s="31">
        <v>11109.156532541114</v>
      </c>
      <c r="J163" s="31">
        <v>11109.156532541114</v>
      </c>
      <c r="K163" s="31">
        <v>11109.156532541114</v>
      </c>
      <c r="L163" s="40">
        <v>11109.156532541114</v>
      </c>
    </row>
    <row r="164" spans="2:12" x14ac:dyDescent="0.35">
      <c r="B164" s="46"/>
      <c r="C164" s="28">
        <v>11122.813653028579</v>
      </c>
      <c r="D164" s="31">
        <v>11122.813653028579</v>
      </c>
      <c r="E164" s="31">
        <v>11122.813653028579</v>
      </c>
      <c r="F164" s="31">
        <v>11122.813653028579</v>
      </c>
      <c r="G164" s="31">
        <v>11122.813653028579</v>
      </c>
      <c r="H164" s="31">
        <v>11122.813653028579</v>
      </c>
      <c r="I164" s="31">
        <v>11122.813653028579</v>
      </c>
      <c r="J164" s="31">
        <v>11122.813653028579</v>
      </c>
      <c r="K164" s="31">
        <v>11122.813653028579</v>
      </c>
      <c r="L164" s="40">
        <v>11122.813653028579</v>
      </c>
    </row>
    <row r="165" spans="2:12" x14ac:dyDescent="0.35">
      <c r="B165" s="46"/>
      <c r="C165" s="28">
        <v>11207.5820705649</v>
      </c>
      <c r="D165" s="31">
        <v>11207.5820705649</v>
      </c>
      <c r="E165" s="31">
        <v>11207.5820705649</v>
      </c>
      <c r="F165" s="31">
        <v>11207.5820705649</v>
      </c>
      <c r="G165" s="31">
        <v>11207.5820705649</v>
      </c>
      <c r="H165" s="31">
        <v>11207.5820705649</v>
      </c>
      <c r="I165" s="31">
        <v>11207.5820705649</v>
      </c>
      <c r="J165" s="31">
        <v>11207.5820705649</v>
      </c>
      <c r="K165" s="31">
        <v>11207.5820705649</v>
      </c>
      <c r="L165" s="40">
        <v>11207.5820705649</v>
      </c>
    </row>
    <row r="166" spans="2:12" x14ac:dyDescent="0.35">
      <c r="B166" s="46"/>
      <c r="C166" s="28">
        <v>11393.150912295097</v>
      </c>
      <c r="D166" s="31">
        <v>11393.150912295097</v>
      </c>
      <c r="E166" s="31">
        <v>11393.150912295097</v>
      </c>
      <c r="F166" s="31">
        <v>11393.150912295097</v>
      </c>
      <c r="G166" s="31">
        <v>11393.150912295097</v>
      </c>
      <c r="H166" s="31">
        <v>11393.150912295097</v>
      </c>
      <c r="I166" s="31">
        <v>11393.150912295097</v>
      </c>
      <c r="J166" s="31">
        <v>11393.150912295097</v>
      </c>
      <c r="K166" s="31">
        <v>11393.150912295097</v>
      </c>
      <c r="L166" s="40">
        <v>11393.150912295097</v>
      </c>
    </row>
    <row r="167" spans="2:12" x14ac:dyDescent="0.35">
      <c r="B167" s="46"/>
      <c r="C167" s="28">
        <v>11524.971103660628</v>
      </c>
      <c r="D167" s="31">
        <v>11524.971103660628</v>
      </c>
      <c r="E167" s="31">
        <v>11524.971103660628</v>
      </c>
      <c r="F167" s="31">
        <v>11524.971103660628</v>
      </c>
      <c r="G167" s="31">
        <v>11524.971103660628</v>
      </c>
      <c r="H167" s="31">
        <v>11524.971103660628</v>
      </c>
      <c r="I167" s="31">
        <v>11524.971103660628</v>
      </c>
      <c r="J167" s="31">
        <v>11524.971103660628</v>
      </c>
      <c r="K167" s="31">
        <v>11524.971103660628</v>
      </c>
      <c r="L167" s="40">
        <v>11524.971103660628</v>
      </c>
    </row>
    <row r="168" spans="2:12" x14ac:dyDescent="0.35">
      <c r="B168" s="46"/>
      <c r="C168" s="28">
        <v>11670.266663679135</v>
      </c>
      <c r="D168" s="31">
        <v>11670.266663679135</v>
      </c>
      <c r="E168" s="31">
        <v>11670.266663679135</v>
      </c>
      <c r="F168" s="31">
        <v>11670.266663679135</v>
      </c>
      <c r="G168" s="31">
        <v>11670.266663679135</v>
      </c>
      <c r="H168" s="31">
        <v>11670.266663679135</v>
      </c>
      <c r="I168" s="31">
        <v>11670.266663679135</v>
      </c>
      <c r="J168" s="31">
        <v>11670.266663679135</v>
      </c>
      <c r="K168" s="31">
        <v>11670.266663679135</v>
      </c>
      <c r="L168" s="40">
        <v>11670.266663679135</v>
      </c>
    </row>
    <row r="169" spans="2:12" x14ac:dyDescent="0.35">
      <c r="B169" s="46" t="s">
        <v>174</v>
      </c>
      <c r="C169" s="28">
        <v>11824.117781160337</v>
      </c>
      <c r="D169" s="31">
        <v>11824.117781160337</v>
      </c>
      <c r="E169" s="31">
        <v>11824.117781160337</v>
      </c>
      <c r="F169" s="31">
        <v>11824.117781160337</v>
      </c>
      <c r="G169" s="31">
        <v>11824.117781160337</v>
      </c>
      <c r="H169" s="31">
        <v>11824.117781160337</v>
      </c>
      <c r="I169" s="31">
        <v>11824.117781160337</v>
      </c>
      <c r="J169" s="31">
        <v>11824.117781160337</v>
      </c>
      <c r="K169" s="31">
        <v>11824.117781160337</v>
      </c>
      <c r="L169" s="40">
        <v>11824.117781160337</v>
      </c>
    </row>
    <row r="170" spans="2:12" x14ac:dyDescent="0.35">
      <c r="B170" s="46"/>
      <c r="C170" s="28">
        <v>11830.887948613139</v>
      </c>
      <c r="D170" s="31">
        <v>11830.887948613139</v>
      </c>
      <c r="E170" s="31">
        <v>11830.887948613139</v>
      </c>
      <c r="F170" s="31">
        <v>11830.887948613139</v>
      </c>
      <c r="G170" s="31">
        <v>11830.887948613139</v>
      </c>
      <c r="H170" s="31">
        <v>11830.887948613139</v>
      </c>
      <c r="I170" s="31">
        <v>11830.887948613139</v>
      </c>
      <c r="J170" s="31">
        <v>11830.887948613139</v>
      </c>
      <c r="K170" s="31">
        <v>11830.887948613139</v>
      </c>
      <c r="L170" s="40">
        <v>11830.887948613139</v>
      </c>
    </row>
    <row r="171" spans="2:12" x14ac:dyDescent="0.35">
      <c r="B171" s="46"/>
      <c r="C171" s="28">
        <v>11845.250094460122</v>
      </c>
      <c r="D171" s="31">
        <v>11845.250094460122</v>
      </c>
      <c r="E171" s="31">
        <v>11845.250094460122</v>
      </c>
      <c r="F171" s="31">
        <v>11845.250094460122</v>
      </c>
      <c r="G171" s="31">
        <v>11845.250094460122</v>
      </c>
      <c r="H171" s="31">
        <v>11845.250094460122</v>
      </c>
      <c r="I171" s="31">
        <v>11845.250094460122</v>
      </c>
      <c r="J171" s="31">
        <v>11845.250094460122</v>
      </c>
      <c r="K171" s="31">
        <v>11845.250094460122</v>
      </c>
      <c r="L171" s="40">
        <v>11845.250094460122</v>
      </c>
    </row>
    <row r="172" spans="2:12" x14ac:dyDescent="0.35">
      <c r="B172" s="46"/>
      <c r="C172" s="28">
        <v>11923.711941654088</v>
      </c>
      <c r="D172" s="31">
        <v>11923.711941654088</v>
      </c>
      <c r="E172" s="31">
        <v>11923.711941654088</v>
      </c>
      <c r="F172" s="31">
        <v>11923.711941654088</v>
      </c>
      <c r="G172" s="31">
        <v>11923.711941654088</v>
      </c>
      <c r="H172" s="31">
        <v>11923.711941654088</v>
      </c>
      <c r="I172" s="31">
        <v>11923.711941654088</v>
      </c>
      <c r="J172" s="31">
        <v>11923.711941654088</v>
      </c>
      <c r="K172" s="31">
        <v>11923.711941654088</v>
      </c>
      <c r="L172" s="40">
        <v>11923.711941654088</v>
      </c>
    </row>
    <row r="173" spans="2:12" x14ac:dyDescent="0.35">
      <c r="B173" s="46"/>
      <c r="C173" s="28">
        <v>11957.328237313233</v>
      </c>
      <c r="D173" s="31">
        <v>11957.328237313233</v>
      </c>
      <c r="E173" s="31">
        <v>11957.328237313233</v>
      </c>
      <c r="F173" s="31">
        <v>11957.328237313233</v>
      </c>
      <c r="G173" s="31">
        <v>11957.328237313233</v>
      </c>
      <c r="H173" s="31">
        <v>11957.328237313233</v>
      </c>
      <c r="I173" s="31">
        <v>11957.328237313233</v>
      </c>
      <c r="J173" s="31">
        <v>11957.328237313233</v>
      </c>
      <c r="K173" s="31">
        <v>11957.328237313233</v>
      </c>
      <c r="L173" s="40">
        <v>11957.328237313233</v>
      </c>
    </row>
    <row r="174" spans="2:12" x14ac:dyDescent="0.35">
      <c r="B174" s="46"/>
      <c r="C174" s="28">
        <v>11976.054677830183</v>
      </c>
      <c r="D174" s="31">
        <v>11976.054677830183</v>
      </c>
      <c r="E174" s="31">
        <v>11976.054677830183</v>
      </c>
      <c r="F174" s="31">
        <v>11976.054677830183</v>
      </c>
      <c r="G174" s="31">
        <v>11976.054677830183</v>
      </c>
      <c r="H174" s="31">
        <v>11976.054677830183</v>
      </c>
      <c r="I174" s="31">
        <v>11976.054677830183</v>
      </c>
      <c r="J174" s="31">
        <v>11976.054677830183</v>
      </c>
      <c r="K174" s="31">
        <v>11976.054677830183</v>
      </c>
      <c r="L174" s="40">
        <v>11976.054677830183</v>
      </c>
    </row>
    <row r="175" spans="2:12" x14ac:dyDescent="0.35">
      <c r="B175" s="46"/>
      <c r="C175" s="28">
        <v>12220.327631040263</v>
      </c>
      <c r="D175" s="31">
        <v>12220.327631040263</v>
      </c>
      <c r="E175" s="31">
        <v>12220.327631040263</v>
      </c>
      <c r="F175" s="31">
        <v>12220.327631040263</v>
      </c>
      <c r="G175" s="31">
        <v>12220.327631040263</v>
      </c>
      <c r="H175" s="31">
        <v>12220.327631040263</v>
      </c>
      <c r="I175" s="31">
        <v>12220.327631040263</v>
      </c>
      <c r="J175" s="31">
        <v>12220.327631040263</v>
      </c>
      <c r="K175" s="31">
        <v>12220.327631040263</v>
      </c>
      <c r="L175" s="40">
        <v>12220.327631040263</v>
      </c>
    </row>
    <row r="176" spans="2:12" x14ac:dyDescent="0.35">
      <c r="B176" s="46"/>
      <c r="C176" s="28">
        <v>12440.509658391733</v>
      </c>
      <c r="D176" s="31">
        <v>12440.509658391733</v>
      </c>
      <c r="E176" s="31">
        <v>12440.509658391733</v>
      </c>
      <c r="F176" s="31">
        <v>12440.509658391733</v>
      </c>
      <c r="G176" s="31">
        <v>12440.509658391733</v>
      </c>
      <c r="H176" s="31">
        <v>12440.509658391733</v>
      </c>
      <c r="I176" s="31">
        <v>12440.509658391733</v>
      </c>
      <c r="J176" s="31">
        <v>12440.509658391733</v>
      </c>
      <c r="K176" s="31">
        <v>12440.509658391733</v>
      </c>
      <c r="L176" s="40">
        <v>12440.509658391733</v>
      </c>
    </row>
    <row r="177" spans="2:12" x14ac:dyDescent="0.35">
      <c r="B177" s="46"/>
      <c r="C177" s="28">
        <v>12446.213663695253</v>
      </c>
      <c r="D177" s="31">
        <v>12446.213663695253</v>
      </c>
      <c r="E177" s="31">
        <v>12446.213663695253</v>
      </c>
      <c r="F177" s="31">
        <v>12446.213663695253</v>
      </c>
      <c r="G177" s="31">
        <v>12446.213663695253</v>
      </c>
      <c r="H177" s="31">
        <v>12446.213663695253</v>
      </c>
      <c r="I177" s="31">
        <v>12446.213663695253</v>
      </c>
      <c r="J177" s="31">
        <v>12446.213663695253</v>
      </c>
      <c r="K177" s="31">
        <v>12446.213663695253</v>
      </c>
      <c r="L177" s="40">
        <v>12446.213663695253</v>
      </c>
    </row>
    <row r="178" spans="2:12" x14ac:dyDescent="0.35">
      <c r="B178" s="46"/>
      <c r="C178" s="28">
        <v>12495.232828880318</v>
      </c>
      <c r="D178" s="31">
        <v>12495.232828880318</v>
      </c>
      <c r="E178" s="31">
        <v>12495.232828880318</v>
      </c>
      <c r="F178" s="31">
        <v>12495.232828880318</v>
      </c>
      <c r="G178" s="31">
        <v>12495.232828880318</v>
      </c>
      <c r="H178" s="31">
        <v>12495.232828880318</v>
      </c>
      <c r="I178" s="31">
        <v>12495.232828880318</v>
      </c>
      <c r="J178" s="31">
        <v>12495.232828880318</v>
      </c>
      <c r="K178" s="31">
        <v>12495.232828880318</v>
      </c>
      <c r="L178" s="40">
        <v>12495.232828880318</v>
      </c>
    </row>
    <row r="179" spans="2:12" x14ac:dyDescent="0.35">
      <c r="B179" s="46"/>
      <c r="C179" s="28">
        <v>12593.323432562915</v>
      </c>
      <c r="D179" s="31">
        <v>12593.323432562915</v>
      </c>
      <c r="E179" s="31">
        <v>12593.323432562915</v>
      </c>
      <c r="F179" s="31">
        <v>12593.323432562915</v>
      </c>
      <c r="G179" s="31">
        <v>12593.323432562915</v>
      </c>
      <c r="H179" s="31">
        <v>12593.323432562915</v>
      </c>
      <c r="I179" s="31">
        <v>12593.323432562915</v>
      </c>
      <c r="J179" s="31">
        <v>12593.323432562915</v>
      </c>
      <c r="K179" s="31">
        <v>12593.323432562915</v>
      </c>
      <c r="L179" s="40">
        <v>12593.323432562915</v>
      </c>
    </row>
    <row r="180" spans="2:12" x14ac:dyDescent="0.35">
      <c r="B180" s="46"/>
      <c r="C180" s="28">
        <v>12608.065555222505</v>
      </c>
      <c r="D180" s="31">
        <v>12608.065555222505</v>
      </c>
      <c r="E180" s="31">
        <v>12608.065555222505</v>
      </c>
      <c r="F180" s="31">
        <v>12608.065555222505</v>
      </c>
      <c r="G180" s="31">
        <v>12608.065555222505</v>
      </c>
      <c r="H180" s="31">
        <v>12608.065555222505</v>
      </c>
      <c r="I180" s="31">
        <v>12608.065555222505</v>
      </c>
      <c r="J180" s="31">
        <v>12608.065555222505</v>
      </c>
      <c r="K180" s="31">
        <v>12608.065555222505</v>
      </c>
      <c r="L180" s="40">
        <v>12608.065555222505</v>
      </c>
    </row>
    <row r="181" spans="2:12" x14ac:dyDescent="0.35">
      <c r="B181" s="46"/>
      <c r="C181" s="28">
        <v>12940.754098513853</v>
      </c>
      <c r="D181" s="31">
        <v>12940.754098513853</v>
      </c>
      <c r="E181" s="31">
        <v>12940.754098513853</v>
      </c>
      <c r="F181" s="31">
        <v>12940.754098513853</v>
      </c>
      <c r="G181" s="31">
        <v>12940.754098513853</v>
      </c>
      <c r="H181" s="31">
        <v>12940.754098513853</v>
      </c>
      <c r="I181" s="31">
        <v>12940.754098513853</v>
      </c>
      <c r="J181" s="31">
        <v>12940.754098513853</v>
      </c>
      <c r="K181" s="31">
        <v>12940.754098513853</v>
      </c>
      <c r="L181" s="40">
        <v>12940.754098513853</v>
      </c>
    </row>
    <row r="182" spans="2:12" x14ac:dyDescent="0.35">
      <c r="B182" s="46"/>
      <c r="C182" s="28">
        <v>13147.524888809352</v>
      </c>
      <c r="D182" s="31">
        <v>13147.524888809352</v>
      </c>
      <c r="E182" s="31">
        <v>13147.524888809352</v>
      </c>
      <c r="F182" s="31">
        <v>13147.524888809352</v>
      </c>
      <c r="G182" s="31">
        <v>13147.524888809352</v>
      </c>
      <c r="H182" s="31">
        <v>13147.524888809352</v>
      </c>
      <c r="I182" s="31">
        <v>13147.524888809352</v>
      </c>
      <c r="J182" s="31">
        <v>13147.524888809352</v>
      </c>
      <c r="K182" s="31">
        <v>13147.524888809352</v>
      </c>
      <c r="L182" s="40">
        <v>13147.524888809352</v>
      </c>
    </row>
    <row r="183" spans="2:12" x14ac:dyDescent="0.35">
      <c r="B183" s="46"/>
      <c r="C183" s="28">
        <v>13160.643930598941</v>
      </c>
      <c r="D183" s="31">
        <v>13160.643930598941</v>
      </c>
      <c r="E183" s="31">
        <v>13160.643930598941</v>
      </c>
      <c r="F183" s="31">
        <v>13160.643930598941</v>
      </c>
      <c r="G183" s="31">
        <v>13160.643930598941</v>
      </c>
      <c r="H183" s="31">
        <v>13160.643930598941</v>
      </c>
      <c r="I183" s="31">
        <v>13160.643930598941</v>
      </c>
      <c r="J183" s="31">
        <v>13160.643930598941</v>
      </c>
      <c r="K183" s="31">
        <v>13160.643930598941</v>
      </c>
      <c r="L183" s="40">
        <v>13160.643930598941</v>
      </c>
    </row>
    <row r="184" spans="2:12" x14ac:dyDescent="0.35">
      <c r="B184" s="46"/>
      <c r="C184" s="28">
        <v>13167.737027245728</v>
      </c>
      <c r="D184" s="31">
        <v>13167.737027245728</v>
      </c>
      <c r="E184" s="31">
        <v>13167.737027245728</v>
      </c>
      <c r="F184" s="31">
        <v>13167.737027245728</v>
      </c>
      <c r="G184" s="31">
        <v>13167.737027245728</v>
      </c>
      <c r="H184" s="31">
        <v>13167.737027245728</v>
      </c>
      <c r="I184" s="31">
        <v>13167.737027245728</v>
      </c>
      <c r="J184" s="31">
        <v>13167.737027245728</v>
      </c>
      <c r="K184" s="31">
        <v>13167.737027245728</v>
      </c>
      <c r="L184" s="40">
        <v>13167.737027245728</v>
      </c>
    </row>
    <row r="185" spans="2:12" x14ac:dyDescent="0.35">
      <c r="B185" s="46"/>
      <c r="C185" s="28">
        <v>13223.021447543553</v>
      </c>
      <c r="D185" s="31">
        <v>13223.021447543553</v>
      </c>
      <c r="E185" s="31">
        <v>13223.021447543553</v>
      </c>
      <c r="F185" s="31">
        <v>13223.021447543553</v>
      </c>
      <c r="G185" s="31">
        <v>13223.021447543553</v>
      </c>
      <c r="H185" s="31">
        <v>13223.021447543553</v>
      </c>
      <c r="I185" s="31">
        <v>13223.021447543553</v>
      </c>
      <c r="J185" s="31">
        <v>13223.021447543553</v>
      </c>
      <c r="K185" s="31">
        <v>13223.021447543553</v>
      </c>
      <c r="L185" s="40">
        <v>13223.021447543553</v>
      </c>
    </row>
    <row r="186" spans="2:12" x14ac:dyDescent="0.35">
      <c r="B186" s="46"/>
      <c r="C186" s="28">
        <v>13507.84125518443</v>
      </c>
      <c r="D186" s="31">
        <v>13507.84125518443</v>
      </c>
      <c r="E186" s="31">
        <v>13507.84125518443</v>
      </c>
      <c r="F186" s="31">
        <v>13507.84125518443</v>
      </c>
      <c r="G186" s="31">
        <v>13507.84125518443</v>
      </c>
      <c r="H186" s="31">
        <v>13507.84125518443</v>
      </c>
      <c r="I186" s="31">
        <v>13507.84125518443</v>
      </c>
      <c r="J186" s="31">
        <v>13507.84125518443</v>
      </c>
      <c r="K186" s="31">
        <v>13507.84125518443</v>
      </c>
      <c r="L186" s="40">
        <v>13507.84125518443</v>
      </c>
    </row>
    <row r="187" spans="2:12" x14ac:dyDescent="0.35">
      <c r="B187" s="46"/>
      <c r="C187" s="28">
        <v>13859.747482666942</v>
      </c>
      <c r="D187" s="31">
        <v>13859.747482666942</v>
      </c>
      <c r="E187" s="31">
        <v>13859.747482666942</v>
      </c>
      <c r="F187" s="31">
        <v>13859.747482666942</v>
      </c>
      <c r="G187" s="31">
        <v>13859.747482666942</v>
      </c>
      <c r="H187" s="31">
        <v>13859.747482666942</v>
      </c>
      <c r="I187" s="31">
        <v>13859.747482666942</v>
      </c>
      <c r="J187" s="31">
        <v>13859.747482666942</v>
      </c>
      <c r="K187" s="31">
        <v>13859.747482666942</v>
      </c>
      <c r="L187" s="40">
        <v>13859.747482666942</v>
      </c>
    </row>
    <row r="188" spans="2:12" x14ac:dyDescent="0.35">
      <c r="B188" s="46"/>
      <c r="C188" s="28">
        <v>13955.893694457587</v>
      </c>
      <c r="D188" s="31">
        <v>13955.893694457587</v>
      </c>
      <c r="E188" s="31">
        <v>13955.893694457587</v>
      </c>
      <c r="F188" s="31">
        <v>13955.893694457587</v>
      </c>
      <c r="G188" s="31">
        <v>13955.893694457587</v>
      </c>
      <c r="H188" s="31">
        <v>13955.893694457587</v>
      </c>
      <c r="I188" s="31">
        <v>13955.893694457587</v>
      </c>
      <c r="J188" s="31">
        <v>13955.893694457587</v>
      </c>
      <c r="K188" s="31">
        <v>13955.893694457587</v>
      </c>
      <c r="L188" s="40">
        <v>13955.893694457587</v>
      </c>
    </row>
    <row r="189" spans="2:12" x14ac:dyDescent="0.35">
      <c r="B189" s="46"/>
      <c r="C189" s="28">
        <v>13999.441893588119</v>
      </c>
      <c r="D189" s="31">
        <v>13999.441893588119</v>
      </c>
      <c r="E189" s="31">
        <v>13999.441893588119</v>
      </c>
      <c r="F189" s="31">
        <v>13999.441893588119</v>
      </c>
      <c r="G189" s="31">
        <v>13999.441893588119</v>
      </c>
      <c r="H189" s="31">
        <v>13999.441893588119</v>
      </c>
      <c r="I189" s="31">
        <v>13999.441893588119</v>
      </c>
      <c r="J189" s="31">
        <v>13999.441893588119</v>
      </c>
      <c r="K189" s="31">
        <v>13999.441893588119</v>
      </c>
      <c r="L189" s="40">
        <v>13999.441893588119</v>
      </c>
    </row>
    <row r="190" spans="2:12" x14ac:dyDescent="0.35">
      <c r="B190" s="46"/>
      <c r="C190" s="28">
        <v>14192.593238999369</v>
      </c>
      <c r="D190" s="31">
        <v>14192.593238999369</v>
      </c>
      <c r="E190" s="31">
        <v>14192.593238999369</v>
      </c>
      <c r="F190" s="31">
        <v>14192.593238999369</v>
      </c>
      <c r="G190" s="31">
        <v>14192.593238999369</v>
      </c>
      <c r="H190" s="31">
        <v>14192.593238999369</v>
      </c>
      <c r="I190" s="31">
        <v>14192.593238999369</v>
      </c>
      <c r="J190" s="31">
        <v>14192.593238999369</v>
      </c>
      <c r="K190" s="31">
        <v>14192.593238999369</v>
      </c>
      <c r="L190" s="40">
        <v>14192.593238999369</v>
      </c>
    </row>
    <row r="191" spans="2:12" x14ac:dyDescent="0.35">
      <c r="B191" s="46"/>
      <c r="C191" s="28">
        <v>14857.263340951824</v>
      </c>
      <c r="D191" s="31">
        <v>14857.263340951824</v>
      </c>
      <c r="E191" s="31">
        <v>14857.263340951824</v>
      </c>
      <c r="F191" s="31">
        <v>14857.263340951824</v>
      </c>
      <c r="G191" s="31">
        <v>14857.263340951824</v>
      </c>
      <c r="H191" s="31">
        <v>14857.263340951824</v>
      </c>
      <c r="I191" s="31">
        <v>14857.263340951824</v>
      </c>
      <c r="J191" s="31">
        <v>14857.263340951824</v>
      </c>
      <c r="K191" s="31">
        <v>14857.263340951824</v>
      </c>
      <c r="L191" s="40">
        <v>14857.263340951824</v>
      </c>
    </row>
    <row r="192" spans="2:12" x14ac:dyDescent="0.35">
      <c r="B192" s="46"/>
      <c r="C192" s="28">
        <v>15050.289433008456</v>
      </c>
      <c r="D192" s="31">
        <v>15050.289433008456</v>
      </c>
      <c r="E192" s="31">
        <v>15050.289433008456</v>
      </c>
      <c r="F192" s="31">
        <v>15050.289433008456</v>
      </c>
      <c r="G192" s="31">
        <v>15050.289433008456</v>
      </c>
      <c r="H192" s="31">
        <v>15050.289433008456</v>
      </c>
      <c r="I192" s="31">
        <v>15050.289433008456</v>
      </c>
      <c r="J192" s="31">
        <v>15050.289433008456</v>
      </c>
      <c r="K192" s="31">
        <v>15050.289433008456</v>
      </c>
      <c r="L192" s="40">
        <v>15050.289433008456</v>
      </c>
    </row>
    <row r="193" spans="2:12" x14ac:dyDescent="0.35">
      <c r="B193" s="46"/>
      <c r="C193" s="28">
        <v>15594.537355161987</v>
      </c>
      <c r="D193" s="31">
        <v>15594.537355161987</v>
      </c>
      <c r="E193" s="31">
        <v>15594.537355161987</v>
      </c>
      <c r="F193" s="31">
        <v>15594.537355161987</v>
      </c>
      <c r="G193" s="31">
        <v>15594.537355161987</v>
      </c>
      <c r="H193" s="31">
        <v>15594.537355161987</v>
      </c>
      <c r="I193" s="31">
        <v>15594.537355161987</v>
      </c>
      <c r="J193" s="31">
        <v>15594.537355161987</v>
      </c>
      <c r="K193" s="31">
        <v>15594.537355161987</v>
      </c>
      <c r="L193" s="40">
        <v>15594.537355161987</v>
      </c>
    </row>
    <row r="194" spans="2:12" x14ac:dyDescent="0.35">
      <c r="B194" s="46"/>
      <c r="C194" s="28">
        <v>15609.15803920361</v>
      </c>
      <c r="D194" s="31">
        <v>15609.15803920361</v>
      </c>
      <c r="E194" s="31">
        <v>15609.15803920361</v>
      </c>
      <c r="F194" s="31">
        <v>15609.15803920361</v>
      </c>
      <c r="G194" s="31">
        <v>15609.15803920361</v>
      </c>
      <c r="H194" s="31">
        <v>15609.15803920361</v>
      </c>
      <c r="I194" s="31">
        <v>15609.15803920361</v>
      </c>
      <c r="J194" s="31">
        <v>15609.15803920361</v>
      </c>
      <c r="K194" s="31">
        <v>15609.15803920361</v>
      </c>
      <c r="L194" s="40">
        <v>15609.15803920361</v>
      </c>
    </row>
    <row r="195" spans="2:12" x14ac:dyDescent="0.35">
      <c r="B195" s="46"/>
      <c r="C195" s="28">
        <v>15727.201459467306</v>
      </c>
      <c r="D195" s="31">
        <v>15727.201459467306</v>
      </c>
      <c r="E195" s="31">
        <v>15727.201459467306</v>
      </c>
      <c r="F195" s="31">
        <v>15727.201459467306</v>
      </c>
      <c r="G195" s="31">
        <v>15727.201459467306</v>
      </c>
      <c r="H195" s="31">
        <v>15727.201459467306</v>
      </c>
      <c r="I195" s="31">
        <v>15727.201459467306</v>
      </c>
      <c r="J195" s="31">
        <v>15727.201459467306</v>
      </c>
      <c r="K195" s="31">
        <v>15727.201459467306</v>
      </c>
      <c r="L195" s="40">
        <v>15727.201459467306</v>
      </c>
    </row>
    <row r="196" spans="2:12" x14ac:dyDescent="0.35">
      <c r="B196" s="46"/>
      <c r="C196" s="28">
        <v>15734.854072744758</v>
      </c>
      <c r="D196" s="31">
        <v>15734.854072744758</v>
      </c>
      <c r="E196" s="31">
        <v>15734.854072744758</v>
      </c>
      <c r="F196" s="31">
        <v>15734.854072744758</v>
      </c>
      <c r="G196" s="31">
        <v>15734.854072744758</v>
      </c>
      <c r="H196" s="31">
        <v>15734.854072744758</v>
      </c>
      <c r="I196" s="31">
        <v>15734.854072744758</v>
      </c>
      <c r="J196" s="31">
        <v>15734.854072744758</v>
      </c>
      <c r="K196" s="31">
        <v>15734.854072744758</v>
      </c>
      <c r="L196" s="40">
        <v>15734.854072744758</v>
      </c>
    </row>
    <row r="197" spans="2:12" x14ac:dyDescent="0.35">
      <c r="B197" s="46"/>
      <c r="C197" s="28">
        <v>15900.331515877981</v>
      </c>
      <c r="D197" s="31">
        <v>15900.331515877981</v>
      </c>
      <c r="E197" s="31">
        <v>15900.331515877981</v>
      </c>
      <c r="F197" s="31">
        <v>15900.331515877981</v>
      </c>
      <c r="G197" s="31">
        <v>15900.331515877981</v>
      </c>
      <c r="H197" s="31">
        <v>15900.331515877981</v>
      </c>
      <c r="I197" s="31">
        <v>15900.331515877981</v>
      </c>
      <c r="J197" s="31">
        <v>15900.331515877981</v>
      </c>
      <c r="K197" s="31">
        <v>15900.331515877981</v>
      </c>
      <c r="L197" s="40">
        <v>15900.331515877981</v>
      </c>
    </row>
    <row r="198" spans="2:12" x14ac:dyDescent="0.35">
      <c r="B198" s="46"/>
      <c r="C198" s="28">
        <v>16062.03379192835</v>
      </c>
      <c r="D198" s="31">
        <v>16062.03379192835</v>
      </c>
      <c r="E198" s="31">
        <v>16062.03379192835</v>
      </c>
      <c r="F198" s="31">
        <v>16062.03379192835</v>
      </c>
      <c r="G198" s="31">
        <v>16062.03379192835</v>
      </c>
      <c r="H198" s="31">
        <v>16062.03379192835</v>
      </c>
      <c r="I198" s="31">
        <v>16062.03379192835</v>
      </c>
      <c r="J198" s="31">
        <v>16062.03379192835</v>
      </c>
      <c r="K198" s="31">
        <v>16062.03379192835</v>
      </c>
      <c r="L198" s="40">
        <v>16062.03379192835</v>
      </c>
    </row>
    <row r="199" spans="2:12" x14ac:dyDescent="0.35">
      <c r="B199" s="46"/>
      <c r="C199" s="28">
        <v>16078.653225476575</v>
      </c>
      <c r="D199" s="31">
        <v>16078.653225476575</v>
      </c>
      <c r="E199" s="31">
        <v>16078.653225476575</v>
      </c>
      <c r="F199" s="31">
        <v>16078.653225476575</v>
      </c>
      <c r="G199" s="31">
        <v>16078.653225476575</v>
      </c>
      <c r="H199" s="31">
        <v>16078.653225476575</v>
      </c>
      <c r="I199" s="31">
        <v>16078.653225476575</v>
      </c>
      <c r="J199" s="31">
        <v>16078.653225476575</v>
      </c>
      <c r="K199" s="31">
        <v>16078.653225476575</v>
      </c>
      <c r="L199" s="40">
        <v>16078.653225476575</v>
      </c>
    </row>
    <row r="200" spans="2:12" x14ac:dyDescent="0.35">
      <c r="B200" s="46"/>
      <c r="C200" s="28">
        <v>16099.572507678598</v>
      </c>
      <c r="D200" s="31">
        <v>16099.572507678598</v>
      </c>
      <c r="E200" s="31">
        <v>16099.572507678598</v>
      </c>
      <c r="F200" s="31">
        <v>16099.572507678598</v>
      </c>
      <c r="G200" s="31">
        <v>16099.572507678598</v>
      </c>
      <c r="H200" s="31">
        <v>16099.572507678598</v>
      </c>
      <c r="I200" s="31">
        <v>16099.572507678598</v>
      </c>
      <c r="J200" s="31">
        <v>16099.572507678598</v>
      </c>
      <c r="K200" s="31">
        <v>16099.572507678598</v>
      </c>
      <c r="L200" s="40">
        <v>16099.572507678598</v>
      </c>
    </row>
    <row r="201" spans="2:12" x14ac:dyDescent="0.35">
      <c r="B201" s="46"/>
      <c r="C201" s="28">
        <v>16253.6971944492</v>
      </c>
      <c r="D201" s="31">
        <v>16253.6971944492</v>
      </c>
      <c r="E201" s="31">
        <v>16253.6971944492</v>
      </c>
      <c r="F201" s="31">
        <v>16253.6971944492</v>
      </c>
      <c r="G201" s="31">
        <v>16253.6971944492</v>
      </c>
      <c r="H201" s="31">
        <v>16253.6971944492</v>
      </c>
      <c r="I201" s="31">
        <v>16253.6971944492</v>
      </c>
      <c r="J201" s="31">
        <v>16253.6971944492</v>
      </c>
      <c r="K201" s="31">
        <v>16253.6971944492</v>
      </c>
      <c r="L201" s="40">
        <v>16253.6971944492</v>
      </c>
    </row>
    <row r="202" spans="2:12" x14ac:dyDescent="0.35">
      <c r="B202" s="46"/>
      <c r="C202" s="28">
        <v>16306.891099858671</v>
      </c>
      <c r="D202" s="31">
        <v>16306.891099858671</v>
      </c>
      <c r="E202" s="31">
        <v>16306.891099858671</v>
      </c>
      <c r="F202" s="31">
        <v>16306.891099858671</v>
      </c>
      <c r="G202" s="31">
        <v>16306.891099858671</v>
      </c>
      <c r="H202" s="31">
        <v>16306.891099858671</v>
      </c>
      <c r="I202" s="31">
        <v>16306.891099858671</v>
      </c>
      <c r="J202" s="31">
        <v>16306.891099858671</v>
      </c>
      <c r="K202" s="31">
        <v>16306.891099858671</v>
      </c>
      <c r="L202" s="40">
        <v>16306.891099858671</v>
      </c>
    </row>
    <row r="203" spans="2:12" x14ac:dyDescent="0.35">
      <c r="B203" s="46"/>
      <c r="C203" s="28">
        <v>16700.879297050124</v>
      </c>
      <c r="D203" s="31">
        <v>16700.879297050124</v>
      </c>
      <c r="E203" s="31">
        <v>16700.879297050124</v>
      </c>
      <c r="F203" s="31">
        <v>16700.879297050124</v>
      </c>
      <c r="G203" s="31">
        <v>16700.879297050124</v>
      </c>
      <c r="H203" s="31">
        <v>16700.879297050124</v>
      </c>
      <c r="I203" s="31">
        <v>16700.879297050124</v>
      </c>
      <c r="J203" s="31">
        <v>16700.879297050124</v>
      </c>
      <c r="K203" s="31">
        <v>16700.879297050124</v>
      </c>
      <c r="L203" s="40">
        <v>16700.879297050124</v>
      </c>
    </row>
    <row r="204" spans="2:12" x14ac:dyDescent="0.35">
      <c r="B204" s="46"/>
      <c r="C204" s="28">
        <v>16995.902767218478</v>
      </c>
      <c r="D204" s="31">
        <v>16995.902767218478</v>
      </c>
      <c r="E204" s="31">
        <v>16995.902767218478</v>
      </c>
      <c r="F204" s="31">
        <v>16995.902767218478</v>
      </c>
      <c r="G204" s="31">
        <v>16995.902767218478</v>
      </c>
      <c r="H204" s="31">
        <v>16995.902767218478</v>
      </c>
      <c r="I204" s="31">
        <v>16995.902767218478</v>
      </c>
      <c r="J204" s="31">
        <v>16995.902767218478</v>
      </c>
      <c r="K204" s="31">
        <v>16995.902767218478</v>
      </c>
      <c r="L204" s="40">
        <v>16995.902767218478</v>
      </c>
    </row>
    <row r="205" spans="2:12" x14ac:dyDescent="0.35">
      <c r="B205" s="46"/>
      <c r="C205" s="28">
        <v>17749.43989536056</v>
      </c>
      <c r="D205" s="31">
        <v>17749.43989536056</v>
      </c>
      <c r="E205" s="31">
        <v>17749.43989536056</v>
      </c>
      <c r="F205" s="31">
        <v>17749.43989536056</v>
      </c>
      <c r="G205" s="31">
        <v>17749.43989536056</v>
      </c>
      <c r="H205" s="31">
        <v>17749.43989536056</v>
      </c>
      <c r="I205" s="31">
        <v>17749.43989536056</v>
      </c>
      <c r="J205" s="31">
        <v>17749.43989536056</v>
      </c>
      <c r="K205" s="31">
        <v>17749.43989536056</v>
      </c>
      <c r="L205" s="40">
        <v>17749.43989536056</v>
      </c>
    </row>
    <row r="206" spans="2:12" x14ac:dyDescent="0.35">
      <c r="B206" s="46"/>
      <c r="C206" s="28">
        <v>18137.492557969465</v>
      </c>
      <c r="D206" s="31">
        <v>18137.492557969465</v>
      </c>
      <c r="E206" s="31">
        <v>18137.492557969465</v>
      </c>
      <c r="F206" s="31">
        <v>18137.492557969465</v>
      </c>
      <c r="G206" s="31">
        <v>18137.492557969465</v>
      </c>
      <c r="H206" s="31">
        <v>18137.492557969465</v>
      </c>
      <c r="I206" s="31">
        <v>18137.492557969465</v>
      </c>
      <c r="J206" s="31">
        <v>18137.492557969465</v>
      </c>
      <c r="K206" s="31">
        <v>18137.492557969465</v>
      </c>
      <c r="L206" s="40">
        <v>18137.492557969465</v>
      </c>
    </row>
    <row r="207" spans="2:12" x14ac:dyDescent="0.35">
      <c r="B207" s="46"/>
      <c r="C207" s="28">
        <v>18275.132573520652</v>
      </c>
      <c r="D207" s="31">
        <v>18275.132573520652</v>
      </c>
      <c r="E207" s="31">
        <v>18275.132573520652</v>
      </c>
      <c r="F207" s="31">
        <v>18275.132573520652</v>
      </c>
      <c r="G207" s="31">
        <v>18275.132573520652</v>
      </c>
      <c r="H207" s="31">
        <v>18275.132573520652</v>
      </c>
      <c r="I207" s="31">
        <v>18275.132573520652</v>
      </c>
      <c r="J207" s="31">
        <v>18275.132573520652</v>
      </c>
      <c r="K207" s="31">
        <v>18275.132573520652</v>
      </c>
      <c r="L207" s="40">
        <v>18275.132573520652</v>
      </c>
    </row>
    <row r="208" spans="2:12" x14ac:dyDescent="0.35">
      <c r="B208" s="46"/>
      <c r="C208" s="28">
        <v>18279.971352423785</v>
      </c>
      <c r="D208" s="31">
        <v>18279.971352423785</v>
      </c>
      <c r="E208" s="31">
        <v>18279.971352423785</v>
      </c>
      <c r="F208" s="31">
        <v>18279.971352423785</v>
      </c>
      <c r="G208" s="31">
        <v>18279.971352423785</v>
      </c>
      <c r="H208" s="31">
        <v>18279.971352423785</v>
      </c>
      <c r="I208" s="31">
        <v>18279.971352423785</v>
      </c>
      <c r="J208" s="31">
        <v>18279.971352423785</v>
      </c>
      <c r="K208" s="31">
        <v>18279.971352423785</v>
      </c>
      <c r="L208" s="40">
        <v>18279.971352423785</v>
      </c>
    </row>
    <row r="209" spans="2:12" x14ac:dyDescent="0.35">
      <c r="B209" s="46"/>
      <c r="C209" s="28">
        <v>18550.027251792795</v>
      </c>
      <c r="D209" s="31">
        <v>18550.027251792795</v>
      </c>
      <c r="E209" s="31">
        <v>18550.027251792795</v>
      </c>
      <c r="F209" s="31">
        <v>18550.027251792795</v>
      </c>
      <c r="G209" s="31">
        <v>18550.027251792795</v>
      </c>
      <c r="H209" s="31">
        <v>18550.027251792795</v>
      </c>
      <c r="I209" s="31">
        <v>18550.027251792795</v>
      </c>
      <c r="J209" s="31">
        <v>18550.027251792795</v>
      </c>
      <c r="K209" s="31">
        <v>18550.027251792795</v>
      </c>
      <c r="L209" s="40">
        <v>18550.027251792795</v>
      </c>
    </row>
    <row r="210" spans="2:12" x14ac:dyDescent="0.35">
      <c r="B210" s="46"/>
      <c r="C210" s="28">
        <v>18850.541842545641</v>
      </c>
      <c r="D210" s="31">
        <v>18850.541842545641</v>
      </c>
      <c r="E210" s="31">
        <v>18850.541842545641</v>
      </c>
      <c r="F210" s="31">
        <v>18850.541842545641</v>
      </c>
      <c r="G210" s="31">
        <v>18850.541842545641</v>
      </c>
      <c r="H210" s="31">
        <v>18850.541842545641</v>
      </c>
      <c r="I210" s="31">
        <v>18850.541842545641</v>
      </c>
      <c r="J210" s="31">
        <v>18850.541842545641</v>
      </c>
      <c r="K210" s="31">
        <v>18850.541842545641</v>
      </c>
      <c r="L210" s="40">
        <v>18850.541842545641</v>
      </c>
    </row>
    <row r="211" spans="2:12" x14ac:dyDescent="0.35">
      <c r="B211" s="46"/>
      <c r="C211" s="28">
        <v>19121.461733453922</v>
      </c>
      <c r="D211" s="31">
        <v>19121.461733453922</v>
      </c>
      <c r="E211" s="31">
        <v>19121.461733453922</v>
      </c>
      <c r="F211" s="31">
        <v>19121.461733453922</v>
      </c>
      <c r="G211" s="31">
        <v>19121.461733453922</v>
      </c>
      <c r="H211" s="31">
        <v>19121.461733453922</v>
      </c>
      <c r="I211" s="31">
        <v>19121.461733453922</v>
      </c>
      <c r="J211" s="31">
        <v>19121.461733453922</v>
      </c>
      <c r="K211" s="31">
        <v>19121.461733453922</v>
      </c>
      <c r="L211" s="40">
        <v>19121.461733453922</v>
      </c>
    </row>
    <row r="212" spans="2:12" x14ac:dyDescent="0.35">
      <c r="B212" s="46"/>
      <c r="C212" s="28">
        <v>20009.581705742112</v>
      </c>
      <c r="D212" s="31">
        <v>20009.581705742112</v>
      </c>
      <c r="E212" s="31">
        <v>20009.581705742112</v>
      </c>
      <c r="F212" s="31">
        <v>20009.581705742112</v>
      </c>
      <c r="G212" s="31">
        <v>20009.581705742112</v>
      </c>
      <c r="H212" s="31">
        <v>20009.581705742112</v>
      </c>
      <c r="I212" s="31">
        <v>20009.581705742112</v>
      </c>
      <c r="J212" s="31">
        <v>20009.581705742112</v>
      </c>
      <c r="K212" s="31">
        <v>20009.581705742112</v>
      </c>
      <c r="L212" s="40">
        <v>20009.581705742112</v>
      </c>
    </row>
    <row r="213" spans="2:12" x14ac:dyDescent="0.35">
      <c r="B213" s="46"/>
      <c r="C213" s="28">
        <v>20271.629283435592</v>
      </c>
      <c r="D213" s="31">
        <v>20271.629283435592</v>
      </c>
      <c r="E213" s="31">
        <v>20271.629283435592</v>
      </c>
      <c r="F213" s="31">
        <v>20271.629283435592</v>
      </c>
      <c r="G213" s="31">
        <v>20271.629283435592</v>
      </c>
      <c r="H213" s="31">
        <v>20271.629283435592</v>
      </c>
      <c r="I213" s="31">
        <v>20271.629283435592</v>
      </c>
      <c r="J213" s="31">
        <v>20271.629283435592</v>
      </c>
      <c r="K213" s="31">
        <v>20271.629283435592</v>
      </c>
      <c r="L213" s="40">
        <v>20271.629283435592</v>
      </c>
    </row>
    <row r="214" spans="2:12" x14ac:dyDescent="0.35">
      <c r="B214" s="46"/>
      <c r="C214" s="28">
        <v>20605.801968368534</v>
      </c>
      <c r="D214" s="31">
        <v>20605.801968368534</v>
      </c>
      <c r="E214" s="31">
        <v>20605.801968368534</v>
      </c>
      <c r="F214" s="31">
        <v>20605.801968368534</v>
      </c>
      <c r="G214" s="31">
        <v>20605.801968368534</v>
      </c>
      <c r="H214" s="31">
        <v>20605.801968368534</v>
      </c>
      <c r="I214" s="31">
        <v>20605.801968368534</v>
      </c>
      <c r="J214" s="31">
        <v>20605.801968368534</v>
      </c>
      <c r="K214" s="31">
        <v>20605.801968368534</v>
      </c>
      <c r="L214" s="40">
        <v>20605.801968368534</v>
      </c>
    </row>
    <row r="215" spans="2:12" x14ac:dyDescent="0.35">
      <c r="B215" s="46"/>
      <c r="C215" s="28">
        <v>20716.537345074546</v>
      </c>
      <c r="D215" s="31">
        <v>20716.537345074546</v>
      </c>
      <c r="E215" s="31">
        <v>20716.537345074546</v>
      </c>
      <c r="F215" s="31">
        <v>20716.537345074546</v>
      </c>
      <c r="G215" s="31">
        <v>20716.537345074546</v>
      </c>
      <c r="H215" s="31">
        <v>20716.537345074546</v>
      </c>
      <c r="I215" s="31">
        <v>20716.537345074546</v>
      </c>
      <c r="J215" s="31">
        <v>20716.537345074546</v>
      </c>
      <c r="K215" s="31">
        <v>20716.537345074546</v>
      </c>
      <c r="L215" s="40">
        <v>20716.537345074546</v>
      </c>
    </row>
    <row r="216" spans="2:12" x14ac:dyDescent="0.35">
      <c r="B216" s="46"/>
      <c r="C216" s="28">
        <v>20784.571646482895</v>
      </c>
      <c r="D216" s="31">
        <v>20784.571646482895</v>
      </c>
      <c r="E216" s="31">
        <v>20784.571646482895</v>
      </c>
      <c r="F216" s="31">
        <v>20784.571646482895</v>
      </c>
      <c r="G216" s="31">
        <v>20784.571646482895</v>
      </c>
      <c r="H216" s="31">
        <v>20784.571646482895</v>
      </c>
      <c r="I216" s="31">
        <v>20784.571646482895</v>
      </c>
      <c r="J216" s="31">
        <v>20784.571646482895</v>
      </c>
      <c r="K216" s="31">
        <v>20784.571646482895</v>
      </c>
      <c r="L216" s="40">
        <v>20784.571646482895</v>
      </c>
    </row>
    <row r="217" spans="2:12" x14ac:dyDescent="0.35">
      <c r="B217" s="46"/>
      <c r="C217" s="28">
        <v>20859.863409865993</v>
      </c>
      <c r="D217" s="31">
        <v>20859.863409865993</v>
      </c>
      <c r="E217" s="31">
        <v>20859.863409865993</v>
      </c>
      <c r="F217" s="31">
        <v>20859.863409865993</v>
      </c>
      <c r="G217" s="31">
        <v>20859.863409865993</v>
      </c>
      <c r="H217" s="31">
        <v>20859.863409865993</v>
      </c>
      <c r="I217" s="31">
        <v>20859.863409865993</v>
      </c>
      <c r="J217" s="31">
        <v>20859.863409865993</v>
      </c>
      <c r="K217" s="31">
        <v>20859.863409865993</v>
      </c>
      <c r="L217" s="40">
        <v>20859.863409865993</v>
      </c>
    </row>
    <row r="218" spans="2:12" x14ac:dyDescent="0.35">
      <c r="B218" s="46"/>
      <c r="C218" s="28">
        <v>20884.787279636315</v>
      </c>
      <c r="D218" s="31">
        <v>20884.787279636315</v>
      </c>
      <c r="E218" s="31">
        <v>20884.787279636315</v>
      </c>
      <c r="F218" s="31">
        <v>20884.787279636315</v>
      </c>
      <c r="G218" s="31">
        <v>20884.787279636315</v>
      </c>
      <c r="H218" s="31">
        <v>20884.787279636315</v>
      </c>
      <c r="I218" s="31">
        <v>20884.787279636315</v>
      </c>
      <c r="J218" s="31">
        <v>20884.787279636315</v>
      </c>
      <c r="K218" s="31">
        <v>20884.787279636315</v>
      </c>
      <c r="L218" s="40">
        <v>20884.787279636315</v>
      </c>
    </row>
    <row r="219" spans="2:12" x14ac:dyDescent="0.35">
      <c r="B219" s="46"/>
      <c r="C219" s="28">
        <v>21052.634005510445</v>
      </c>
      <c r="D219" s="31">
        <v>21052.634005510445</v>
      </c>
      <c r="E219" s="31">
        <v>21052.634005510445</v>
      </c>
      <c r="F219" s="31">
        <v>21052.634005510445</v>
      </c>
      <c r="G219" s="31">
        <v>21052.634005510445</v>
      </c>
      <c r="H219" s="31">
        <v>21052.634005510445</v>
      </c>
      <c r="I219" s="31">
        <v>21052.634005510445</v>
      </c>
      <c r="J219" s="31">
        <v>21052.634005510445</v>
      </c>
      <c r="K219" s="31">
        <v>21052.634005510445</v>
      </c>
      <c r="L219" s="40">
        <v>21052.634005510445</v>
      </c>
    </row>
    <row r="220" spans="2:12" x14ac:dyDescent="0.35">
      <c r="B220" s="46"/>
      <c r="C220" s="28">
        <v>21120.834806354585</v>
      </c>
      <c r="D220" s="31">
        <v>21120.834806354585</v>
      </c>
      <c r="E220" s="31">
        <v>21120.834806354585</v>
      </c>
      <c r="F220" s="31">
        <v>21120.834806354585</v>
      </c>
      <c r="G220" s="31">
        <v>21120.834806354585</v>
      </c>
      <c r="H220" s="31">
        <v>21120.834806354585</v>
      </c>
      <c r="I220" s="31">
        <v>21120.834806354585</v>
      </c>
      <c r="J220" s="31">
        <v>21120.834806354585</v>
      </c>
      <c r="K220" s="31">
        <v>21120.834806354585</v>
      </c>
      <c r="L220" s="40">
        <v>21120.834806354585</v>
      </c>
    </row>
    <row r="221" spans="2:12" x14ac:dyDescent="0.35">
      <c r="B221" s="46"/>
      <c r="C221" s="28">
        <v>21208.31736358102</v>
      </c>
      <c r="D221" s="31">
        <v>21208.31736358102</v>
      </c>
      <c r="E221" s="31">
        <v>21208.31736358102</v>
      </c>
      <c r="F221" s="31">
        <v>21208.31736358102</v>
      </c>
      <c r="G221" s="31">
        <v>21208.31736358102</v>
      </c>
      <c r="H221" s="31">
        <v>21208.31736358102</v>
      </c>
      <c r="I221" s="31">
        <v>21208.31736358102</v>
      </c>
      <c r="J221" s="31">
        <v>21208.31736358102</v>
      </c>
      <c r="K221" s="31">
        <v>21208.31736358102</v>
      </c>
      <c r="L221" s="40">
        <v>21208.31736358102</v>
      </c>
    </row>
    <row r="222" spans="2:12" x14ac:dyDescent="0.35">
      <c r="B222" s="46"/>
      <c r="C222" s="28">
        <v>21910.162607236824</v>
      </c>
      <c r="D222" s="31">
        <v>21910.162607236824</v>
      </c>
      <c r="E222" s="31">
        <v>21910.162607236824</v>
      </c>
      <c r="F222" s="31">
        <v>21910.162607236824</v>
      </c>
      <c r="G222" s="31">
        <v>21910.162607236824</v>
      </c>
      <c r="H222" s="31">
        <v>21910.162607236824</v>
      </c>
      <c r="I222" s="31">
        <v>21910.162607236824</v>
      </c>
      <c r="J222" s="31">
        <v>21910.162607236824</v>
      </c>
      <c r="K222" s="31">
        <v>21910.162607236824</v>
      </c>
      <c r="L222" s="40">
        <v>21910.162607236824</v>
      </c>
    </row>
    <row r="223" spans="2:12" x14ac:dyDescent="0.35">
      <c r="B223" s="46"/>
      <c r="C223" s="28">
        <v>22599.101972164881</v>
      </c>
      <c r="D223" s="31">
        <v>22599.101972164881</v>
      </c>
      <c r="E223" s="31">
        <v>22599.101972164881</v>
      </c>
      <c r="F223" s="31">
        <v>22599.101972164881</v>
      </c>
      <c r="G223" s="31">
        <v>22599.101972164881</v>
      </c>
      <c r="H223" s="31">
        <v>22599.101972164881</v>
      </c>
      <c r="I223" s="31">
        <v>22599.101972164881</v>
      </c>
      <c r="J223" s="31">
        <v>22599.101972164881</v>
      </c>
      <c r="K223" s="31">
        <v>22599.101972164881</v>
      </c>
      <c r="L223" s="40">
        <v>22599.101972164881</v>
      </c>
    </row>
    <row r="224" spans="2:12" x14ac:dyDescent="0.35">
      <c r="B224" s="46"/>
      <c r="C224" s="28">
        <v>23027.514391114903</v>
      </c>
      <c r="D224" s="31">
        <v>23027.514391114903</v>
      </c>
      <c r="E224" s="31">
        <v>23027.514391114903</v>
      </c>
      <c r="F224" s="31">
        <v>23027.514391114903</v>
      </c>
      <c r="G224" s="31">
        <v>23027.514391114903</v>
      </c>
      <c r="H224" s="31">
        <v>23027.514391114903</v>
      </c>
      <c r="I224" s="31">
        <v>23027.514391114903</v>
      </c>
      <c r="J224" s="31">
        <v>23027.514391114903</v>
      </c>
      <c r="K224" s="31">
        <v>23027.514391114903</v>
      </c>
      <c r="L224" s="40">
        <v>23027.514391114903</v>
      </c>
    </row>
    <row r="225" spans="2:12" x14ac:dyDescent="0.35">
      <c r="B225" s="46"/>
      <c r="C225" s="28">
        <v>23950.599108030503</v>
      </c>
      <c r="D225" s="31">
        <v>23950.599108030503</v>
      </c>
      <c r="E225" s="31">
        <v>23950.599108030503</v>
      </c>
      <c r="F225" s="31">
        <v>23950.599108030503</v>
      </c>
      <c r="G225" s="31">
        <v>23950.599108030503</v>
      </c>
      <c r="H225" s="31">
        <v>23950.599108030503</v>
      </c>
      <c r="I225" s="31">
        <v>23950.599108030503</v>
      </c>
      <c r="J225" s="31">
        <v>23950.599108030503</v>
      </c>
      <c r="K225" s="31">
        <v>23950.599108030503</v>
      </c>
      <c r="L225" s="40">
        <v>23950.599108030503</v>
      </c>
    </row>
    <row r="226" spans="2:12" x14ac:dyDescent="0.35">
      <c r="B226" s="46"/>
      <c r="C226" s="28">
        <v>25243.901161916769</v>
      </c>
      <c r="D226" s="31">
        <v>25243.901161916769</v>
      </c>
      <c r="E226" s="31">
        <v>25243.901161916769</v>
      </c>
      <c r="F226" s="31">
        <v>25243.901161916769</v>
      </c>
      <c r="G226" s="31">
        <v>25243.901161916769</v>
      </c>
      <c r="H226" s="31">
        <v>25243.901161916769</v>
      </c>
      <c r="I226" s="31">
        <v>25243.901161916769</v>
      </c>
      <c r="J226" s="31">
        <v>25243.901161916769</v>
      </c>
      <c r="K226" s="31">
        <v>25243.901161916769</v>
      </c>
      <c r="L226" s="40">
        <v>25243.901161916769</v>
      </c>
    </row>
    <row r="227" spans="2:12" x14ac:dyDescent="0.35">
      <c r="B227" s="46"/>
      <c r="C227" s="28">
        <v>25416.803287660819</v>
      </c>
      <c r="D227" s="31">
        <v>25416.803287660819</v>
      </c>
      <c r="E227" s="31">
        <v>25416.803287660819</v>
      </c>
      <c r="F227" s="31">
        <v>25416.803287660819</v>
      </c>
      <c r="G227" s="31">
        <v>25416.803287660819</v>
      </c>
      <c r="H227" s="31">
        <v>25416.803287660819</v>
      </c>
      <c r="I227" s="31">
        <v>25416.803287660819</v>
      </c>
      <c r="J227" s="31">
        <v>25416.803287660819</v>
      </c>
      <c r="K227" s="31">
        <v>25416.803287660819</v>
      </c>
      <c r="L227" s="40">
        <v>25416.803287660819</v>
      </c>
    </row>
    <row r="228" spans="2:12" x14ac:dyDescent="0.35">
      <c r="B228" s="46"/>
      <c r="C228" s="28">
        <v>26167.891675208397</v>
      </c>
      <c r="D228" s="31">
        <v>26167.891675208397</v>
      </c>
      <c r="E228" s="31">
        <v>26167.891675208397</v>
      </c>
      <c r="F228" s="31">
        <v>26167.891675208397</v>
      </c>
      <c r="G228" s="31">
        <v>26167.891675208397</v>
      </c>
      <c r="H228" s="31">
        <v>26167.891675208397</v>
      </c>
      <c r="I228" s="31">
        <v>26167.891675208397</v>
      </c>
      <c r="J228" s="31">
        <v>26167.891675208397</v>
      </c>
      <c r="K228" s="31">
        <v>26167.891675208397</v>
      </c>
      <c r="L228" s="40">
        <v>26167.891675208397</v>
      </c>
    </row>
    <row r="229" spans="2:12" x14ac:dyDescent="0.35">
      <c r="B229" s="46"/>
      <c r="C229" s="28">
        <v>29373.120360236288</v>
      </c>
      <c r="D229" s="31">
        <v>29373.120360236288</v>
      </c>
      <c r="E229" s="31">
        <v>29373.120360236288</v>
      </c>
      <c r="F229" s="31">
        <v>29373.120360236288</v>
      </c>
      <c r="G229" s="31">
        <v>29373.120360236288</v>
      </c>
      <c r="H229" s="31">
        <v>29373.120360236288</v>
      </c>
      <c r="I229" s="31">
        <v>29373.120360236288</v>
      </c>
      <c r="J229" s="31">
        <v>29373.120360236288</v>
      </c>
      <c r="K229" s="31">
        <v>29373.120360236288</v>
      </c>
      <c r="L229" s="40">
        <v>29373.120360236288</v>
      </c>
    </row>
    <row r="230" spans="2:12" x14ac:dyDescent="0.35">
      <c r="B230" s="46"/>
      <c r="C230" s="28">
        <v>32875.986657654314</v>
      </c>
      <c r="D230" s="31">
        <v>32875.986657654314</v>
      </c>
      <c r="E230" s="31">
        <v>32875.986657654314</v>
      </c>
      <c r="F230" s="31">
        <v>32875.986657654314</v>
      </c>
      <c r="G230" s="31">
        <v>32875.986657654314</v>
      </c>
      <c r="H230" s="31">
        <v>32875.986657654314</v>
      </c>
      <c r="I230" s="31">
        <v>32875.986657654314</v>
      </c>
      <c r="J230" s="31">
        <v>32875.986657654314</v>
      </c>
      <c r="K230" s="31">
        <v>32875.986657654314</v>
      </c>
      <c r="L230" s="40">
        <v>32875.986657654314</v>
      </c>
    </row>
    <row r="231" spans="2:12" ht="15" thickBot="1" x14ac:dyDescent="0.4">
      <c r="B231" s="48"/>
      <c r="C231" s="29">
        <v>37001.239884867988</v>
      </c>
      <c r="D231" s="32">
        <v>37001.239884867988</v>
      </c>
      <c r="E231" s="32">
        <v>37001.239884867988</v>
      </c>
      <c r="F231" s="32">
        <v>37001.239884867988</v>
      </c>
      <c r="G231" s="32">
        <v>37001.239884867988</v>
      </c>
      <c r="H231" s="32">
        <v>37001.239884867988</v>
      </c>
      <c r="I231" s="32">
        <v>37001.239884867988</v>
      </c>
      <c r="J231" s="32">
        <v>37001.239884867988</v>
      </c>
      <c r="K231" s="32">
        <v>37001.239884867988</v>
      </c>
      <c r="L231" s="41">
        <v>37001.239884867988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87B6-B15A-4A85-9BCF-3121822AF385}">
  <dimension ref="B1:R13"/>
  <sheetViews>
    <sheetView showGridLines="0" zoomScale="94" workbookViewId="0">
      <selection activeCell="K8" sqref="K8"/>
    </sheetView>
  </sheetViews>
  <sheetFormatPr defaultColWidth="9.08984375" defaultRowHeight="14.5" x14ac:dyDescent="0.35"/>
  <cols>
    <col min="1" max="1" width="0.26953125" customWidth="1"/>
    <col min="2" max="2" width="6.1796875" bestFit="1" customWidth="1"/>
    <col min="3" max="3" width="10.453125" bestFit="1" customWidth="1"/>
    <col min="4" max="4" width="5.36328125" bestFit="1" customWidth="1"/>
    <col min="5" max="5" width="3.36328125" bestFit="1" customWidth="1"/>
    <col min="7" max="7" width="5.36328125" bestFit="1" customWidth="1"/>
    <col min="8" max="9" width="7.7265625" bestFit="1" customWidth="1"/>
    <col min="10" max="10" width="8.54296875" bestFit="1" customWidth="1"/>
    <col min="11" max="12" width="7.7265625" bestFit="1" customWidth="1"/>
    <col min="13" max="13" width="10.08984375" bestFit="1" customWidth="1"/>
    <col min="14" max="14" width="11.36328125" bestFit="1" customWidth="1"/>
    <col min="15" max="15" width="6.1796875" bestFit="1" customWidth="1"/>
    <col min="16" max="16" width="7.1796875" bestFit="1" customWidth="1"/>
    <col min="17" max="17" width="7.7265625" bestFit="1" customWidth="1"/>
    <col min="18" max="18" width="8.54296875" bestFit="1" customWidth="1"/>
  </cols>
  <sheetData>
    <row r="1" spans="2:18" s="6" customFormat="1" ht="102.5" customHeight="1" thickBot="1" x14ac:dyDescent="0.5"/>
    <row r="2" spans="2:18" x14ac:dyDescent="0.35">
      <c r="B2" s="56" t="s">
        <v>114</v>
      </c>
      <c r="C2" s="59"/>
      <c r="D2" s="59"/>
      <c r="E2" s="59"/>
      <c r="F2" s="59"/>
      <c r="G2" s="57"/>
      <c r="H2" s="58" t="s">
        <v>115</v>
      </c>
      <c r="I2" s="59"/>
      <c r="J2" s="59"/>
      <c r="K2" s="59"/>
      <c r="L2" s="59"/>
      <c r="M2" s="59"/>
      <c r="N2" s="59"/>
      <c r="O2" s="59"/>
      <c r="P2" s="59"/>
      <c r="Q2" s="59"/>
      <c r="R2" s="60"/>
    </row>
    <row r="3" spans="2:18" x14ac:dyDescent="0.35">
      <c r="B3" s="10" t="s">
        <v>116</v>
      </c>
      <c r="C3" s="7" t="s">
        <v>117</v>
      </c>
      <c r="D3" s="7" t="s">
        <v>118</v>
      </c>
      <c r="E3" s="7" t="s">
        <v>72</v>
      </c>
      <c r="F3" s="7" t="s">
        <v>119</v>
      </c>
      <c r="G3" s="23" t="s">
        <v>120</v>
      </c>
      <c r="H3" s="19" t="s">
        <v>121</v>
      </c>
      <c r="I3" s="7" t="s">
        <v>122</v>
      </c>
      <c r="J3" s="7" t="s">
        <v>123</v>
      </c>
      <c r="K3" s="7" t="s">
        <v>124</v>
      </c>
      <c r="L3" s="7" t="s">
        <v>125</v>
      </c>
      <c r="M3" s="7" t="s">
        <v>126</v>
      </c>
      <c r="N3" s="7" t="s">
        <v>127</v>
      </c>
      <c r="O3" s="7" t="s">
        <v>128</v>
      </c>
      <c r="P3" s="7" t="s">
        <v>129</v>
      </c>
      <c r="Q3" s="42">
        <v>0.05</v>
      </c>
      <c r="R3" s="43">
        <v>0.95</v>
      </c>
    </row>
    <row r="4" spans="2:18" x14ac:dyDescent="0.35">
      <c r="B4" s="11" t="s">
        <v>130</v>
      </c>
      <c r="C4" s="8" t="s">
        <v>131</v>
      </c>
      <c r="D4" s="8" t="s">
        <v>102</v>
      </c>
      <c r="E4" s="8" t="s">
        <v>132</v>
      </c>
      <c r="F4" s="8" t="s">
        <v>133</v>
      </c>
      <c r="G4" s="24">
        <v>30</v>
      </c>
      <c r="H4" s="27">
        <v>7196.3302429742571</v>
      </c>
      <c r="I4" s="30">
        <v>3991.4762436016463</v>
      </c>
      <c r="J4" s="30">
        <v>37001.239884867988</v>
      </c>
      <c r="K4" s="30">
        <v>4063.6126127722623</v>
      </c>
      <c r="L4" s="30">
        <v>5640.7218904953952</v>
      </c>
      <c r="M4" s="30">
        <v>4598.0333864677305</v>
      </c>
      <c r="N4" s="33">
        <v>21141911.023071907</v>
      </c>
      <c r="O4" s="36">
        <v>11.916112215449237</v>
      </c>
      <c r="P4" s="36">
        <v>2.7701730336812034</v>
      </c>
      <c r="Q4" s="30">
        <v>4055.9107999972593</v>
      </c>
      <c r="R4" s="39">
        <v>18137.492557969465</v>
      </c>
    </row>
    <row r="5" spans="2:18" x14ac:dyDescent="0.35">
      <c r="B5" s="12" t="s">
        <v>130</v>
      </c>
      <c r="C5" s="9" t="s">
        <v>131</v>
      </c>
      <c r="D5" s="9" t="s">
        <v>102</v>
      </c>
      <c r="E5" s="9" t="s">
        <v>132</v>
      </c>
      <c r="F5" s="9" t="s">
        <v>134</v>
      </c>
      <c r="G5" s="25">
        <v>35.55555555555555</v>
      </c>
      <c r="H5" s="28">
        <v>7196.3302429742571</v>
      </c>
      <c r="I5" s="31">
        <v>3991.4762436016463</v>
      </c>
      <c r="J5" s="31">
        <v>37001.239884867988</v>
      </c>
      <c r="K5" s="31">
        <v>4063.6126127722623</v>
      </c>
      <c r="L5" s="31">
        <v>5640.7218904953952</v>
      </c>
      <c r="M5" s="31">
        <v>4598.0333864677305</v>
      </c>
      <c r="N5" s="34">
        <v>21141911.023071907</v>
      </c>
      <c r="O5" s="37">
        <v>11.916112215449237</v>
      </c>
      <c r="P5" s="37">
        <v>2.7701730336812034</v>
      </c>
      <c r="Q5" s="31">
        <v>4055.9107999972593</v>
      </c>
      <c r="R5" s="40">
        <v>18137.492557969465</v>
      </c>
    </row>
    <row r="6" spans="2:18" x14ac:dyDescent="0.35">
      <c r="B6" s="12" t="s">
        <v>130</v>
      </c>
      <c r="C6" s="9" t="s">
        <v>131</v>
      </c>
      <c r="D6" s="9" t="s">
        <v>102</v>
      </c>
      <c r="E6" s="9" t="s">
        <v>132</v>
      </c>
      <c r="F6" s="9" t="s">
        <v>135</v>
      </c>
      <c r="G6" s="25">
        <v>41.111111111111107</v>
      </c>
      <c r="H6" s="28">
        <v>7196.3302429742571</v>
      </c>
      <c r="I6" s="31">
        <v>3991.4762436016463</v>
      </c>
      <c r="J6" s="31">
        <v>37001.239884867988</v>
      </c>
      <c r="K6" s="31">
        <v>4063.6126127722623</v>
      </c>
      <c r="L6" s="31">
        <v>5640.7218904953952</v>
      </c>
      <c r="M6" s="31">
        <v>4598.0333864677305</v>
      </c>
      <c r="N6" s="34">
        <v>21141911.023071907</v>
      </c>
      <c r="O6" s="37">
        <v>11.916112215449237</v>
      </c>
      <c r="P6" s="37">
        <v>2.7701730336812034</v>
      </c>
      <c r="Q6" s="31">
        <v>4055.9107999972593</v>
      </c>
      <c r="R6" s="40">
        <v>18137.492557969465</v>
      </c>
    </row>
    <row r="7" spans="2:18" x14ac:dyDescent="0.35">
      <c r="B7" s="12" t="s">
        <v>130</v>
      </c>
      <c r="C7" s="9" t="s">
        <v>131</v>
      </c>
      <c r="D7" s="9" t="s">
        <v>102</v>
      </c>
      <c r="E7" s="9" t="s">
        <v>132</v>
      </c>
      <c r="F7" s="9" t="s">
        <v>136</v>
      </c>
      <c r="G7" s="25">
        <v>46.666666666666671</v>
      </c>
      <c r="H7" s="28">
        <v>7196.3302429742571</v>
      </c>
      <c r="I7" s="31">
        <v>3991.4762436016463</v>
      </c>
      <c r="J7" s="31">
        <v>37001.239884867988</v>
      </c>
      <c r="K7" s="31">
        <v>4063.6126127722623</v>
      </c>
      <c r="L7" s="31">
        <v>5640.7218904953952</v>
      </c>
      <c r="M7" s="31">
        <v>4598.0333864677305</v>
      </c>
      <c r="N7" s="34">
        <v>21141911.023071907</v>
      </c>
      <c r="O7" s="37">
        <v>11.916112215449237</v>
      </c>
      <c r="P7" s="37">
        <v>2.7701730336812034</v>
      </c>
      <c r="Q7" s="31">
        <v>4055.9107999972593</v>
      </c>
      <c r="R7" s="40">
        <v>18137.492557969465</v>
      </c>
    </row>
    <row r="8" spans="2:18" x14ac:dyDescent="0.35">
      <c r="B8" s="12" t="s">
        <v>130</v>
      </c>
      <c r="C8" s="9" t="s">
        <v>131</v>
      </c>
      <c r="D8" s="9" t="s">
        <v>102</v>
      </c>
      <c r="E8" s="9" t="s">
        <v>132</v>
      </c>
      <c r="F8" s="9" t="s">
        <v>137</v>
      </c>
      <c r="G8" s="25">
        <v>52.222222222222214</v>
      </c>
      <c r="H8" s="28">
        <v>7196.3302429742571</v>
      </c>
      <c r="I8" s="31">
        <v>3991.4762436016463</v>
      </c>
      <c r="J8" s="31">
        <v>37001.239884867988</v>
      </c>
      <c r="K8" s="31">
        <v>4063.6126127722623</v>
      </c>
      <c r="L8" s="31">
        <v>5640.7218904953952</v>
      </c>
      <c r="M8" s="31">
        <v>4598.0333864677305</v>
      </c>
      <c r="N8" s="34">
        <v>21141911.023071907</v>
      </c>
      <c r="O8" s="37">
        <v>11.916112215449237</v>
      </c>
      <c r="P8" s="37">
        <v>2.7701730336812034</v>
      </c>
      <c r="Q8" s="31">
        <v>4055.9107999972593</v>
      </c>
      <c r="R8" s="40">
        <v>18137.492557969465</v>
      </c>
    </row>
    <row r="9" spans="2:18" x14ac:dyDescent="0.35">
      <c r="B9" s="12" t="s">
        <v>130</v>
      </c>
      <c r="C9" s="9" t="s">
        <v>131</v>
      </c>
      <c r="D9" s="9" t="s">
        <v>102</v>
      </c>
      <c r="E9" s="9" t="s">
        <v>132</v>
      </c>
      <c r="F9" s="9" t="s">
        <v>138</v>
      </c>
      <c r="G9" s="25">
        <v>57.777777777777786</v>
      </c>
      <c r="H9" s="28">
        <v>7196.3302429742571</v>
      </c>
      <c r="I9" s="31">
        <v>3991.4762436016463</v>
      </c>
      <c r="J9" s="31">
        <v>37001.239884867988</v>
      </c>
      <c r="K9" s="31">
        <v>4063.6126127722623</v>
      </c>
      <c r="L9" s="31">
        <v>5640.7218904953952</v>
      </c>
      <c r="M9" s="31">
        <v>4598.0333864677305</v>
      </c>
      <c r="N9" s="34">
        <v>21141911.023071907</v>
      </c>
      <c r="O9" s="37">
        <v>11.916112215449237</v>
      </c>
      <c r="P9" s="37">
        <v>2.7701730336812034</v>
      </c>
      <c r="Q9" s="31">
        <v>4055.9107999972593</v>
      </c>
      <c r="R9" s="40">
        <v>18137.492557969465</v>
      </c>
    </row>
    <row r="10" spans="2:18" x14ac:dyDescent="0.35">
      <c r="B10" s="12" t="s">
        <v>130</v>
      </c>
      <c r="C10" s="9" t="s">
        <v>131</v>
      </c>
      <c r="D10" s="9" t="s">
        <v>102</v>
      </c>
      <c r="E10" s="9" t="s">
        <v>132</v>
      </c>
      <c r="F10" s="9" t="s">
        <v>139</v>
      </c>
      <c r="G10" s="25">
        <v>63.333333333333336</v>
      </c>
      <c r="H10" s="28">
        <v>7196.3302429742571</v>
      </c>
      <c r="I10" s="31">
        <v>3991.4762436016463</v>
      </c>
      <c r="J10" s="31">
        <v>37001.239884867988</v>
      </c>
      <c r="K10" s="31">
        <v>4063.6126127722623</v>
      </c>
      <c r="L10" s="31">
        <v>5640.7218904953952</v>
      </c>
      <c r="M10" s="31">
        <v>4598.0333864677305</v>
      </c>
      <c r="N10" s="34">
        <v>21141911.023071907</v>
      </c>
      <c r="O10" s="37">
        <v>11.916112215449237</v>
      </c>
      <c r="P10" s="37">
        <v>2.7701730336812034</v>
      </c>
      <c r="Q10" s="31">
        <v>4055.9107999972593</v>
      </c>
      <c r="R10" s="40">
        <v>18137.492557969465</v>
      </c>
    </row>
    <row r="11" spans="2:18" x14ac:dyDescent="0.35">
      <c r="B11" s="12" t="s">
        <v>130</v>
      </c>
      <c r="C11" s="9" t="s">
        <v>131</v>
      </c>
      <c r="D11" s="9" t="s">
        <v>102</v>
      </c>
      <c r="E11" s="9" t="s">
        <v>132</v>
      </c>
      <c r="F11" s="9" t="s">
        <v>140</v>
      </c>
      <c r="G11" s="25">
        <v>68.888888888888886</v>
      </c>
      <c r="H11" s="28">
        <v>7196.3302429742571</v>
      </c>
      <c r="I11" s="31">
        <v>3991.4762436016463</v>
      </c>
      <c r="J11" s="31">
        <v>37001.239884867988</v>
      </c>
      <c r="K11" s="31">
        <v>4063.6126127722623</v>
      </c>
      <c r="L11" s="31">
        <v>5640.7218904953952</v>
      </c>
      <c r="M11" s="31">
        <v>4598.0333864677305</v>
      </c>
      <c r="N11" s="34">
        <v>21141911.023071907</v>
      </c>
      <c r="O11" s="37">
        <v>11.916112215449237</v>
      </c>
      <c r="P11" s="37">
        <v>2.7701730336812034</v>
      </c>
      <c r="Q11" s="31">
        <v>4055.9107999972593</v>
      </c>
      <c r="R11" s="40">
        <v>18137.492557969465</v>
      </c>
    </row>
    <row r="12" spans="2:18" x14ac:dyDescent="0.35">
      <c r="B12" s="12" t="s">
        <v>130</v>
      </c>
      <c r="C12" s="9" t="s">
        <v>131</v>
      </c>
      <c r="D12" s="9" t="s">
        <v>102</v>
      </c>
      <c r="E12" s="9" t="s">
        <v>132</v>
      </c>
      <c r="F12" s="9" t="s">
        <v>141</v>
      </c>
      <c r="G12" s="25">
        <v>74.444444444444429</v>
      </c>
      <c r="H12" s="28">
        <v>7196.3302429742571</v>
      </c>
      <c r="I12" s="31">
        <v>3991.4762436016463</v>
      </c>
      <c r="J12" s="31">
        <v>37001.239884867988</v>
      </c>
      <c r="K12" s="31">
        <v>4063.6126127722623</v>
      </c>
      <c r="L12" s="31">
        <v>5640.7218904953952</v>
      </c>
      <c r="M12" s="31">
        <v>4598.0333864677305</v>
      </c>
      <c r="N12" s="34">
        <v>21141911.023071907</v>
      </c>
      <c r="O12" s="37">
        <v>11.916112215449237</v>
      </c>
      <c r="P12" s="37">
        <v>2.7701730336812034</v>
      </c>
      <c r="Q12" s="31">
        <v>4055.9107999972593</v>
      </c>
      <c r="R12" s="40">
        <v>18137.492557969465</v>
      </c>
    </row>
    <row r="13" spans="2:18" ht="15" thickBot="1" x14ac:dyDescent="0.4">
      <c r="B13" s="16" t="s">
        <v>130</v>
      </c>
      <c r="C13" s="17" t="s">
        <v>131</v>
      </c>
      <c r="D13" s="17" t="s">
        <v>102</v>
      </c>
      <c r="E13" s="17" t="s">
        <v>132</v>
      </c>
      <c r="F13" s="17" t="s">
        <v>142</v>
      </c>
      <c r="G13" s="26">
        <v>80</v>
      </c>
      <c r="H13" s="29">
        <v>7196.3302429742571</v>
      </c>
      <c r="I13" s="32">
        <v>3991.4762436016463</v>
      </c>
      <c r="J13" s="32">
        <v>37001.239884867988</v>
      </c>
      <c r="K13" s="32">
        <v>4063.6126127722623</v>
      </c>
      <c r="L13" s="32">
        <v>5640.7218904953952</v>
      </c>
      <c r="M13" s="32">
        <v>4598.0333864677305</v>
      </c>
      <c r="N13" s="35">
        <v>21141911.023071907</v>
      </c>
      <c r="O13" s="38">
        <v>11.916112215449237</v>
      </c>
      <c r="P13" s="38">
        <v>2.7701730336812034</v>
      </c>
      <c r="Q13" s="32">
        <v>4055.9107999972593</v>
      </c>
      <c r="R13" s="41">
        <v>18137.492557969465</v>
      </c>
    </row>
  </sheetData>
  <mergeCells count="2">
    <mergeCell ref="B2:G2"/>
    <mergeCell ref="H2:R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senseInfo</vt:lpstr>
      <vt:lpstr>_AdvSensInfo_</vt:lpstr>
      <vt:lpstr>RiskSerializationData8</vt:lpstr>
      <vt:lpstr>rsklibSimData</vt:lpstr>
      <vt:lpstr>part(a)</vt:lpstr>
      <vt:lpstr>parta</vt:lpstr>
      <vt:lpstr>Cell B11</vt:lpstr>
      <vt:lpstr>Summary</vt:lpstr>
      <vt:lpstr>RiskSerializationData8!BrowseRecords</vt:lpstr>
      <vt:lpstr>RiskSerializationData8!DistributionRecords</vt:lpstr>
      <vt:lpstr>RiskSerializationData8!SerializationHeader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Dilpreet Singh</dc:creator>
  <cp:lastModifiedBy>Dilpreet Singh</cp:lastModifiedBy>
  <dcterms:created xsi:type="dcterms:W3CDTF">2024-05-06T21:25:47Z</dcterms:created>
  <dcterms:modified xsi:type="dcterms:W3CDTF">2024-06-11T21:34:44Z</dcterms:modified>
</cp:coreProperties>
</file>