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1b517cc5a0cc3/Desktop/balli assessment/"/>
    </mc:Choice>
  </mc:AlternateContent>
  <xr:revisionPtr revIDLastSave="759" documentId="13_ncr:1_{85AD88F9-497D-4091-A1FD-E40BE715E308}" xr6:coauthVersionLast="47" xr6:coauthVersionMax="47" xr10:uidLastSave="{F3D8F631-C1EA-4599-911A-A64AA4DF3502}"/>
  <bookViews>
    <workbookView xWindow="-110" yWindow="-110" windowWidth="19420" windowHeight="10300" activeTab="3" xr2:uid="{00000000-000D-0000-FFFF-FFFF00000000}"/>
  </bookViews>
  <sheets>
    <sheet name="part(a)" sheetId="1" r:id="rId1"/>
    <sheet name="Answer Report a,b" sheetId="5" r:id="rId2"/>
    <sheet name="Sensitivity Report a,b" sheetId="6" r:id="rId3"/>
    <sheet name="Answer Report c" sheetId="21" r:id="rId4"/>
    <sheet name="Sensitivity Report c" sheetId="22" r:id="rId5"/>
  </sheets>
  <definedNames>
    <definedName name="solver_adj" localSheetId="0" hidden="1">'part(a)'!$B$34:$B$36,'part(a)'!$B$9:$B$10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'part(a)'!$B$46</definedName>
    <definedName name="solver_lhs2" localSheetId="0" hidden="1">'part(a)'!$B$47</definedName>
    <definedName name="solver_lhs3" localSheetId="0" hidden="1">'part(a)'!$B$48</definedName>
    <definedName name="solver_lhs4" localSheetId="0" hidden="1">'part(a)'!$K$19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'part(a)'!$B$54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'part(a)'!$D$46</definedName>
    <definedName name="solver_rhs2" localSheetId="0" hidden="1">'part(a)'!$D$47</definedName>
    <definedName name="solver_rhs3" localSheetId="0" hidden="1">'part(a)'!$D$48</definedName>
    <definedName name="solver_rhs4" localSheetId="0" hidden="1">'part(a)'!$M$19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53" i="1"/>
  <c r="D46" i="1"/>
  <c r="D48" i="1"/>
  <c r="D47" i="1"/>
  <c r="B48" i="1"/>
  <c r="B47" i="1"/>
  <c r="B46" i="1"/>
  <c r="K17" i="1"/>
  <c r="B17" i="1"/>
  <c r="K23" i="1" l="1"/>
  <c r="K18" i="1"/>
  <c r="M19" i="1"/>
  <c r="B54" i="1"/>
  <c r="M17" i="1"/>
  <c r="M18" i="1"/>
  <c r="D19" i="1"/>
  <c r="B19" i="1"/>
  <c r="D18" i="1"/>
  <c r="B18" i="1"/>
  <c r="D17" i="1"/>
  <c r="K19" i="1" l="1"/>
  <c r="K24" i="1"/>
</calcChain>
</file>

<file path=xl/sharedStrings.xml><?xml version="1.0" encoding="utf-8"?>
<sst xmlns="http://schemas.openxmlformats.org/spreadsheetml/2006/main" count="259" uniqueCount="108">
  <si>
    <t>Deparment</t>
  </si>
  <si>
    <t>Product A</t>
  </si>
  <si>
    <t>Product B</t>
  </si>
  <si>
    <t>Available Hours/Limit</t>
  </si>
  <si>
    <t>Deparment A</t>
  </si>
  <si>
    <t>Deparment B</t>
  </si>
  <si>
    <t>Deparment C</t>
  </si>
  <si>
    <t>Profit contribution / unit</t>
  </si>
  <si>
    <t>Product A Qty</t>
  </si>
  <si>
    <t>&lt;=</t>
  </si>
  <si>
    <t>Product B Qty</t>
  </si>
  <si>
    <t>Hours Available</t>
  </si>
  <si>
    <t>Used Hours A</t>
  </si>
  <si>
    <t>Used Hours B</t>
  </si>
  <si>
    <t>Used Hours C</t>
  </si>
  <si>
    <t>Total Profit</t>
  </si>
  <si>
    <t>Microsoft Excel 16.0 Answer Report</t>
  </si>
  <si>
    <t>Worksheet: [Problem 3.xlsx]part(a)</t>
  </si>
  <si>
    <t>Result: Solver found a solution.  All Constraints and optimality conditions are satisfied.</t>
  </si>
  <si>
    <t>Solver Engine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</si>
  <si>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</si>
  <si>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</si>
  <si>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</si>
  <si>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</si>
  <si>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</si>
  <si>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</si>
  <si>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</si>
  <si>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</si>
  <si>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</si>
  <si>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</si>
  <si>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</si>
  <si>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</si>
  <si>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</si>
  <si>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</si>
  <si>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</si>
  <si>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$B$22</t>
  </si>
  <si>
    <t>Total Profit Product A</t>
  </si>
  <si>
    <t>$B$9</t>
  </si>
  <si>
    <t>Product A Qty Product A</t>
  </si>
  <si>
    <t>Contin</t>
  </si>
  <si>
    <t>$B$10</t>
  </si>
  <si>
    <t>Product B Qty Product A</t>
  </si>
  <si>
    <t>$B$17</t>
  </si>
  <si>
    <t>Used Hours A Product A</t>
  </si>
  <si>
    <t>$B$17&lt;=$D$17</t>
  </si>
  <si>
    <t>Binding</t>
  </si>
  <si>
    <t>$B$18</t>
  </si>
  <si>
    <t>Used Hours B Product A</t>
  </si>
  <si>
    <t>$B$18&lt;=$D$18</t>
  </si>
  <si>
    <t>$B$19</t>
  </si>
  <si>
    <t>Used Hours C Product A</t>
  </si>
  <si>
    <t>$B$19&lt;=$D$19</t>
  </si>
  <si>
    <t>Not Binding</t>
  </si>
  <si>
    <t>Microsoft Excel 16.0 Sensitivity Report</t>
  </si>
  <si>
    <t>Final</t>
  </si>
  <si>
    <t>Value</t>
  </si>
  <si>
    <t>Reduced</t>
  </si>
  <si>
    <t>Report Created: 05-05-2024 12:49:02</t>
  </si>
  <si>
    <t>Engine: Simplex LP</t>
  </si>
  <si>
    <t>Solution Time: 0.015 Seconds.</t>
  </si>
  <si>
    <t>Iterations: 2 Subproblems: 0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</si>
  <si>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</si>
  <si>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</si>
  <si>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</si>
  <si>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</si>
  <si>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</si>
  <si>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</si>
  <si>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</si>
  <si>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</si>
  <si>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</si>
  <si>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</si>
  <si>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part(b)</t>
  </si>
  <si>
    <t>Overtime Variable</t>
  </si>
  <si>
    <t>Overtime A</t>
  </si>
  <si>
    <t>Overtime B</t>
  </si>
  <si>
    <t>Overtime C</t>
  </si>
  <si>
    <t>Cost for Deparment B</t>
  </si>
  <si>
    <t>Cost for Deparment C</t>
  </si>
  <si>
    <t>Cost for Deparment A</t>
  </si>
  <si>
    <t>Objective function:</t>
  </si>
  <si>
    <t>Decision variables:</t>
  </si>
  <si>
    <t>Subject to:</t>
  </si>
  <si>
    <t xml:space="preserve">product A </t>
  </si>
  <si>
    <t>Decisions variables:</t>
  </si>
  <si>
    <t>Cost per hour of overtime</t>
  </si>
  <si>
    <r>
      <t>Cost of Overtime</t>
    </r>
    <r>
      <rPr>
        <sz val="8"/>
        <color rgb="FF0D0D0D"/>
        <rFont val="Segoe UI"/>
        <family val="2"/>
      </rPr>
      <t>:</t>
    </r>
  </si>
  <si>
    <t>Product A Qty Product B Qty</t>
  </si>
  <si>
    <t>&gt;=</t>
  </si>
  <si>
    <t>part(c)</t>
  </si>
  <si>
    <t>Cost of Overtime:</t>
  </si>
  <si>
    <t>$B$54</t>
  </si>
  <si>
    <t>$B$34</t>
  </si>
  <si>
    <t>Overtime A &gt;=</t>
  </si>
  <si>
    <t>$B$35</t>
  </si>
  <si>
    <t>Overtime B &gt;=</t>
  </si>
  <si>
    <t>$B$36</t>
  </si>
  <si>
    <t>Overtime C &gt;=</t>
  </si>
  <si>
    <t>$B$46</t>
  </si>
  <si>
    <t>Used Hours A &gt;=</t>
  </si>
  <si>
    <t>$B$46&lt;=$D$46</t>
  </si>
  <si>
    <t>$B$47</t>
  </si>
  <si>
    <t>Used Hours B &gt;=</t>
  </si>
  <si>
    <t>$B$47&lt;=$D$47</t>
  </si>
  <si>
    <t>$B$48</t>
  </si>
  <si>
    <t>Used Hours C &gt;=</t>
  </si>
  <si>
    <t>$B$48&lt;=$D$48</t>
  </si>
  <si>
    <t>Report Created: 09-05-2024 03:32:03</t>
  </si>
  <si>
    <t>Solution Time: 0.062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</si>
</sst>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&quot; &quot;[$£-809]* #,##0&quot; &quot;;&quot;-&quot;[$£-809]* #,##0&quot; &quot;;&quot; &quot;[$£-809]* &quot;-&quot;#&quot; &quot;;&quot; &quot;@&quot; &quot;"/>
    <numFmt numFmtId="165" formatCode="_-[$£-809]* #,##0_-;\-[$£-809]* #,##0_-;_-[$£-809]* &quot;-&quot;??_-;_-@_-"/>
    <numFmt numFmtId="166" formatCode="0.0"/>
    <numFmt numFmtId="167" formatCode="_-[$£-809]* #,##0.0_-;\-[$£-809]* #,##0.0_-;_-[$£-809]* &quot;-&quot;?_-;_-@_-"/>
    <numFmt numFmtId="168" formatCode="_-[$£-809]* #,##0.0_-;\-[$£-809]* #,##0.0_-;_-[$£-809]* &quot;-&quot;??_-;_-@_-"/>
  </numFmts>
  <fonts count="8" x14ac:knownFonts="1">
    <font>
      <sz val="11"/>
      <color rgb="FF000000"/>
      <name val="Aptos Narrow"/>
      <family val="2"/>
    </font>
    <font>
      <sz val="10"/>
      <color rgb="FF0D0D0D"/>
      <name val="Arial"/>
      <family val="2"/>
    </font>
    <font>
      <sz val="11"/>
      <color rgb="FF000000"/>
      <name val="Arial"/>
      <family val="2"/>
    </font>
    <font>
      <sz val="7"/>
      <color rgb="FF000000"/>
      <name val="Arial"/>
      <family val="2"/>
    </font>
    <font>
      <b/>
      <sz val="11"/>
      <color rgb="FF000000"/>
      <name val="Aptos Narrow"/>
      <family val="2"/>
    </font>
    <font>
      <b/>
      <sz val="11"/>
      <color indexed="18"/>
      <name val="Aptos Narrow"/>
      <family val="2"/>
    </font>
    <font>
      <sz val="11"/>
      <color rgb="FF000000"/>
      <name val="Aptos Narrow"/>
      <family val="2"/>
    </font>
    <font>
      <sz val="8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164" fontId="0" fillId="0" borderId="4" xfId="0" applyNumberForma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/>
    <xf numFmtId="164" fontId="2" fillId="0" borderId="6" xfId="0" applyNumberFormat="1" applyFont="1" applyBorder="1"/>
    <xf numFmtId="165" fontId="2" fillId="0" borderId="0" xfId="1" applyNumberFormat="1" applyFont="1"/>
    <xf numFmtId="166" fontId="2" fillId="0" borderId="0" xfId="0" applyNumberFormat="1" applyFont="1"/>
    <xf numFmtId="167" fontId="2" fillId="0" borderId="0" xfId="0" applyNumberFormat="1" applyFont="1"/>
    <xf numFmtId="0" fontId="7" fillId="0" borderId="0" xfId="0" applyFont="1"/>
    <xf numFmtId="1" fontId="2" fillId="0" borderId="0" xfId="1" applyNumberFormat="1" applyFont="1"/>
    <xf numFmtId="1" fontId="2" fillId="0" borderId="0" xfId="0" applyNumberFormat="1" applyFont="1"/>
    <xf numFmtId="168" fontId="2" fillId="0" borderId="0" xfId="1" applyNumberFormat="1" applyFont="1"/>
    <xf numFmtId="0" fontId="0" fillId="0" borderId="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164" fontId="0" fillId="0" borderId="4" xfId="0" applyNumberFormat="1" applyFill="1" applyBorder="1" applyAlignment="1"/>
    <xf numFmtId="1" fontId="0" fillId="0" borderId="5" xfId="0" applyNumberFormat="1" applyFill="1" applyBorder="1" applyAlignment="1"/>
    <xf numFmtId="0" fontId="0" fillId="0" borderId="5" xfId="0" applyNumberFormat="1" applyFill="1" applyBorder="1" applyAlignment="1"/>
    <xf numFmtId="0" fontId="0" fillId="0" borderId="4" xfId="0" applyNumberForma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</cellXfs>
  <cellStyles count="2">
    <cellStyle name="Currency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opLeftCell="A28" zoomScale="75" zoomScaleNormal="75" workbookViewId="0">
      <selection activeCell="B37" sqref="B37"/>
    </sheetView>
  </sheetViews>
  <sheetFormatPr defaultRowHeight="14" x14ac:dyDescent="0.3"/>
  <cols>
    <col min="1" max="1" width="26.453125" style="1" bestFit="1" customWidth="1"/>
    <col min="2" max="3" width="8.7265625" style="1" customWidth="1"/>
    <col min="4" max="4" width="18.08984375" style="1" bestFit="1" customWidth="1"/>
    <col min="5" max="5" width="8.7265625" style="1" customWidth="1"/>
    <col min="6" max="9" width="8.7265625" style="1"/>
    <col min="10" max="10" width="23.54296875" style="1" bestFit="1" customWidth="1"/>
    <col min="11" max="12" width="8.7265625" style="1"/>
    <col min="13" max="13" width="13.36328125" style="1" bestFit="1" customWidth="1"/>
    <col min="14" max="16384" width="8.7265625" style="1"/>
  </cols>
  <sheetData>
    <row r="1" spans="1:13" x14ac:dyDescent="0.3">
      <c r="A1" s="11" t="s">
        <v>0</v>
      </c>
      <c r="B1" s="11" t="s">
        <v>1</v>
      </c>
      <c r="C1" s="11" t="s">
        <v>2</v>
      </c>
      <c r="D1" s="11" t="s">
        <v>3</v>
      </c>
      <c r="J1" s="1" t="s">
        <v>71</v>
      </c>
    </row>
    <row r="2" spans="1:13" x14ac:dyDescent="0.3">
      <c r="A2" s="12" t="s">
        <v>4</v>
      </c>
      <c r="B2" s="12">
        <v>1</v>
      </c>
      <c r="C2" s="12">
        <v>0.35</v>
      </c>
      <c r="D2" s="12">
        <v>100</v>
      </c>
    </row>
    <row r="3" spans="1:13" x14ac:dyDescent="0.3">
      <c r="A3" s="12" t="s">
        <v>5</v>
      </c>
      <c r="B3" s="12">
        <v>0.3</v>
      </c>
      <c r="C3" s="12">
        <v>0.2</v>
      </c>
      <c r="D3" s="12">
        <v>36</v>
      </c>
      <c r="J3" s="1" t="s">
        <v>83</v>
      </c>
    </row>
    <row r="4" spans="1:13" x14ac:dyDescent="0.3">
      <c r="A4" s="12" t="s">
        <v>6</v>
      </c>
      <c r="B4" s="12">
        <v>0.2</v>
      </c>
      <c r="C4" s="12">
        <v>0.5</v>
      </c>
      <c r="D4" s="12">
        <v>50</v>
      </c>
      <c r="J4" s="1" t="s">
        <v>72</v>
      </c>
      <c r="K4" s="1" t="s">
        <v>82</v>
      </c>
      <c r="L4" s="1" t="s">
        <v>2</v>
      </c>
    </row>
    <row r="5" spans="1:13" x14ac:dyDescent="0.3">
      <c r="A5" s="12" t="s">
        <v>7</v>
      </c>
      <c r="B5" s="13">
        <v>30</v>
      </c>
      <c r="C5" s="13">
        <v>15</v>
      </c>
      <c r="D5" s="12"/>
      <c r="J5" s="1" t="s">
        <v>73</v>
      </c>
      <c r="K5" s="15">
        <v>0</v>
      </c>
      <c r="L5" s="15">
        <v>0</v>
      </c>
    </row>
    <row r="6" spans="1:13" x14ac:dyDescent="0.3">
      <c r="A6" s="3"/>
      <c r="J6" s="1" t="s">
        <v>74</v>
      </c>
      <c r="K6" s="15">
        <v>0</v>
      </c>
      <c r="L6" s="15">
        <v>0</v>
      </c>
    </row>
    <row r="7" spans="1:13" x14ac:dyDescent="0.3">
      <c r="J7" s="1" t="s">
        <v>75</v>
      </c>
      <c r="K7" s="15">
        <v>0</v>
      </c>
      <c r="L7" s="15">
        <v>0</v>
      </c>
    </row>
    <row r="8" spans="1:13" x14ac:dyDescent="0.3">
      <c r="A8" s="1" t="s">
        <v>80</v>
      </c>
    </row>
    <row r="9" spans="1:13" x14ac:dyDescent="0.3">
      <c r="A9" s="1" t="s">
        <v>8</v>
      </c>
      <c r="B9" s="1">
        <v>77.894736842105857</v>
      </c>
      <c r="C9" s="1" t="s">
        <v>9</v>
      </c>
      <c r="D9" s="1">
        <v>30</v>
      </c>
    </row>
    <row r="10" spans="1:13" x14ac:dyDescent="0.3">
      <c r="A10" s="1" t="s">
        <v>10</v>
      </c>
      <c r="B10" s="1">
        <v>63.157894736841413</v>
      </c>
      <c r="C10" s="1" t="s">
        <v>9</v>
      </c>
      <c r="D10" s="1">
        <v>15</v>
      </c>
      <c r="J10" s="1" t="s">
        <v>84</v>
      </c>
    </row>
    <row r="11" spans="1:13" x14ac:dyDescent="0.3">
      <c r="J11" s="1" t="s">
        <v>78</v>
      </c>
      <c r="K11" s="14">
        <v>20</v>
      </c>
    </row>
    <row r="12" spans="1:13" x14ac:dyDescent="0.3">
      <c r="A12" s="1" t="s">
        <v>86</v>
      </c>
      <c r="B12" s="1" t="s">
        <v>87</v>
      </c>
      <c r="C12" s="1">
        <v>0</v>
      </c>
      <c r="J12" s="1" t="s">
        <v>76</v>
      </c>
      <c r="K12" s="14">
        <v>18</v>
      </c>
    </row>
    <row r="13" spans="1:13" ht="9" customHeight="1" x14ac:dyDescent="0.3">
      <c r="J13" s="1" t="s">
        <v>77</v>
      </c>
      <c r="K13" s="14">
        <v>15</v>
      </c>
    </row>
    <row r="15" spans="1:13" x14ac:dyDescent="0.3">
      <c r="A15" s="1" t="s">
        <v>30</v>
      </c>
    </row>
    <row r="16" spans="1:13" x14ac:dyDescent="0.3">
      <c r="A16" s="1" t="s">
        <v>81</v>
      </c>
      <c r="D16" s="1" t="s">
        <v>11</v>
      </c>
      <c r="J16" s="1" t="s">
        <v>81</v>
      </c>
      <c r="M16" s="1" t="s">
        <v>11</v>
      </c>
    </row>
    <row r="17" spans="1:13" x14ac:dyDescent="0.3">
      <c r="A17" s="1" t="s">
        <v>12</v>
      </c>
      <c r="B17" s="1">
        <f>B2*B9+C2*B10</f>
        <v>100.00000000000036</v>
      </c>
      <c r="C17" s="1" t="s">
        <v>9</v>
      </c>
      <c r="D17" s="1">
        <f>D2</f>
        <v>100</v>
      </c>
      <c r="J17" s="1" t="s">
        <v>12</v>
      </c>
      <c r="K17" s="1">
        <f>$B$9*B2+$B$10*C2+K5</f>
        <v>100.00000000000036</v>
      </c>
      <c r="L17" s="1" t="s">
        <v>9</v>
      </c>
      <c r="M17" s="1">
        <f>D2+K5</f>
        <v>100</v>
      </c>
    </row>
    <row r="18" spans="1:13" x14ac:dyDescent="0.3">
      <c r="A18" s="1" t="s">
        <v>13</v>
      </c>
      <c r="B18" s="1">
        <f>B3*B9+C3*B10</f>
        <v>36.000000000000043</v>
      </c>
      <c r="C18" s="1" t="s">
        <v>9</v>
      </c>
      <c r="D18" s="1">
        <f>D3</f>
        <v>36</v>
      </c>
      <c r="J18" s="1" t="s">
        <v>13</v>
      </c>
      <c r="K18" s="1">
        <f>$B$9*B3+$B$10*C3+K6</f>
        <v>36.000000000000043</v>
      </c>
      <c r="L18" s="1" t="s">
        <v>9</v>
      </c>
      <c r="M18" s="1">
        <f>D3+K6</f>
        <v>36</v>
      </c>
    </row>
    <row r="19" spans="1:13" x14ac:dyDescent="0.3">
      <c r="A19" s="1" t="s">
        <v>14</v>
      </c>
      <c r="B19" s="1">
        <f>B4*B9+C4*B10</f>
        <v>47.157894736841882</v>
      </c>
      <c r="C19" s="1" t="s">
        <v>9</v>
      </c>
      <c r="D19" s="1">
        <f>D4</f>
        <v>50</v>
      </c>
      <c r="J19" s="1" t="s">
        <v>14</v>
      </c>
      <c r="K19" s="1">
        <f>$B$9*B4+$B$10*C4+K7</f>
        <v>47.157894736841882</v>
      </c>
      <c r="L19" s="1" t="s">
        <v>9</v>
      </c>
      <c r="M19" s="1">
        <f>D4+K7</f>
        <v>50</v>
      </c>
    </row>
    <row r="21" spans="1:13" x14ac:dyDescent="0.3">
      <c r="A21" s="1" t="s">
        <v>79</v>
      </c>
    </row>
    <row r="22" spans="1:13" x14ac:dyDescent="0.3">
      <c r="A22" s="1" t="s">
        <v>15</v>
      </c>
      <c r="B22" s="2">
        <f>B5*B9+C5*B10</f>
        <v>3284.2105263157969</v>
      </c>
      <c r="J22" s="1" t="s">
        <v>79</v>
      </c>
    </row>
    <row r="23" spans="1:13" x14ac:dyDescent="0.3">
      <c r="J23" s="17" t="s">
        <v>85</v>
      </c>
      <c r="K23" s="16">
        <f>K5*K11+K6*K12+K7*K13</f>
        <v>0</v>
      </c>
    </row>
    <row r="24" spans="1:13" x14ac:dyDescent="0.3">
      <c r="K24" s="2">
        <f>B22-K23</f>
        <v>3284.2105263157969</v>
      </c>
    </row>
    <row r="30" spans="1:13" x14ac:dyDescent="0.3">
      <c r="A30" s="1" t="s">
        <v>88</v>
      </c>
    </row>
    <row r="32" spans="1:13" x14ac:dyDescent="0.3">
      <c r="A32" s="1" t="s">
        <v>83</v>
      </c>
    </row>
    <row r="33" spans="1:4" x14ac:dyDescent="0.3">
      <c r="A33" s="1" t="s">
        <v>72</v>
      </c>
    </row>
    <row r="34" spans="1:4" x14ac:dyDescent="0.3">
      <c r="A34" s="1" t="s">
        <v>73</v>
      </c>
      <c r="B34" s="18">
        <v>0</v>
      </c>
      <c r="C34" s="15"/>
    </row>
    <row r="35" spans="1:4" x14ac:dyDescent="0.3">
      <c r="A35" s="1" t="s">
        <v>74</v>
      </c>
      <c r="B35" s="18">
        <v>0</v>
      </c>
      <c r="C35" s="15"/>
    </row>
    <row r="36" spans="1:4" x14ac:dyDescent="0.3">
      <c r="A36" s="1" t="s">
        <v>75</v>
      </c>
      <c r="B36" s="18">
        <v>0</v>
      </c>
      <c r="C36" s="15"/>
    </row>
    <row r="39" spans="1:4" x14ac:dyDescent="0.3">
      <c r="A39" s="1" t="s">
        <v>84</v>
      </c>
    </row>
    <row r="40" spans="1:4" x14ac:dyDescent="0.3">
      <c r="A40" s="1" t="s">
        <v>78</v>
      </c>
      <c r="B40" s="14">
        <v>18</v>
      </c>
    </row>
    <row r="41" spans="1:4" x14ac:dyDescent="0.3">
      <c r="A41" s="1" t="s">
        <v>76</v>
      </c>
      <c r="B41" s="20">
        <v>22.5</v>
      </c>
    </row>
    <row r="42" spans="1:4" x14ac:dyDescent="0.3">
      <c r="A42" s="1" t="s">
        <v>77</v>
      </c>
      <c r="B42" s="14">
        <v>12</v>
      </c>
    </row>
    <row r="45" spans="1:4" x14ac:dyDescent="0.3">
      <c r="A45" s="1" t="s">
        <v>81</v>
      </c>
      <c r="D45" s="1" t="s">
        <v>11</v>
      </c>
    </row>
    <row r="46" spans="1:4" x14ac:dyDescent="0.3">
      <c r="A46" s="1" t="s">
        <v>12</v>
      </c>
      <c r="B46" s="1">
        <f>$B$9*B2+$B$10*C2+B34</f>
        <v>100.00000000000036</v>
      </c>
      <c r="C46" s="1" t="s">
        <v>9</v>
      </c>
      <c r="D46" s="19">
        <f>D2+B34</f>
        <v>100</v>
      </c>
    </row>
    <row r="47" spans="1:4" x14ac:dyDescent="0.3">
      <c r="A47" s="1" t="s">
        <v>13</v>
      </c>
      <c r="B47" s="1">
        <f>$B$9*B3+$B$10*C3+B35</f>
        <v>36.000000000000043</v>
      </c>
      <c r="C47" s="1" t="s">
        <v>9</v>
      </c>
      <c r="D47" s="19">
        <f>D3+B35</f>
        <v>36</v>
      </c>
    </row>
    <row r="48" spans="1:4" x14ac:dyDescent="0.3">
      <c r="A48" s="1" t="s">
        <v>14</v>
      </c>
      <c r="B48" s="1">
        <f>$B$9*B4+$B$10*C4+B36</f>
        <v>47.157894736841882</v>
      </c>
      <c r="C48" s="1" t="s">
        <v>9</v>
      </c>
      <c r="D48" s="19">
        <f>D4+B36</f>
        <v>50</v>
      </c>
    </row>
    <row r="52" spans="1:2" x14ac:dyDescent="0.3">
      <c r="A52" s="1" t="s">
        <v>79</v>
      </c>
    </row>
    <row r="53" spans="1:2" x14ac:dyDescent="0.3">
      <c r="A53" s="17" t="s">
        <v>89</v>
      </c>
      <c r="B53" s="16">
        <f>B34*B40+B35*B41+B36*B42</f>
        <v>0</v>
      </c>
    </row>
    <row r="54" spans="1:2" x14ac:dyDescent="0.3">
      <c r="B54" s="2">
        <f>B22-B53</f>
        <v>3284.2105263157969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991B-F348-4F0A-8F12-8364FBD12B38}">
  <dimension ref="A1:G29"/>
  <sheetViews>
    <sheetView showGridLines="0" topLeftCell="A13" workbookViewId="0">
      <selection activeCell="E26" sqref="E26"/>
    </sheetView>
  </sheetViews>
  <sheetFormatPr defaultRowHeight="14.5" x14ac:dyDescent="0.35"/>
  <cols>
    <col min="1" max="1" width="2.1796875" customWidth="1"/>
    <col min="2" max="2" width="5.90625" bestFit="1" customWidth="1"/>
    <col min="3" max="3" width="20.1796875" bestFit="1" customWidth="1"/>
    <col min="4" max="4" width="12.453125" bestFit="1" customWidth="1"/>
    <col min="5" max="5" width="13.26953125" bestFit="1" customWidth="1"/>
    <col min="6" max="6" width="10" bestFit="1" customWidth="1"/>
    <col min="7" max="7" width="11.81640625" bestFit="1" customWidth="1"/>
  </cols>
  <sheetData>
    <row r="1" spans="1:5" x14ac:dyDescent="0.35">
      <c r="A1" s="4" t="s">
        <v>16</v>
      </c>
    </row>
    <row r="2" spans="1:5" x14ac:dyDescent="0.35">
      <c r="A2" s="4" t="s">
        <v>17</v>
      </c>
    </row>
    <row r="3" spans="1:5" x14ac:dyDescent="0.35">
      <c r="A3" s="4" t="s">
        <v>57</v>
      </c>
    </row>
    <row r="4" spans="1:5" x14ac:dyDescent="0.35">
      <c r="A4" s="4" t="s">
        <v>18</v>
      </c>
    </row>
    <row r="5" spans="1:5" x14ac:dyDescent="0.35">
      <c r="A5" s="4" t="s">
        <v>19</v>
      </c>
    </row>
    <row r="6" spans="1:5" x14ac:dyDescent="0.35">
      <c r="A6" s="4"/>
      <c r="B6" t="s">
        <v>58</v>
      </c>
    </row>
    <row r="7" spans="1:5" x14ac:dyDescent="0.35">
      <c r="A7" s="4"/>
      <c r="B7" t="s">
        <v>59</v>
      </c>
    </row>
    <row r="8" spans="1:5" x14ac:dyDescent="0.35">
      <c r="A8" s="4"/>
      <c r="B8" t="s">
        <v>60</v>
      </c>
    </row>
    <row r="9" spans="1:5" x14ac:dyDescent="0.35">
      <c r="A9" s="4" t="s">
        <v>20</v>
      </c>
    </row>
    <row r="10" spans="1:5" x14ac:dyDescent="0.35">
      <c r="B10" t="s">
        <v>21</v>
      </c>
    </row>
    <row r="11" spans="1:5" x14ac:dyDescent="0.35">
      <c r="B11" t="s">
        <v>22</v>
      </c>
    </row>
    <row r="14" spans="1:5" ht="15" thickBot="1" x14ac:dyDescent="0.4">
      <c r="A14" t="s">
        <v>23</v>
      </c>
    </row>
    <row r="15" spans="1:5" ht="15" thickBot="1" x14ac:dyDescent="0.4">
      <c r="B15" s="6" t="s">
        <v>24</v>
      </c>
      <c r="C15" s="6" t="s">
        <v>25</v>
      </c>
      <c r="D15" s="6" t="s">
        <v>26</v>
      </c>
      <c r="E15" s="6" t="s">
        <v>27</v>
      </c>
    </row>
    <row r="16" spans="1:5" ht="15" thickBot="1" x14ac:dyDescent="0.4">
      <c r="B16" s="5" t="s">
        <v>35</v>
      </c>
      <c r="C16" s="5" t="s">
        <v>36</v>
      </c>
      <c r="D16" s="8">
        <v>3284.2105263157896</v>
      </c>
      <c r="E16" s="8">
        <v>3284.2105263157896</v>
      </c>
    </row>
    <row r="19" spans="1:7" ht="15" thickBot="1" x14ac:dyDescent="0.4">
      <c r="A19" t="s">
        <v>28</v>
      </c>
    </row>
    <row r="20" spans="1:7" ht="15" thickBot="1" x14ac:dyDescent="0.4">
      <c r="B20" s="6" t="s">
        <v>24</v>
      </c>
      <c r="C20" s="6" t="s">
        <v>25</v>
      </c>
      <c r="D20" s="6" t="s">
        <v>26</v>
      </c>
      <c r="E20" s="6" t="s">
        <v>27</v>
      </c>
      <c r="F20" s="6" t="s">
        <v>29</v>
      </c>
    </row>
    <row r="21" spans="1:7" x14ac:dyDescent="0.35">
      <c r="B21" s="7" t="s">
        <v>37</v>
      </c>
      <c r="C21" s="7" t="s">
        <v>38</v>
      </c>
      <c r="D21" s="7">
        <v>77.89473684210526</v>
      </c>
      <c r="E21" s="7">
        <v>77.89473684210526</v>
      </c>
      <c r="F21" s="7" t="s">
        <v>39</v>
      </c>
    </row>
    <row r="22" spans="1:7" ht="15" thickBot="1" x14ac:dyDescent="0.4">
      <c r="B22" s="5" t="s">
        <v>40</v>
      </c>
      <c r="C22" s="5" t="s">
        <v>41</v>
      </c>
      <c r="D22" s="5">
        <v>63.15789473684211</v>
      </c>
      <c r="E22" s="5">
        <v>63.15789473684211</v>
      </c>
      <c r="F22" s="5" t="s">
        <v>39</v>
      </c>
    </row>
    <row r="25" spans="1:7" ht="15" thickBot="1" x14ac:dyDescent="0.4">
      <c r="A25" t="s">
        <v>30</v>
      </c>
    </row>
    <row r="26" spans="1:7" ht="15" thickBot="1" x14ac:dyDescent="0.4">
      <c r="B26" s="6" t="s">
        <v>24</v>
      </c>
      <c r="C26" s="6" t="s">
        <v>25</v>
      </c>
      <c r="D26" s="6" t="s">
        <v>31</v>
      </c>
      <c r="E26" s="6" t="s">
        <v>32</v>
      </c>
      <c r="F26" s="6" t="s">
        <v>33</v>
      </c>
      <c r="G26" s="6" t="s">
        <v>34</v>
      </c>
    </row>
    <row r="27" spans="1:7" x14ac:dyDescent="0.35">
      <c r="B27" s="7" t="s">
        <v>42</v>
      </c>
      <c r="C27" s="7" t="s">
        <v>43</v>
      </c>
      <c r="D27" s="7">
        <v>100</v>
      </c>
      <c r="E27" s="7" t="s">
        <v>44</v>
      </c>
      <c r="F27" s="7" t="s">
        <v>45</v>
      </c>
      <c r="G27" s="7">
        <v>0</v>
      </c>
    </row>
    <row r="28" spans="1:7" x14ac:dyDescent="0.35">
      <c r="B28" s="7" t="s">
        <v>46</v>
      </c>
      <c r="C28" s="7" t="s">
        <v>47</v>
      </c>
      <c r="D28" s="7">
        <v>36</v>
      </c>
      <c r="E28" s="7" t="s">
        <v>48</v>
      </c>
      <c r="F28" s="7" t="s">
        <v>45</v>
      </c>
      <c r="G28" s="7">
        <v>0</v>
      </c>
    </row>
    <row r="29" spans="1:7" ht="15" thickBot="1" x14ac:dyDescent="0.4">
      <c r="B29" s="5" t="s">
        <v>49</v>
      </c>
      <c r="C29" s="5" t="s">
        <v>50</v>
      </c>
      <c r="D29" s="5">
        <v>47.15789473684211</v>
      </c>
      <c r="E29" s="5" t="s">
        <v>51</v>
      </c>
      <c r="F29" s="5" t="s">
        <v>52</v>
      </c>
      <c r="G29" s="5">
        <v>2.8421052631578902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A066-A9C5-4AF5-A498-A12C001347CA}">
  <dimension ref="A1:H17"/>
  <sheetViews>
    <sheetView showGridLines="0" workbookViewId="0">
      <selection activeCell="G27" sqref="G27"/>
    </sheetView>
  </sheetViews>
  <sheetFormatPr defaultRowHeight="14.5" x14ac:dyDescent="0.35"/>
  <cols>
    <col min="1" max="1" width="2.1796875" customWidth="1"/>
    <col min="2" max="2" width="5.90625" bestFit="1" customWidth="1"/>
    <col min="3" max="3" width="20.1796875" bestFit="1" customWidth="1"/>
    <col min="4" max="5" width="11.81640625" bestFit="1" customWidth="1"/>
    <col min="6" max="6" width="10.1796875" bestFit="1" customWidth="1"/>
    <col min="7" max="8" width="11.81640625" bestFit="1" customWidth="1"/>
  </cols>
  <sheetData>
    <row r="1" spans="1:8" x14ac:dyDescent="0.35">
      <c r="A1" s="4" t="s">
        <v>53</v>
      </c>
    </row>
    <row r="2" spans="1:8" x14ac:dyDescent="0.35">
      <c r="A2" s="4" t="s">
        <v>17</v>
      </c>
    </row>
    <row r="3" spans="1:8" x14ac:dyDescent="0.35">
      <c r="A3" s="4" t="s">
        <v>57</v>
      </c>
    </row>
    <row r="6" spans="1:8" ht="15" thickBot="1" x14ac:dyDescent="0.4">
      <c r="A6" t="s">
        <v>28</v>
      </c>
    </row>
    <row r="7" spans="1:8" x14ac:dyDescent="0.35">
      <c r="B7" s="9"/>
      <c r="C7" s="9"/>
      <c r="D7" s="9" t="s">
        <v>54</v>
      </c>
      <c r="E7" s="9" t="s">
        <v>56</v>
      </c>
      <c r="F7" s="9" t="s">
        <v>62</v>
      </c>
      <c r="G7" s="9" t="s">
        <v>64</v>
      </c>
      <c r="H7" s="9" t="s">
        <v>64</v>
      </c>
    </row>
    <row r="8" spans="1:8" ht="15" thickBot="1" x14ac:dyDescent="0.4">
      <c r="B8" s="10" t="s">
        <v>24</v>
      </c>
      <c r="C8" s="10" t="s">
        <v>25</v>
      </c>
      <c r="D8" s="10" t="s">
        <v>55</v>
      </c>
      <c r="E8" s="10" t="s">
        <v>61</v>
      </c>
      <c r="F8" s="10" t="s">
        <v>63</v>
      </c>
      <c r="G8" s="10" t="s">
        <v>65</v>
      </c>
      <c r="H8" s="10" t="s">
        <v>66</v>
      </c>
    </row>
    <row r="9" spans="1:8" x14ac:dyDescent="0.35">
      <c r="B9" s="7" t="s">
        <v>37</v>
      </c>
      <c r="C9" s="7" t="s">
        <v>38</v>
      </c>
      <c r="D9" s="7">
        <v>77.89473684210526</v>
      </c>
      <c r="E9" s="7">
        <v>0</v>
      </c>
      <c r="F9" s="7">
        <v>30</v>
      </c>
      <c r="G9" s="7">
        <v>12.857142857142843</v>
      </c>
      <c r="H9" s="7">
        <v>7.5000000000000044</v>
      </c>
    </row>
    <row r="10" spans="1:8" ht="15" thickBot="1" x14ac:dyDescent="0.4">
      <c r="B10" s="5" t="s">
        <v>40</v>
      </c>
      <c r="C10" s="5" t="s">
        <v>41</v>
      </c>
      <c r="D10" s="5">
        <v>63.15789473684211</v>
      </c>
      <c r="E10" s="5">
        <v>0</v>
      </c>
      <c r="F10" s="5">
        <v>15</v>
      </c>
      <c r="G10" s="5">
        <v>5.0000000000000036</v>
      </c>
      <c r="H10" s="5">
        <v>4.4999999999999964</v>
      </c>
    </row>
    <row r="12" spans="1:8" ht="15" thickBot="1" x14ac:dyDescent="0.4">
      <c r="A12" t="s">
        <v>30</v>
      </c>
    </row>
    <row r="13" spans="1:8" x14ac:dyDescent="0.35">
      <c r="B13" s="9"/>
      <c r="C13" s="9"/>
      <c r="D13" s="9" t="s">
        <v>54</v>
      </c>
      <c r="E13" s="9" t="s">
        <v>67</v>
      </c>
      <c r="F13" s="9" t="s">
        <v>69</v>
      </c>
      <c r="G13" s="9" t="s">
        <v>64</v>
      </c>
      <c r="H13" s="9" t="s">
        <v>64</v>
      </c>
    </row>
    <row r="14" spans="1:8" ht="15" thickBot="1" x14ac:dyDescent="0.4">
      <c r="B14" s="10" t="s">
        <v>24</v>
      </c>
      <c r="C14" s="10" t="s">
        <v>25</v>
      </c>
      <c r="D14" s="10" t="s">
        <v>55</v>
      </c>
      <c r="E14" s="10" t="s">
        <v>68</v>
      </c>
      <c r="F14" s="10" t="s">
        <v>70</v>
      </c>
      <c r="G14" s="10" t="s">
        <v>65</v>
      </c>
      <c r="H14" s="10" t="s">
        <v>66</v>
      </c>
    </row>
    <row r="15" spans="1:8" x14ac:dyDescent="0.35">
      <c r="B15" s="7" t="s">
        <v>42</v>
      </c>
      <c r="C15" s="7" t="s">
        <v>43</v>
      </c>
      <c r="D15" s="7">
        <v>100</v>
      </c>
      <c r="E15" s="7">
        <v>15.789473684210538</v>
      </c>
      <c r="F15" s="7">
        <v>100</v>
      </c>
      <c r="G15" s="7">
        <v>20</v>
      </c>
      <c r="H15" s="7">
        <v>2.4545454545454573</v>
      </c>
    </row>
    <row r="16" spans="1:8" x14ac:dyDescent="0.35">
      <c r="B16" s="7" t="s">
        <v>46</v>
      </c>
      <c r="C16" s="7" t="s">
        <v>47</v>
      </c>
      <c r="D16" s="7">
        <v>36</v>
      </c>
      <c r="E16" s="7">
        <v>47.368421052631547</v>
      </c>
      <c r="F16" s="7">
        <v>36</v>
      </c>
      <c r="G16" s="7">
        <v>0.62790697674418661</v>
      </c>
      <c r="H16" s="7">
        <v>6</v>
      </c>
    </row>
    <row r="17" spans="2:8" ht="15" thickBot="1" x14ac:dyDescent="0.4">
      <c r="B17" s="5" t="s">
        <v>49</v>
      </c>
      <c r="C17" s="5" t="s">
        <v>50</v>
      </c>
      <c r="D17" s="5">
        <v>47.15789473684211</v>
      </c>
      <c r="E17" s="5">
        <v>0</v>
      </c>
      <c r="F17" s="5">
        <v>50</v>
      </c>
      <c r="G17" s="5">
        <v>1E+30</v>
      </c>
      <c r="H17" s="5">
        <v>2.8421052631578974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6CE5-9E45-4899-9536-A16A4A01662E}">
  <dimension ref="A1:G32"/>
  <sheetViews>
    <sheetView showGridLines="0" tabSelected="1" topLeftCell="A10" workbookViewId="0"/>
  </sheetViews>
  <sheetFormatPr defaultRowHeight="14.5" x14ac:dyDescent="0.35"/>
  <cols>
    <col min="1" max="1" width="2.1796875" customWidth="1"/>
    <col min="2" max="2" width="5.90625" bestFit="1" customWidth="1"/>
    <col min="3" max="3" width="20.1796875" bestFit="1" customWidth="1"/>
    <col min="4" max="4" width="12.453125" bestFit="1" customWidth="1"/>
    <col min="5" max="5" width="13.26953125" bestFit="1" customWidth="1"/>
    <col min="6" max="6" width="10" bestFit="1" customWidth="1"/>
    <col min="7" max="7" width="11.81640625" bestFit="1" customWidth="1"/>
  </cols>
  <sheetData>
    <row r="1" spans="1:5" x14ac:dyDescent="0.35">
      <c r="A1" s="4" t="s">
        <v>16</v>
      </c>
    </row>
    <row r="2" spans="1:5" x14ac:dyDescent="0.35">
      <c r="A2" s="4" t="s">
        <v>17</v>
      </c>
    </row>
    <row r="3" spans="1:5" x14ac:dyDescent="0.35">
      <c r="A3" s="4" t="s">
        <v>106</v>
      </c>
    </row>
    <row r="4" spans="1:5" x14ac:dyDescent="0.35">
      <c r="A4" s="4" t="s">
        <v>18</v>
      </c>
    </row>
    <row r="5" spans="1:5" x14ac:dyDescent="0.35">
      <c r="A5" s="4" t="s">
        <v>19</v>
      </c>
    </row>
    <row r="6" spans="1:5" x14ac:dyDescent="0.35">
      <c r="A6" s="4"/>
      <c r="B6" t="s">
        <v>58</v>
      </c>
    </row>
    <row r="7" spans="1:5" x14ac:dyDescent="0.35">
      <c r="A7" s="4"/>
      <c r="B7" t="s">
        <v>107</v>
      </c>
    </row>
    <row r="8" spans="1:5" x14ac:dyDescent="0.35">
      <c r="A8" s="4"/>
      <c r="B8" t="s">
        <v>60</v>
      </c>
    </row>
    <row r="9" spans="1:5" x14ac:dyDescent="0.35">
      <c r="A9" s="4" t="s">
        <v>20</v>
      </c>
    </row>
    <row r="10" spans="1:5" x14ac:dyDescent="0.35">
      <c r="B10" t="s">
        <v>21</v>
      </c>
    </row>
    <row r="11" spans="1:5" x14ac:dyDescent="0.35">
      <c r="B11" t="s">
        <v>22</v>
      </c>
    </row>
    <row r="14" spans="1:5" ht="15" thickBot="1" x14ac:dyDescent="0.4">
      <c r="A14" t="s">
        <v>23</v>
      </c>
    </row>
    <row r="15" spans="1:5" ht="15" thickBot="1" x14ac:dyDescent="0.4">
      <c r="B15" s="22" t="s">
        <v>24</v>
      </c>
      <c r="C15" s="22" t="s">
        <v>25</v>
      </c>
      <c r="D15" s="22" t="s">
        <v>26</v>
      </c>
      <c r="E15" s="22" t="s">
        <v>27</v>
      </c>
    </row>
    <row r="16" spans="1:5" ht="15" thickBot="1" x14ac:dyDescent="0.4">
      <c r="B16" s="21" t="s">
        <v>90</v>
      </c>
      <c r="C16" s="21" t="s">
        <v>87</v>
      </c>
      <c r="D16" s="24">
        <v>2873.2105263157969</v>
      </c>
      <c r="E16" s="24">
        <v>3284.2105263157969</v>
      </c>
    </row>
    <row r="19" spans="1:7" ht="15" thickBot="1" x14ac:dyDescent="0.4">
      <c r="A19" t="s">
        <v>28</v>
      </c>
    </row>
    <row r="20" spans="1:7" ht="15" thickBot="1" x14ac:dyDescent="0.4">
      <c r="B20" s="22" t="s">
        <v>24</v>
      </c>
      <c r="C20" s="22" t="s">
        <v>25</v>
      </c>
      <c r="D20" s="22" t="s">
        <v>26</v>
      </c>
      <c r="E20" s="22" t="s">
        <v>27</v>
      </c>
      <c r="F20" s="22" t="s">
        <v>29</v>
      </c>
    </row>
    <row r="21" spans="1:7" x14ac:dyDescent="0.35">
      <c r="B21" s="23" t="s">
        <v>91</v>
      </c>
      <c r="C21" s="23" t="s">
        <v>92</v>
      </c>
      <c r="D21" s="25">
        <v>10</v>
      </c>
      <c r="E21" s="25">
        <v>0</v>
      </c>
      <c r="F21" s="23" t="s">
        <v>39</v>
      </c>
    </row>
    <row r="22" spans="1:7" x14ac:dyDescent="0.35">
      <c r="B22" s="23" t="s">
        <v>93</v>
      </c>
      <c r="C22" s="23" t="s">
        <v>94</v>
      </c>
      <c r="D22" s="25">
        <v>6</v>
      </c>
      <c r="E22" s="25">
        <v>0</v>
      </c>
      <c r="F22" s="23" t="s">
        <v>39</v>
      </c>
    </row>
    <row r="23" spans="1:7" x14ac:dyDescent="0.35">
      <c r="B23" s="23" t="s">
        <v>95</v>
      </c>
      <c r="C23" s="23" t="s">
        <v>96</v>
      </c>
      <c r="D23" s="25">
        <v>8</v>
      </c>
      <c r="E23" s="25">
        <v>0</v>
      </c>
      <c r="F23" s="23" t="s">
        <v>39</v>
      </c>
    </row>
    <row r="24" spans="1:7" x14ac:dyDescent="0.35">
      <c r="B24" s="23" t="s">
        <v>37</v>
      </c>
      <c r="C24" s="23" t="s">
        <v>38</v>
      </c>
      <c r="D24" s="26">
        <v>77.894736842105857</v>
      </c>
      <c r="E24" s="26">
        <v>77.894736842105857</v>
      </c>
      <c r="F24" s="23" t="s">
        <v>39</v>
      </c>
    </row>
    <row r="25" spans="1:7" ht="15" thickBot="1" x14ac:dyDescent="0.4">
      <c r="B25" s="21" t="s">
        <v>40</v>
      </c>
      <c r="C25" s="21" t="s">
        <v>41</v>
      </c>
      <c r="D25" s="27">
        <v>63.157894736841413</v>
      </c>
      <c r="E25" s="27">
        <v>63.157894736841413</v>
      </c>
      <c r="F25" s="21" t="s">
        <v>39</v>
      </c>
    </row>
    <row r="28" spans="1:7" ht="15" thickBot="1" x14ac:dyDescent="0.4">
      <c r="A28" t="s">
        <v>30</v>
      </c>
    </row>
    <row r="29" spans="1:7" ht="15" thickBot="1" x14ac:dyDescent="0.4">
      <c r="B29" s="22" t="s">
        <v>24</v>
      </c>
      <c r="C29" s="22" t="s">
        <v>25</v>
      </c>
      <c r="D29" s="22" t="s">
        <v>31</v>
      </c>
      <c r="E29" s="22" t="s">
        <v>32</v>
      </c>
      <c r="F29" s="22" t="s">
        <v>33</v>
      </c>
      <c r="G29" s="22" t="s">
        <v>34</v>
      </c>
    </row>
    <row r="30" spans="1:7" x14ac:dyDescent="0.35">
      <c r="B30" s="23" t="s">
        <v>97</v>
      </c>
      <c r="C30" s="23" t="s">
        <v>98</v>
      </c>
      <c r="D30" s="26">
        <v>100.00000000000036</v>
      </c>
      <c r="E30" s="23" t="s">
        <v>99</v>
      </c>
      <c r="F30" s="23" t="s">
        <v>45</v>
      </c>
      <c r="G30" s="23">
        <v>0</v>
      </c>
    </row>
    <row r="31" spans="1:7" x14ac:dyDescent="0.35">
      <c r="B31" s="23" t="s">
        <v>100</v>
      </c>
      <c r="C31" s="23" t="s">
        <v>101</v>
      </c>
      <c r="D31" s="26">
        <v>36.000000000000043</v>
      </c>
      <c r="E31" s="23" t="s">
        <v>102</v>
      </c>
      <c r="F31" s="23" t="s">
        <v>45</v>
      </c>
      <c r="G31" s="23">
        <v>0</v>
      </c>
    </row>
    <row r="32" spans="1:7" ht="15" thickBot="1" x14ac:dyDescent="0.4">
      <c r="B32" s="21" t="s">
        <v>103</v>
      </c>
      <c r="C32" s="21" t="s">
        <v>104</v>
      </c>
      <c r="D32" s="27">
        <v>47.157894736841882</v>
      </c>
      <c r="E32" s="21" t="s">
        <v>105</v>
      </c>
      <c r="F32" s="21" t="s">
        <v>52</v>
      </c>
      <c r="G32" s="21">
        <v>2.8421052631581176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0257-B3FC-462B-A537-95FF2B2D1953}">
  <dimension ref="A1:H20"/>
  <sheetViews>
    <sheetView showGridLines="0" workbookViewId="0">
      <selection activeCell="L19" sqref="L19"/>
    </sheetView>
  </sheetViews>
  <sheetFormatPr defaultRowHeight="14.5" x14ac:dyDescent="0.35"/>
  <cols>
    <col min="1" max="1" width="2.1796875" customWidth="1"/>
    <col min="2" max="2" width="5.90625" bestFit="1" customWidth="1"/>
    <col min="3" max="3" width="20.1796875" bestFit="1" customWidth="1"/>
    <col min="4" max="5" width="11.81640625" bestFit="1" customWidth="1"/>
    <col min="6" max="6" width="10.1796875" bestFit="1" customWidth="1"/>
    <col min="7" max="8" width="11.81640625" bestFit="1" customWidth="1"/>
  </cols>
  <sheetData>
    <row r="1" spans="1:8" x14ac:dyDescent="0.35">
      <c r="A1" s="4" t="s">
        <v>53</v>
      </c>
    </row>
    <row r="2" spans="1:8" x14ac:dyDescent="0.35">
      <c r="A2" s="4" t="s">
        <v>17</v>
      </c>
    </row>
    <row r="3" spans="1:8" x14ac:dyDescent="0.35">
      <c r="A3" s="4" t="s">
        <v>106</v>
      </c>
    </row>
    <row r="6" spans="1:8" ht="15" thickBot="1" x14ac:dyDescent="0.4">
      <c r="A6" t="s">
        <v>28</v>
      </c>
    </row>
    <row r="7" spans="1:8" x14ac:dyDescent="0.35">
      <c r="B7" s="28"/>
      <c r="C7" s="28"/>
      <c r="D7" s="28" t="s">
        <v>54</v>
      </c>
      <c r="E7" s="28" t="s">
        <v>56</v>
      </c>
      <c r="F7" s="28" t="s">
        <v>62</v>
      </c>
      <c r="G7" s="28" t="s">
        <v>64</v>
      </c>
      <c r="H7" s="28" t="s">
        <v>64</v>
      </c>
    </row>
    <row r="8" spans="1:8" ht="15" thickBot="1" x14ac:dyDescent="0.4">
      <c r="B8" s="29" t="s">
        <v>24</v>
      </c>
      <c r="C8" s="29" t="s">
        <v>25</v>
      </c>
      <c r="D8" s="29" t="s">
        <v>55</v>
      </c>
      <c r="E8" s="29" t="s">
        <v>61</v>
      </c>
      <c r="F8" s="29" t="s">
        <v>63</v>
      </c>
      <c r="G8" s="29" t="s">
        <v>65</v>
      </c>
      <c r="H8" s="29" t="s">
        <v>66</v>
      </c>
    </row>
    <row r="9" spans="1:8" x14ac:dyDescent="0.35">
      <c r="B9" s="23" t="s">
        <v>91</v>
      </c>
      <c r="C9" s="23" t="s">
        <v>92</v>
      </c>
      <c r="D9" s="23">
        <v>0</v>
      </c>
      <c r="E9" s="23">
        <v>-18</v>
      </c>
      <c r="F9" s="23">
        <v>-18</v>
      </c>
      <c r="G9" s="23">
        <v>18</v>
      </c>
      <c r="H9" s="23">
        <v>1E+30</v>
      </c>
    </row>
    <row r="10" spans="1:8" x14ac:dyDescent="0.35">
      <c r="B10" s="23" t="s">
        <v>93</v>
      </c>
      <c r="C10" s="23" t="s">
        <v>94</v>
      </c>
      <c r="D10" s="23">
        <v>0</v>
      </c>
      <c r="E10" s="23">
        <v>-22.5</v>
      </c>
      <c r="F10" s="23">
        <v>-22.5</v>
      </c>
      <c r="G10" s="23">
        <v>22.5</v>
      </c>
      <c r="H10" s="23">
        <v>1E+30</v>
      </c>
    </row>
    <row r="11" spans="1:8" x14ac:dyDescent="0.35">
      <c r="B11" s="23" t="s">
        <v>95</v>
      </c>
      <c r="C11" s="23" t="s">
        <v>96</v>
      </c>
      <c r="D11" s="23">
        <v>0</v>
      </c>
      <c r="E11" s="23">
        <v>-12</v>
      </c>
      <c r="F11" s="23">
        <v>-12</v>
      </c>
      <c r="G11" s="23">
        <v>12</v>
      </c>
      <c r="H11" s="23">
        <v>1E+30</v>
      </c>
    </row>
    <row r="12" spans="1:8" x14ac:dyDescent="0.35">
      <c r="B12" s="23" t="s">
        <v>37</v>
      </c>
      <c r="C12" s="23" t="s">
        <v>38</v>
      </c>
      <c r="D12" s="23">
        <v>77.894736842105857</v>
      </c>
      <c r="E12" s="23">
        <v>0</v>
      </c>
      <c r="F12" s="23">
        <v>30</v>
      </c>
      <c r="G12" s="23">
        <v>12.857142857143552</v>
      </c>
      <c r="H12" s="23">
        <v>7.500000000000532</v>
      </c>
    </row>
    <row r="13" spans="1:8" ht="15" thickBot="1" x14ac:dyDescent="0.4">
      <c r="B13" s="21" t="s">
        <v>40</v>
      </c>
      <c r="C13" s="21" t="s">
        <v>41</v>
      </c>
      <c r="D13" s="21">
        <v>63.157894736841413</v>
      </c>
      <c r="E13" s="21">
        <v>0</v>
      </c>
      <c r="F13" s="21">
        <v>15</v>
      </c>
      <c r="G13" s="21">
        <v>5.0000000000004734</v>
      </c>
      <c r="H13" s="21">
        <v>4.5000000000001705</v>
      </c>
    </row>
    <row r="15" spans="1:8" ht="15" thickBot="1" x14ac:dyDescent="0.4">
      <c r="A15" t="s">
        <v>30</v>
      </c>
    </row>
    <row r="16" spans="1:8" x14ac:dyDescent="0.35">
      <c r="B16" s="28"/>
      <c r="C16" s="28"/>
      <c r="D16" s="28" t="s">
        <v>54</v>
      </c>
      <c r="E16" s="28" t="s">
        <v>67</v>
      </c>
      <c r="F16" s="28" t="s">
        <v>69</v>
      </c>
      <c r="G16" s="28" t="s">
        <v>64</v>
      </c>
      <c r="H16" s="28" t="s">
        <v>64</v>
      </c>
    </row>
    <row r="17" spans="2:8" ht="15" thickBot="1" x14ac:dyDescent="0.4">
      <c r="B17" s="29" t="s">
        <v>24</v>
      </c>
      <c r="C17" s="29" t="s">
        <v>25</v>
      </c>
      <c r="D17" s="29" t="s">
        <v>55</v>
      </c>
      <c r="E17" s="29" t="s">
        <v>68</v>
      </c>
      <c r="F17" s="29" t="s">
        <v>70</v>
      </c>
      <c r="G17" s="29" t="s">
        <v>65</v>
      </c>
      <c r="H17" s="29" t="s">
        <v>66</v>
      </c>
    </row>
    <row r="18" spans="2:8" x14ac:dyDescent="0.35">
      <c r="B18" s="23" t="s">
        <v>97</v>
      </c>
      <c r="C18" s="23" t="s">
        <v>98</v>
      </c>
      <c r="D18" s="23">
        <v>100.00000000000036</v>
      </c>
      <c r="E18" s="23">
        <v>15.78947368421095</v>
      </c>
      <c r="F18" s="23">
        <v>0</v>
      </c>
      <c r="G18" s="23">
        <v>20.000000000001137</v>
      </c>
      <c r="H18" s="23">
        <v>2.4545454545456566</v>
      </c>
    </row>
    <row r="19" spans="2:8" x14ac:dyDescent="0.35">
      <c r="B19" s="23" t="s">
        <v>100</v>
      </c>
      <c r="C19" s="23" t="s">
        <v>101</v>
      </c>
      <c r="D19" s="23">
        <v>36.000000000000043</v>
      </c>
      <c r="E19" s="23">
        <v>47.368421052630609</v>
      </c>
      <c r="F19" s="23">
        <v>0</v>
      </c>
      <c r="G19" s="23">
        <v>0.62790697674422302</v>
      </c>
      <c r="H19" s="23">
        <v>6.0000000000002842</v>
      </c>
    </row>
    <row r="20" spans="2:8" ht="15" thickBot="1" x14ac:dyDescent="0.4">
      <c r="B20" s="21" t="s">
        <v>103</v>
      </c>
      <c r="C20" s="21" t="s">
        <v>104</v>
      </c>
      <c r="D20" s="21">
        <v>47.157894736841882</v>
      </c>
      <c r="E20" s="21">
        <v>0</v>
      </c>
      <c r="F20" s="21">
        <v>0</v>
      </c>
      <c r="G20" s="21">
        <v>1E+30</v>
      </c>
      <c r="H20" s="21">
        <v>2.8421052631578974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part(a)</vt:lpstr>
      <vt:lpstr>Answer Report a,b</vt:lpstr>
      <vt:lpstr>Sensitivity Report a,b</vt:lpstr>
      <vt:lpstr>Answer Report c</vt:lpstr>
      <vt:lpstr>Sensitivity Report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Dilpreet Singh</dc:creator>
  <cp:lastModifiedBy>Dilpreet Singh</cp:lastModifiedBy>
  <dcterms:created xsi:type="dcterms:W3CDTF">2024-05-04T22:47:37Z</dcterms:created>
  <dcterms:modified xsi:type="dcterms:W3CDTF">2024-05-09T02:43:41Z</dcterms:modified>
</cp:coreProperties>
</file>