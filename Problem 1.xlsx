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d.docs.live.net/0541b517cc5a0cc3/Desktop/balli assessment/"/>
    </mc:Choice>
  </mc:AlternateContent>
  <xr:revisionPtr revIDLastSave="191" documentId="13_ncr:1_{DE01D508-8B66-4AAF-90AD-36C08B204F9A}" xr6:coauthVersionLast="47" xr6:coauthVersionMax="47" xr10:uidLastSave="{8183391F-6A50-4A17-8685-8067B1263C7B}"/>
  <bookViews>
    <workbookView xWindow="-110" yWindow="-110" windowWidth="19420" windowHeight="10300" activeTab="1" xr2:uid="{00000000-000D-0000-FFFF-FFFF00000000}"/>
  </bookViews>
  <sheets>
    <sheet name="part(a)" sheetId="1" r:id="rId1"/>
    <sheet name="part(b.)" sheetId="10" r:id="rId2"/>
    <sheet name="part(c)" sheetId="11" r:id="rId3"/>
    <sheet name="treeCalc_2" sheetId="4" state="hidden" r:id="rId4"/>
    <sheet name="_PalUtilTempWorksheet" sheetId="3" state="hidden" r:id="rId5"/>
    <sheet name="treeCalc_1" sheetId="2" state="hidden" r:id="rId6"/>
  </sheet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FALSE</definedName>
    <definedName name="treeList" hidden="1">"11000000000000000000000000000000000000000000000000000000000000000000000000000000000000000000000000000000000000000000000000000000000000000000000000000000000000000000000000000000000000000000000000000000"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1" l="1"/>
  <c r="J50" i="11" s="1"/>
  <c r="B91" i="1" l="1"/>
  <c r="J12" i="4" s="1"/>
  <c r="B99" i="1"/>
  <c r="J13" i="4" s="1"/>
  <c r="C89" i="1"/>
  <c r="J14" i="4" s="1"/>
  <c r="C93" i="1"/>
  <c r="J15" i="4" s="1"/>
  <c r="B9" i="1"/>
  <c r="C96" i="1"/>
  <c r="K16" i="4" s="1"/>
  <c r="C97" i="1"/>
  <c r="J16" i="4" s="1"/>
  <c r="C101" i="1"/>
  <c r="J17" i="4" s="1"/>
  <c r="C88" i="1"/>
  <c r="K14" i="4" s="1"/>
  <c r="J11" i="4"/>
  <c r="K11" i="4"/>
  <c r="C5" i="1"/>
  <c r="C6" i="1"/>
  <c r="J15" i="2"/>
  <c r="K16" i="2"/>
  <c r="J17" i="2"/>
  <c r="K14" i="2"/>
  <c r="J11" i="2"/>
  <c r="K11" i="2"/>
  <c r="B8" i="10"/>
  <c r="I6" i="10" s="1"/>
  <c r="C13" i="10"/>
  <c r="B5" i="11"/>
  <c r="C12" i="10"/>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109" i="1"/>
  <c r="O13" i="2"/>
  <c r="O12" i="2"/>
  <c r="O13" i="4"/>
  <c r="O12" i="4"/>
  <c r="O11" i="4"/>
  <c r="B11" i="4"/>
  <c r="B2" i="4"/>
  <c r="O11" i="2"/>
  <c r="B11" i="2"/>
  <c r="B2" i="2"/>
  <c r="D108" i="1"/>
  <c r="C12" i="1"/>
  <c r="I11" i="10" l="1"/>
  <c r="J11" i="10" s="1"/>
  <c r="B21" i="10" s="1"/>
  <c r="B24" i="11"/>
  <c r="J16" i="2"/>
  <c r="J13" i="2"/>
  <c r="J14" i="2"/>
  <c r="J12" i="2"/>
  <c r="K17" i="2"/>
  <c r="K15" i="2"/>
  <c r="D12" i="1"/>
  <c r="J6" i="10"/>
  <c r="I12" i="10" s="1"/>
  <c r="C108" i="1"/>
  <c r="C92" i="1"/>
  <c r="K15" i="4" s="1"/>
  <c r="C100" i="1"/>
  <c r="K17" i="4" s="1"/>
  <c r="E7" i="1"/>
  <c r="F2" i="4"/>
  <c r="B30" i="11" l="1"/>
  <c r="B40" i="11" s="1"/>
  <c r="B28" i="10"/>
  <c r="C24" i="11"/>
  <c r="B29" i="11"/>
  <c r="B36" i="11" s="1"/>
  <c r="C30" i="11"/>
  <c r="J12" i="10"/>
  <c r="D93" i="1"/>
  <c r="D89" i="1"/>
  <c r="D96" i="1"/>
  <c r="C99" i="1"/>
  <c r="D88" i="1"/>
  <c r="D92" i="1"/>
  <c r="B98" i="1"/>
  <c r="B90" i="1"/>
  <c r="D97" i="1"/>
  <c r="D100" i="1"/>
  <c r="D101" i="1"/>
  <c r="B95" i="1"/>
  <c r="C91" i="1"/>
  <c r="B22" i="10" l="1"/>
  <c r="C29" i="11"/>
  <c r="A17" i="2"/>
  <c r="A16" i="2"/>
  <c r="A13" i="4"/>
  <c r="A16" i="4"/>
  <c r="A12" i="4"/>
  <c r="A14" i="2"/>
  <c r="A11" i="2"/>
  <c r="A11" i="4"/>
  <c r="A13" i="2"/>
  <c r="A15" i="2"/>
  <c r="A15" i="4"/>
  <c r="A17" i="4"/>
  <c r="A12" i="2"/>
  <c r="A14" i="4"/>
  <c r="B37" i="11" l="1"/>
  <c r="B38" i="11" s="1"/>
  <c r="B13" i="11"/>
  <c r="B41" i="11"/>
  <c r="B42" i="11" s="1"/>
  <c r="B29" i="10"/>
  <c r="I50" i="11" l="1"/>
  <c r="B33" i="11"/>
  <c r="B34" i="11"/>
  <c r="B45" i="11" s="1"/>
  <c r="B16" i="11" l="1"/>
  <c r="K50" i="11" s="1"/>
  <c r="F2" i="2"/>
</calcChain>
</file>

<file path=xl/sharedStrings.xml><?xml version="1.0" encoding="utf-8"?>
<sst xmlns="http://schemas.openxmlformats.org/spreadsheetml/2006/main" count="232" uniqueCount="117">
  <si>
    <t>Given Cases of swift shipping</t>
  </si>
  <si>
    <t>Strikes happen during the normal ships</t>
  </si>
  <si>
    <t>Postepones the shipping pre-empting</t>
  </si>
  <si>
    <t>Regular scotish shipping run</t>
  </si>
  <si>
    <t>Assume the probility of strikes effect the company</t>
  </si>
  <si>
    <t>Given Cost</t>
  </si>
  <si>
    <t>Expected Cost</t>
  </si>
  <si>
    <t xml:space="preserve">Probility </t>
  </si>
  <si>
    <t>21210897</t>
  </si>
  <si>
    <t>Name</t>
  </si>
  <si>
    <t>SheetRef</t>
  </si>
  <si>
    <t>GenInfo</t>
  </si>
  <si>
    <t>Def. Link</t>
  </si>
  <si>
    <t>EXT REFS</t>
  </si>
  <si>
    <t>Def. Form</t>
  </si>
  <si>
    <t>Calc Macro</t>
  </si>
  <si>
    <t>Highest#</t>
  </si>
  <si>
    <t>Ptree1 Compatibility</t>
  </si>
  <si>
    <t>Model GUID</t>
  </si>
  <si>
    <t>Eval. Function</t>
  </si>
  <si>
    <t>Creation Version</t>
  </si>
  <si>
    <t>Required Version</t>
  </si>
  <si>
    <t>Recommended Version</t>
  </si>
  <si>
    <t>Last Modified By Version</t>
  </si>
  <si>
    <t>Output Label</t>
  </si>
  <si>
    <t>Output Value NF</t>
  </si>
  <si>
    <t>Output Prob NF</t>
  </si>
  <si>
    <t>Input Value NF</t>
  </si>
  <si>
    <t>Input Prob NF</t>
  </si>
  <si>
    <t>R-Value Ref.</t>
  </si>
  <si>
    <t>Anchor Cell</t>
  </si>
  <si>
    <t>Branch Name</t>
  </si>
  <si>
    <t>bformtype</t>
  </si>
  <si>
    <t>valformula</t>
  </si>
  <si>
    <t>pbformula</t>
  </si>
  <si>
    <t>distribution</t>
  </si>
  <si>
    <t>cumPayoffFunction</t>
  </si>
  <si>
    <t>link</t>
  </si>
  <si>
    <t>ENDNODEFORMULA</t>
  </si>
  <si>
    <t>VAL</t>
  </si>
  <si>
    <t>PB</t>
  </si>
  <si>
    <t>IntRefs</t>
  </si>
  <si>
    <t>RefRefs</t>
  </si>
  <si>
    <t>NodeNames</t>
  </si>
  <si>
    <t>Collapsed</t>
  </si>
  <si>
    <t>=</t>
  </si>
  <si>
    <t>8.2.2</t>
  </si>
  <si>
    <t>5.0.0</t>
  </si>
  <si>
    <t>&lt;NF&gt;</t>
  </si>
  <si>
    <t>Automatic</t>
  </si>
  <si>
    <t/>
  </si>
  <si>
    <t>DEFAULT</t>
  </si>
  <si>
    <t>0</t>
  </si>
  <si>
    <t>0,1,1,0,0,Exponential, 0,0,-1,0,-1,-1,.0001</t>
  </si>
  <si>
    <t>Ship as usual or Postpone</t>
  </si>
  <si>
    <t>Decision</t>
  </si>
  <si>
    <t>2,0,0,2,2,3,0,0,0</t>
  </si>
  <si>
    <t>Ship as usual</t>
  </si>
  <si>
    <t>Postpone shipping</t>
  </si>
  <si>
    <t>Chance</t>
  </si>
  <si>
    <t>4,0,0,0,2,0,0</t>
  </si>
  <si>
    <t>1,0,0,2,4,5,1,0,0</t>
  </si>
  <si>
    <t>strike occur</t>
  </si>
  <si>
    <t>strike not occur</t>
  </si>
  <si>
    <t>4,0,0,0,3,0,0</t>
  </si>
  <si>
    <t>1,0,0,2,6,7,1,0,0</t>
  </si>
  <si>
    <t>22802464</t>
  </si>
  <si>
    <t>0,2,1,0,0,Exponential, 0,0,-1,0,-1,-1,.0001</t>
  </si>
  <si>
    <t>decision</t>
  </si>
  <si>
    <t>ship as usual</t>
  </si>
  <si>
    <t>postpones the ship</t>
  </si>
  <si>
    <t>the strike not occur</t>
  </si>
  <si>
    <t>Probility</t>
  </si>
  <si>
    <t>Optimal Decision</t>
  </si>
  <si>
    <t>Different type of prediction</t>
  </si>
  <si>
    <t>If there will be a strike</t>
  </si>
  <si>
    <t>If there will be not a strike</t>
  </si>
  <si>
    <t>Swift pay for Data</t>
  </si>
  <si>
    <t>If swift not buy the Data</t>
  </si>
  <si>
    <t>provided probility that effect the shipping</t>
  </si>
  <si>
    <t>The probility that not efect the shipping</t>
  </si>
  <si>
    <t>Expected cost if predict strike</t>
  </si>
  <si>
    <t>Expected cost if predict no strike</t>
  </si>
  <si>
    <t>probility</t>
  </si>
  <si>
    <t>Baye's rule calculation</t>
  </si>
  <si>
    <t>complimentary probility</t>
  </si>
  <si>
    <t>P(predict strike)</t>
  </si>
  <si>
    <t>P(predict no strike)</t>
  </si>
  <si>
    <t>Decision if predict strike</t>
  </si>
  <si>
    <t>Decision if predict no strike</t>
  </si>
  <si>
    <t>Posterior Probility</t>
  </si>
  <si>
    <t>P(strike | predict strike)</t>
  </si>
  <si>
    <t>P(strike | predict no strike)</t>
  </si>
  <si>
    <t>Complimantary of Posterior Probility</t>
  </si>
  <si>
    <t>Given Probility</t>
  </si>
  <si>
    <t xml:space="preserve">Probability of Strike </t>
  </si>
  <si>
    <t>Postpone Shipping</t>
  </si>
  <si>
    <t>in(%)</t>
  </si>
  <si>
    <t>Calculate EMV  with purchase of data</t>
  </si>
  <si>
    <t>Build a decision tree with trial values of p</t>
  </si>
  <si>
    <t>For what values of p does Swift minimize expected total cost by postponing shipping?</t>
  </si>
  <si>
    <t>(EMV) Strike happen</t>
  </si>
  <si>
    <t>(EMV) postepones the shipping</t>
  </si>
  <si>
    <t>EVI</t>
  </si>
  <si>
    <t>(EVI)=</t>
  </si>
  <si>
    <t>(EMV) postepones the shippping</t>
  </si>
  <si>
    <t>Determine the approximate probability p
that minimises expected cost.</t>
  </si>
  <si>
    <t>EMV of normal shipping</t>
  </si>
  <si>
    <t>EMV of postpone shipping</t>
  </si>
  <si>
    <t>Fiding (EVI) value from p =0.05 to.3</t>
  </si>
  <si>
    <t>Chart EVI versus probility</t>
  </si>
  <si>
    <t>For predictions of a strike:</t>
  </si>
  <si>
    <t>For predictions of no strike:</t>
  </si>
  <si>
    <t>EVI(EMV Data purchase - EMV Data not purchase)</t>
  </si>
  <si>
    <t>EMV with purchase of Data</t>
  </si>
  <si>
    <t>Finding EMV VALUE</t>
  </si>
  <si>
    <t>EMV for normal shipping(p=15%) also EMV of purchase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</si>
</sst>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809]* #,##0_-;\-[$£-809]* #,##0_-;_-[$£-809]* &quot;-&quot;??_-;_-@_-"/>
    <numFmt numFmtId="165" formatCode="[&gt;0.00001]0.0###%;[=0]0.0%;0.00E+00"/>
    <numFmt numFmtId="166" formatCode="_-[$£-809]* #,##0.00_-;\-[$£-809]* #,##0.00_-;_-[$£-809]* &quot;-&quot;??_-;_-@_-"/>
    <numFmt numFmtId="167" formatCode="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8"/>
      <color rgb="FF000080"/>
      <name val="Aptos Narrow"/>
      <family val="2"/>
      <scheme val="minor"/>
    </font>
    <font>
      <sz val="8"/>
      <color theme="1"/>
      <name val="Aptos Narrow"/>
      <family val="2"/>
      <scheme val="minor"/>
    </font>
    <font>
      <b/>
      <sz val="8"/>
      <color rgb="FF008000"/>
      <name val="Aptos Narrow"/>
      <family val="2"/>
      <scheme val="minor"/>
    </font>
    <font>
      <sz val="8"/>
      <color rgb="FF008000"/>
      <name val="Aptos Narrow"/>
      <family val="2"/>
      <scheme val="minor"/>
    </font>
    <font>
      <b/>
      <sz val="8"/>
      <color rgb="FF800000"/>
      <name val="Aptos Narrow"/>
      <family val="2"/>
      <scheme val="minor"/>
    </font>
    <font>
      <sz val="8"/>
      <color rgb="FF800000"/>
      <name val="Aptos Narrow"/>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4">
    <xf numFmtId="0" fontId="0" fillId="0" borderId="0" xfId="0"/>
    <xf numFmtId="0" fontId="2" fillId="0" borderId="0" xfId="0" applyFont="1"/>
    <xf numFmtId="9" fontId="0" fillId="0" borderId="0" xfId="1" applyFont="1"/>
    <xf numFmtId="164" fontId="0" fillId="0" borderId="0" xfId="0" applyNumberFormat="1"/>
    <xf numFmtId="0" fontId="0" fillId="0" borderId="0" xfId="0" quotePrefix="1" applyAlignment="1">
      <alignment horizontal="left"/>
    </xf>
    <xf numFmtId="0" fontId="0" fillId="0" borderId="0" xfId="0" applyAlignment="1">
      <alignment horizontal="left"/>
    </xf>
    <xf numFmtId="0" fontId="3" fillId="0" borderId="0" xfId="0" applyFont="1" applyAlignment="1">
      <alignment horizontal="center"/>
    </xf>
    <xf numFmtId="165" fontId="3" fillId="0" borderId="0" xfId="0" applyNumberFormat="1" applyFont="1" applyAlignment="1">
      <alignment horizontal="center"/>
    </xf>
    <xf numFmtId="0" fontId="4" fillId="0" borderId="0" xfId="0" applyFont="1" applyAlignment="1">
      <alignment horizontal="right"/>
    </xf>
    <xf numFmtId="0" fontId="6" fillId="0" borderId="0" xfId="0" applyFont="1" applyAlignment="1">
      <alignment horizontal="center"/>
    </xf>
    <xf numFmtId="0" fontId="5" fillId="0" borderId="0" xfId="0" applyFont="1" applyAlignment="1">
      <alignment horizontal="center"/>
    </xf>
    <xf numFmtId="0" fontId="5" fillId="0" borderId="0" xfId="0" applyFont="1" applyAlignment="1">
      <alignment horizontal="right"/>
    </xf>
    <xf numFmtId="0" fontId="8" fillId="0" borderId="0" xfId="0" applyFont="1" applyAlignment="1">
      <alignment horizontal="center"/>
    </xf>
    <xf numFmtId="0" fontId="7" fillId="0" borderId="0" xfId="0" applyFont="1" applyAlignment="1">
      <alignment horizontal="center"/>
    </xf>
    <xf numFmtId="165" fontId="4" fillId="0" borderId="0" xfId="0" applyNumberFormat="1" applyFont="1" applyAlignment="1">
      <alignment horizontal="right"/>
    </xf>
    <xf numFmtId="9" fontId="0" fillId="0" borderId="0" xfId="0" applyNumberFormat="1"/>
    <xf numFmtId="166" fontId="0" fillId="0" borderId="0" xfId="0" applyNumberFormat="1"/>
    <xf numFmtId="167" fontId="0" fillId="0" borderId="0" xfId="0" applyNumberFormat="1"/>
    <xf numFmtId="0" fontId="0" fillId="0" borderId="0" xfId="0" applyAlignment="1">
      <alignment wrapText="1"/>
    </xf>
    <xf numFmtId="0" fontId="9" fillId="0" borderId="0" xfId="0" applyFont="1"/>
    <xf numFmtId="166" fontId="0" fillId="0" borderId="0" xfId="2" applyNumberFormat="1" applyFont="1"/>
    <xf numFmtId="0" fontId="2" fillId="0" borderId="0" xfId="0" applyFont="1" applyAlignment="1">
      <alignment horizontal="center"/>
    </xf>
    <xf numFmtId="0" fontId="0" fillId="0" borderId="0" xfId="0" applyAlignment="1">
      <alignment horizontal="center"/>
    </xf>
    <xf numFmtId="9" fontId="0" fillId="0" borderId="0" xfId="1" applyFont="1" applyAlignment="1">
      <alignment horizontal="center"/>
    </xf>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EVI</c:v>
          </c:tx>
          <c:spPr>
            <a:ln w="28575" cap="rnd">
              <a:solidFill>
                <a:schemeClr val="accent2"/>
              </a:solidFill>
              <a:round/>
            </a:ln>
            <a:effectLst/>
          </c:spPr>
          <c:marker>
            <c:symbol val="none"/>
          </c:marker>
          <c:cat>
            <c:numRef>
              <c:f>'part(c)'!$M$50:$M$75</c:f>
              <c:numCache>
                <c:formatCode>General</c:formatCode>
                <c:ptCount val="26"/>
                <c:pt idx="0">
                  <c:v>0.05</c:v>
                </c:pt>
                <c:pt idx="1">
                  <c:v>0.06</c:v>
                </c:pt>
                <c:pt idx="2">
                  <c:v>7.0000000000000007E-2</c:v>
                </c:pt>
                <c:pt idx="3">
                  <c:v>0.08</c:v>
                </c:pt>
                <c:pt idx="4">
                  <c:v>0.09</c:v>
                </c:pt>
                <c:pt idx="5">
                  <c:v>0.1</c:v>
                </c:pt>
                <c:pt idx="6">
                  <c:v>0.11</c:v>
                </c:pt>
                <c:pt idx="7">
                  <c:v>0.12</c:v>
                </c:pt>
                <c:pt idx="8">
                  <c:v>0.13</c:v>
                </c:pt>
                <c:pt idx="9">
                  <c:v>0.14000000000000001</c:v>
                </c:pt>
                <c:pt idx="10">
                  <c:v>0.15</c:v>
                </c:pt>
                <c:pt idx="11">
                  <c:v>0.16</c:v>
                </c:pt>
                <c:pt idx="12">
                  <c:v>0.17</c:v>
                </c:pt>
                <c:pt idx="13">
                  <c:v>0.18</c:v>
                </c:pt>
                <c:pt idx="14">
                  <c:v>0.19</c:v>
                </c:pt>
                <c:pt idx="15">
                  <c:v>0.2</c:v>
                </c:pt>
                <c:pt idx="16">
                  <c:v>0.21</c:v>
                </c:pt>
                <c:pt idx="17">
                  <c:v>0.22</c:v>
                </c:pt>
                <c:pt idx="18">
                  <c:v>0.23</c:v>
                </c:pt>
                <c:pt idx="19">
                  <c:v>0.24</c:v>
                </c:pt>
                <c:pt idx="20">
                  <c:v>0.25</c:v>
                </c:pt>
                <c:pt idx="21">
                  <c:v>0.26</c:v>
                </c:pt>
                <c:pt idx="22">
                  <c:v>0.27</c:v>
                </c:pt>
                <c:pt idx="23">
                  <c:v>0.28000000000000003</c:v>
                </c:pt>
                <c:pt idx="24">
                  <c:v>0.28999999999999998</c:v>
                </c:pt>
                <c:pt idx="25">
                  <c:v>0.3</c:v>
                </c:pt>
              </c:numCache>
            </c:numRef>
          </c:cat>
          <c:val>
            <c:numRef>
              <c:f>'part(c)'!$N$50:$N$75</c:f>
              <c:numCache>
                <c:formatCode>_-[$£-809]* #,##0_-;\-[$£-809]* #,##0_-;_-[$£-809]* "-"??_-;_-@_-</c:formatCode>
                <c:ptCount val="26"/>
                <c:pt idx="0">
                  <c:v>-3090.3289473684199</c:v>
                </c:pt>
                <c:pt idx="1">
                  <c:v>-2844.4078947368407</c:v>
                </c:pt>
                <c:pt idx="2">
                  <c:v>-2598.4868421052615</c:v>
                </c:pt>
                <c:pt idx="3">
                  <c:v>-2352.5657894736833</c:v>
                </c:pt>
                <c:pt idx="4">
                  <c:v>-2106.6447368421032</c:v>
                </c:pt>
                <c:pt idx="5">
                  <c:v>-1860.7236842105249</c:v>
                </c:pt>
                <c:pt idx="6">
                  <c:v>-1614.8026315789466</c:v>
                </c:pt>
                <c:pt idx="7">
                  <c:v>-1368.8815789473665</c:v>
                </c:pt>
                <c:pt idx="8">
                  <c:v>-1122.9605263157882</c:v>
                </c:pt>
                <c:pt idx="9">
                  <c:v>-877.03947368420995</c:v>
                </c:pt>
                <c:pt idx="10">
                  <c:v>-631.11842105262986</c:v>
                </c:pt>
                <c:pt idx="11">
                  <c:v>-385.1973684210534</c:v>
                </c:pt>
                <c:pt idx="12">
                  <c:v>-139.2763157894733</c:v>
                </c:pt>
                <c:pt idx="13">
                  <c:v>106.64473684210679</c:v>
                </c:pt>
                <c:pt idx="14">
                  <c:v>352.56578947368507</c:v>
                </c:pt>
                <c:pt idx="15">
                  <c:v>598.48684210526517</c:v>
                </c:pt>
                <c:pt idx="16">
                  <c:v>844.40789473684345</c:v>
                </c:pt>
                <c:pt idx="17">
                  <c:v>1090.3289473684217</c:v>
                </c:pt>
                <c:pt idx="18">
                  <c:v>1336.25</c:v>
                </c:pt>
                <c:pt idx="19">
                  <c:v>1582.1710526315801</c:v>
                </c:pt>
                <c:pt idx="20">
                  <c:v>1828.0921052631584</c:v>
                </c:pt>
                <c:pt idx="21">
                  <c:v>2074.0131578947367</c:v>
                </c:pt>
                <c:pt idx="22">
                  <c:v>2319.9342105263167</c:v>
                </c:pt>
                <c:pt idx="23">
                  <c:v>2565.8552631578968</c:v>
                </c:pt>
                <c:pt idx="24">
                  <c:v>2811.7763157894733</c:v>
                </c:pt>
                <c:pt idx="25">
                  <c:v>3057.6973684210516</c:v>
                </c:pt>
              </c:numCache>
            </c:numRef>
          </c:val>
          <c:smooth val="0"/>
          <c:extLst>
            <c:ext xmlns:c16="http://schemas.microsoft.com/office/drawing/2014/chart" uri="{C3380CC4-5D6E-409C-BE32-E72D297353CC}">
              <c16:uniqueId val="{00000001-A6AB-4ACA-8646-241A899F1282}"/>
            </c:ext>
          </c:extLst>
        </c:ser>
        <c:dLbls>
          <c:showLegendKey val="0"/>
          <c:showVal val="0"/>
          <c:showCatName val="0"/>
          <c:showSerName val="0"/>
          <c:showPercent val="0"/>
          <c:showBubbleSize val="0"/>
        </c:dLbls>
        <c:smooth val="0"/>
        <c:axId val="240094352"/>
        <c:axId val="240092432"/>
      </c:lineChart>
      <c:catAx>
        <c:axId val="24009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92432"/>
        <c:crosses val="autoZero"/>
        <c:auto val="1"/>
        <c:lblAlgn val="ctr"/>
        <c:lblOffset val="100"/>
        <c:noMultiLvlLbl val="0"/>
      </c:catAx>
      <c:valAx>
        <c:axId val="240092432"/>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9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239522</xdr:colOff>
      <xdr:row>62</xdr:row>
      <xdr:rowOff>179070</xdr:rowOff>
    </xdr:from>
    <xdr:to>
      <xdr:col>3</xdr:col>
      <xdr:colOff>127</xdr:colOff>
      <xdr:row>62</xdr:row>
      <xdr:rowOff>179070</xdr:rowOff>
    </xdr:to>
    <xdr:cxnSp macro="_xll.PtreeEvent_ObjectClick">
      <xdr:nvCxnSpPr>
        <xdr:cNvPr id="107" name="PTObj_DBranchHLine_1_7">
          <a:extLst>
            <a:ext uri="{FF2B5EF4-FFF2-40B4-BE49-F238E27FC236}">
              <a16:creationId xmlns:a16="http://schemas.microsoft.com/office/drawing/2014/main" id="{F31C8078-39C1-4391-F63F-0ECF22B87C43}"/>
            </a:ext>
          </a:extLst>
        </xdr:cNvPr>
        <xdr:cNvCxnSpPr/>
      </xdr:nvCxnSpPr>
      <xdr:spPr>
        <a:xfrm>
          <a:off x="4786122" y="11596370"/>
          <a:ext cx="13481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87122</xdr:colOff>
      <xdr:row>60</xdr:row>
      <xdr:rowOff>173989</xdr:rowOff>
    </xdr:from>
    <xdr:to>
      <xdr:col>2</xdr:col>
      <xdr:colOff>239522</xdr:colOff>
      <xdr:row>62</xdr:row>
      <xdr:rowOff>179070</xdr:rowOff>
    </xdr:to>
    <xdr:cxnSp macro="_xll.PtreeEvent_ObjectClick">
      <xdr:nvCxnSpPr>
        <xdr:cNvPr id="106" name="PTObj_DBranchDLine_1_7">
          <a:extLst>
            <a:ext uri="{FF2B5EF4-FFF2-40B4-BE49-F238E27FC236}">
              <a16:creationId xmlns:a16="http://schemas.microsoft.com/office/drawing/2014/main" id="{0A9F6064-F78B-724D-B1EB-C4D3FBECC644}"/>
            </a:ext>
          </a:extLst>
        </xdr:cNvPr>
        <xdr:cNvCxnSpPr/>
      </xdr:nvCxnSpPr>
      <xdr:spPr>
        <a:xfrm>
          <a:off x="4633722" y="11222989"/>
          <a:ext cx="152400" cy="373381"/>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239522</xdr:colOff>
      <xdr:row>58</xdr:row>
      <xdr:rowOff>179070</xdr:rowOff>
    </xdr:from>
    <xdr:to>
      <xdr:col>3</xdr:col>
      <xdr:colOff>127</xdr:colOff>
      <xdr:row>58</xdr:row>
      <xdr:rowOff>179070</xdr:rowOff>
    </xdr:to>
    <xdr:cxnSp macro="_xll.PtreeEvent_ObjectClick">
      <xdr:nvCxnSpPr>
        <xdr:cNvPr id="103" name="PTObj_DBranchHLine_1_6">
          <a:extLst>
            <a:ext uri="{FF2B5EF4-FFF2-40B4-BE49-F238E27FC236}">
              <a16:creationId xmlns:a16="http://schemas.microsoft.com/office/drawing/2014/main" id="{2AF01044-262A-7BFC-D589-A9999B7F21BD}"/>
            </a:ext>
          </a:extLst>
        </xdr:cNvPr>
        <xdr:cNvCxnSpPr/>
      </xdr:nvCxnSpPr>
      <xdr:spPr>
        <a:xfrm>
          <a:off x="4786122" y="10859770"/>
          <a:ext cx="13481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87122</xdr:colOff>
      <xdr:row>58</xdr:row>
      <xdr:rowOff>179070</xdr:rowOff>
    </xdr:from>
    <xdr:to>
      <xdr:col>2</xdr:col>
      <xdr:colOff>239522</xdr:colOff>
      <xdr:row>60</xdr:row>
      <xdr:rowOff>173989</xdr:rowOff>
    </xdr:to>
    <xdr:cxnSp macro="_xll.PtreeEvent_ObjectClick">
      <xdr:nvCxnSpPr>
        <xdr:cNvPr id="102" name="PTObj_DBranchDLine_1_6">
          <a:extLst>
            <a:ext uri="{FF2B5EF4-FFF2-40B4-BE49-F238E27FC236}">
              <a16:creationId xmlns:a16="http://schemas.microsoft.com/office/drawing/2014/main" id="{2DEF0063-F229-30C8-EC3D-0DE1E98D0CEF}"/>
            </a:ext>
          </a:extLst>
        </xdr:cNvPr>
        <xdr:cNvCxnSpPr/>
      </xdr:nvCxnSpPr>
      <xdr:spPr>
        <a:xfrm flipV="1">
          <a:off x="4633722" y="10859770"/>
          <a:ext cx="152400" cy="363219"/>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239522</xdr:colOff>
      <xdr:row>60</xdr:row>
      <xdr:rowOff>179070</xdr:rowOff>
    </xdr:from>
    <xdr:to>
      <xdr:col>2</xdr:col>
      <xdr:colOff>127</xdr:colOff>
      <xdr:row>60</xdr:row>
      <xdr:rowOff>179070</xdr:rowOff>
    </xdr:to>
    <xdr:cxnSp macro="_xll.PtreeEvent_ObjectClick">
      <xdr:nvCxnSpPr>
        <xdr:cNvPr id="99" name="PTObj_DBranchHLine_1_3">
          <a:extLst>
            <a:ext uri="{FF2B5EF4-FFF2-40B4-BE49-F238E27FC236}">
              <a16:creationId xmlns:a16="http://schemas.microsoft.com/office/drawing/2014/main" id="{130A6FCE-290A-A8B9-846D-0460EE18747B}"/>
            </a:ext>
          </a:extLst>
        </xdr:cNvPr>
        <xdr:cNvCxnSpPr/>
      </xdr:nvCxnSpPr>
      <xdr:spPr>
        <a:xfrm>
          <a:off x="3122422" y="10859770"/>
          <a:ext cx="14243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87122</xdr:colOff>
      <xdr:row>56</xdr:row>
      <xdr:rowOff>173989</xdr:rowOff>
    </xdr:from>
    <xdr:to>
      <xdr:col>1</xdr:col>
      <xdr:colOff>239522</xdr:colOff>
      <xdr:row>60</xdr:row>
      <xdr:rowOff>179070</xdr:rowOff>
    </xdr:to>
    <xdr:cxnSp macro="_xll.PtreeEvent_ObjectClick">
      <xdr:nvCxnSpPr>
        <xdr:cNvPr id="98" name="PTObj_DBranchDLine_1_3">
          <a:extLst>
            <a:ext uri="{FF2B5EF4-FFF2-40B4-BE49-F238E27FC236}">
              <a16:creationId xmlns:a16="http://schemas.microsoft.com/office/drawing/2014/main" id="{9B757BCF-2215-BB10-5335-CD2A14AEE07F}"/>
            </a:ext>
          </a:extLst>
        </xdr:cNvPr>
        <xdr:cNvCxnSpPr/>
      </xdr:nvCxnSpPr>
      <xdr:spPr>
        <a:xfrm>
          <a:off x="2970022" y="10486389"/>
          <a:ext cx="152400" cy="373381"/>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239522</xdr:colOff>
      <xdr:row>54</xdr:row>
      <xdr:rowOff>179070</xdr:rowOff>
    </xdr:from>
    <xdr:to>
      <xdr:col>3</xdr:col>
      <xdr:colOff>127</xdr:colOff>
      <xdr:row>54</xdr:row>
      <xdr:rowOff>179070</xdr:rowOff>
    </xdr:to>
    <xdr:cxnSp macro="_xll.PtreeEvent_ObjectClick">
      <xdr:nvCxnSpPr>
        <xdr:cNvPr id="95" name="PTObj_DBranchHLine_1_5">
          <a:extLst>
            <a:ext uri="{FF2B5EF4-FFF2-40B4-BE49-F238E27FC236}">
              <a16:creationId xmlns:a16="http://schemas.microsoft.com/office/drawing/2014/main" id="{6C974412-5C25-1D47-9DA9-A397E265505F}"/>
            </a:ext>
          </a:extLst>
        </xdr:cNvPr>
        <xdr:cNvCxnSpPr/>
      </xdr:nvCxnSpPr>
      <xdr:spPr>
        <a:xfrm>
          <a:off x="4786122" y="10123170"/>
          <a:ext cx="13481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87122</xdr:colOff>
      <xdr:row>52</xdr:row>
      <xdr:rowOff>173989</xdr:rowOff>
    </xdr:from>
    <xdr:to>
      <xdr:col>2</xdr:col>
      <xdr:colOff>239522</xdr:colOff>
      <xdr:row>54</xdr:row>
      <xdr:rowOff>179070</xdr:rowOff>
    </xdr:to>
    <xdr:cxnSp macro="_xll.PtreeEvent_ObjectClick">
      <xdr:nvCxnSpPr>
        <xdr:cNvPr id="94" name="PTObj_DBranchDLine_1_5">
          <a:extLst>
            <a:ext uri="{FF2B5EF4-FFF2-40B4-BE49-F238E27FC236}">
              <a16:creationId xmlns:a16="http://schemas.microsoft.com/office/drawing/2014/main" id="{A77EFAA8-7E83-96A3-73D2-F8FBC2DE1B4B}"/>
            </a:ext>
          </a:extLst>
        </xdr:cNvPr>
        <xdr:cNvCxnSpPr/>
      </xdr:nvCxnSpPr>
      <xdr:spPr>
        <a:xfrm>
          <a:off x="4633722" y="9749789"/>
          <a:ext cx="152400" cy="373381"/>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239522</xdr:colOff>
      <xdr:row>50</xdr:row>
      <xdr:rowOff>179070</xdr:rowOff>
    </xdr:from>
    <xdr:to>
      <xdr:col>3</xdr:col>
      <xdr:colOff>127</xdr:colOff>
      <xdr:row>50</xdr:row>
      <xdr:rowOff>179070</xdr:rowOff>
    </xdr:to>
    <xdr:cxnSp macro="_xll.PtreeEvent_ObjectClick">
      <xdr:nvCxnSpPr>
        <xdr:cNvPr id="91" name="PTObj_DBranchHLine_1_4">
          <a:extLst>
            <a:ext uri="{FF2B5EF4-FFF2-40B4-BE49-F238E27FC236}">
              <a16:creationId xmlns:a16="http://schemas.microsoft.com/office/drawing/2014/main" id="{F3B15D43-547E-4D61-4011-AC9700C48C57}"/>
            </a:ext>
          </a:extLst>
        </xdr:cNvPr>
        <xdr:cNvCxnSpPr/>
      </xdr:nvCxnSpPr>
      <xdr:spPr>
        <a:xfrm>
          <a:off x="4786122" y="9386570"/>
          <a:ext cx="13481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87122</xdr:colOff>
      <xdr:row>50</xdr:row>
      <xdr:rowOff>179070</xdr:rowOff>
    </xdr:from>
    <xdr:to>
      <xdr:col>2</xdr:col>
      <xdr:colOff>239522</xdr:colOff>
      <xdr:row>52</xdr:row>
      <xdr:rowOff>173989</xdr:rowOff>
    </xdr:to>
    <xdr:cxnSp macro="_xll.PtreeEvent_ObjectClick">
      <xdr:nvCxnSpPr>
        <xdr:cNvPr id="90" name="PTObj_DBranchDLine_1_4">
          <a:extLst>
            <a:ext uri="{FF2B5EF4-FFF2-40B4-BE49-F238E27FC236}">
              <a16:creationId xmlns:a16="http://schemas.microsoft.com/office/drawing/2014/main" id="{54AE7FB6-7C18-EFC5-4CE5-16EBBD0C18F5}"/>
            </a:ext>
          </a:extLst>
        </xdr:cNvPr>
        <xdr:cNvCxnSpPr/>
      </xdr:nvCxnSpPr>
      <xdr:spPr>
        <a:xfrm flipV="1">
          <a:off x="4633722" y="9386570"/>
          <a:ext cx="152400" cy="363219"/>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239522</xdr:colOff>
      <xdr:row>52</xdr:row>
      <xdr:rowOff>179070</xdr:rowOff>
    </xdr:from>
    <xdr:to>
      <xdr:col>2</xdr:col>
      <xdr:colOff>127</xdr:colOff>
      <xdr:row>52</xdr:row>
      <xdr:rowOff>179070</xdr:rowOff>
    </xdr:to>
    <xdr:cxnSp macro="_xll.PtreeEvent_ObjectClick">
      <xdr:nvCxnSpPr>
        <xdr:cNvPr id="87" name="PTObj_DBranchHLine_1_2">
          <a:extLst>
            <a:ext uri="{FF2B5EF4-FFF2-40B4-BE49-F238E27FC236}">
              <a16:creationId xmlns:a16="http://schemas.microsoft.com/office/drawing/2014/main" id="{697E14E0-E838-9708-E13B-CD26D79FC9D6}"/>
            </a:ext>
          </a:extLst>
        </xdr:cNvPr>
        <xdr:cNvCxnSpPr/>
      </xdr:nvCxnSpPr>
      <xdr:spPr>
        <a:xfrm>
          <a:off x="3122422" y="9386570"/>
          <a:ext cx="14243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87122</xdr:colOff>
      <xdr:row>52</xdr:row>
      <xdr:rowOff>179070</xdr:rowOff>
    </xdr:from>
    <xdr:to>
      <xdr:col>1</xdr:col>
      <xdr:colOff>239522</xdr:colOff>
      <xdr:row>56</xdr:row>
      <xdr:rowOff>173989</xdr:rowOff>
    </xdr:to>
    <xdr:cxnSp macro="_xll.PtreeEvent_ObjectClick">
      <xdr:nvCxnSpPr>
        <xdr:cNvPr id="86" name="PTObj_DBranchDLine_1_2">
          <a:extLst>
            <a:ext uri="{FF2B5EF4-FFF2-40B4-BE49-F238E27FC236}">
              <a16:creationId xmlns:a16="http://schemas.microsoft.com/office/drawing/2014/main" id="{BA83B888-AEC6-BEAC-70E0-C3C7D58534C1}"/>
            </a:ext>
          </a:extLst>
        </xdr:cNvPr>
        <xdr:cNvCxnSpPr/>
      </xdr:nvCxnSpPr>
      <xdr:spPr>
        <a:xfrm flipV="1">
          <a:off x="2970022" y="9386570"/>
          <a:ext cx="152400" cy="363219"/>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239522</xdr:colOff>
      <xdr:row>99</xdr:row>
      <xdr:rowOff>179070</xdr:rowOff>
    </xdr:from>
    <xdr:to>
      <xdr:col>3</xdr:col>
      <xdr:colOff>127</xdr:colOff>
      <xdr:row>99</xdr:row>
      <xdr:rowOff>179070</xdr:rowOff>
    </xdr:to>
    <xdr:cxnSp macro="_xll.PtreeEvent_ObjectClick">
      <xdr:nvCxnSpPr>
        <xdr:cNvPr id="83" name="PTObj_DBranchHLine_2_7">
          <a:extLst>
            <a:ext uri="{FF2B5EF4-FFF2-40B4-BE49-F238E27FC236}">
              <a16:creationId xmlns:a16="http://schemas.microsoft.com/office/drawing/2014/main" id="{7E76A171-60DC-5198-EA66-A3BBE46BE53B}"/>
            </a:ext>
          </a:extLst>
        </xdr:cNvPr>
        <xdr:cNvCxnSpPr/>
      </xdr:nvCxnSpPr>
      <xdr:spPr>
        <a:xfrm>
          <a:off x="4786122" y="16936720"/>
          <a:ext cx="13481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87122</xdr:colOff>
      <xdr:row>97</xdr:row>
      <xdr:rowOff>173989</xdr:rowOff>
    </xdr:from>
    <xdr:to>
      <xdr:col>2</xdr:col>
      <xdr:colOff>239522</xdr:colOff>
      <xdr:row>99</xdr:row>
      <xdr:rowOff>179070</xdr:rowOff>
    </xdr:to>
    <xdr:cxnSp macro="_xll.PtreeEvent_ObjectClick">
      <xdr:nvCxnSpPr>
        <xdr:cNvPr id="82" name="PTObj_DBranchDLine_2_7">
          <a:extLst>
            <a:ext uri="{FF2B5EF4-FFF2-40B4-BE49-F238E27FC236}">
              <a16:creationId xmlns:a16="http://schemas.microsoft.com/office/drawing/2014/main" id="{39713D93-67B9-8760-0A06-1FAABE2773B1}"/>
            </a:ext>
          </a:extLst>
        </xdr:cNvPr>
        <xdr:cNvCxnSpPr/>
      </xdr:nvCxnSpPr>
      <xdr:spPr>
        <a:xfrm>
          <a:off x="4633722" y="16563339"/>
          <a:ext cx="152400" cy="373381"/>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239522</xdr:colOff>
      <xdr:row>95</xdr:row>
      <xdr:rowOff>179070</xdr:rowOff>
    </xdr:from>
    <xdr:to>
      <xdr:col>3</xdr:col>
      <xdr:colOff>127</xdr:colOff>
      <xdr:row>95</xdr:row>
      <xdr:rowOff>179070</xdr:rowOff>
    </xdr:to>
    <xdr:cxnSp macro="_xll.PtreeEvent_ObjectClick">
      <xdr:nvCxnSpPr>
        <xdr:cNvPr id="79" name="PTObj_DBranchHLine_2_6">
          <a:extLst>
            <a:ext uri="{FF2B5EF4-FFF2-40B4-BE49-F238E27FC236}">
              <a16:creationId xmlns:a16="http://schemas.microsoft.com/office/drawing/2014/main" id="{FB93A817-AF04-2A77-4B81-D75DF402514B}"/>
            </a:ext>
          </a:extLst>
        </xdr:cNvPr>
        <xdr:cNvCxnSpPr/>
      </xdr:nvCxnSpPr>
      <xdr:spPr>
        <a:xfrm>
          <a:off x="4786122" y="16200120"/>
          <a:ext cx="13481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87122</xdr:colOff>
      <xdr:row>95</xdr:row>
      <xdr:rowOff>179070</xdr:rowOff>
    </xdr:from>
    <xdr:to>
      <xdr:col>2</xdr:col>
      <xdr:colOff>239522</xdr:colOff>
      <xdr:row>97</xdr:row>
      <xdr:rowOff>173989</xdr:rowOff>
    </xdr:to>
    <xdr:cxnSp macro="_xll.PtreeEvent_ObjectClick">
      <xdr:nvCxnSpPr>
        <xdr:cNvPr id="78" name="PTObj_DBranchDLine_2_6">
          <a:extLst>
            <a:ext uri="{FF2B5EF4-FFF2-40B4-BE49-F238E27FC236}">
              <a16:creationId xmlns:a16="http://schemas.microsoft.com/office/drawing/2014/main" id="{CB89E23B-EAD3-2FE4-3079-05BE168B7D3F}"/>
            </a:ext>
          </a:extLst>
        </xdr:cNvPr>
        <xdr:cNvCxnSpPr/>
      </xdr:nvCxnSpPr>
      <xdr:spPr>
        <a:xfrm flipV="1">
          <a:off x="4633722" y="16200120"/>
          <a:ext cx="152400" cy="363219"/>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239522</xdr:colOff>
      <xdr:row>97</xdr:row>
      <xdr:rowOff>179070</xdr:rowOff>
    </xdr:from>
    <xdr:to>
      <xdr:col>2</xdr:col>
      <xdr:colOff>127</xdr:colOff>
      <xdr:row>97</xdr:row>
      <xdr:rowOff>179070</xdr:rowOff>
    </xdr:to>
    <xdr:cxnSp macro="_xll.PtreeEvent_ObjectClick">
      <xdr:nvCxnSpPr>
        <xdr:cNvPr id="75" name="PTObj_DBranchHLine_2_3">
          <a:extLst>
            <a:ext uri="{FF2B5EF4-FFF2-40B4-BE49-F238E27FC236}">
              <a16:creationId xmlns:a16="http://schemas.microsoft.com/office/drawing/2014/main" id="{5FF3B4F5-04ED-FA16-29EF-5229F2C13911}"/>
            </a:ext>
          </a:extLst>
        </xdr:cNvPr>
        <xdr:cNvCxnSpPr/>
      </xdr:nvCxnSpPr>
      <xdr:spPr>
        <a:xfrm>
          <a:off x="3122422" y="16200120"/>
          <a:ext cx="14243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87122</xdr:colOff>
      <xdr:row>93</xdr:row>
      <xdr:rowOff>173989</xdr:rowOff>
    </xdr:from>
    <xdr:to>
      <xdr:col>1</xdr:col>
      <xdr:colOff>239522</xdr:colOff>
      <xdr:row>97</xdr:row>
      <xdr:rowOff>179070</xdr:rowOff>
    </xdr:to>
    <xdr:cxnSp macro="_xll.PtreeEvent_ObjectClick">
      <xdr:nvCxnSpPr>
        <xdr:cNvPr id="74" name="PTObj_DBranchDLine_2_3">
          <a:extLst>
            <a:ext uri="{FF2B5EF4-FFF2-40B4-BE49-F238E27FC236}">
              <a16:creationId xmlns:a16="http://schemas.microsoft.com/office/drawing/2014/main" id="{5A8699EC-B70B-06C7-4C15-72B3FBB96628}"/>
            </a:ext>
          </a:extLst>
        </xdr:cNvPr>
        <xdr:cNvCxnSpPr/>
      </xdr:nvCxnSpPr>
      <xdr:spPr>
        <a:xfrm>
          <a:off x="2970022" y="15826739"/>
          <a:ext cx="152400" cy="373381"/>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239522</xdr:colOff>
      <xdr:row>91</xdr:row>
      <xdr:rowOff>179070</xdr:rowOff>
    </xdr:from>
    <xdr:to>
      <xdr:col>3</xdr:col>
      <xdr:colOff>127</xdr:colOff>
      <xdr:row>91</xdr:row>
      <xdr:rowOff>179070</xdr:rowOff>
    </xdr:to>
    <xdr:cxnSp macro="_xll.PtreeEvent_ObjectClick">
      <xdr:nvCxnSpPr>
        <xdr:cNvPr id="71" name="PTObj_DBranchHLine_2_5">
          <a:extLst>
            <a:ext uri="{FF2B5EF4-FFF2-40B4-BE49-F238E27FC236}">
              <a16:creationId xmlns:a16="http://schemas.microsoft.com/office/drawing/2014/main" id="{DDB9932A-758D-0A43-98E8-58D5F2A5E35B}"/>
            </a:ext>
          </a:extLst>
        </xdr:cNvPr>
        <xdr:cNvCxnSpPr/>
      </xdr:nvCxnSpPr>
      <xdr:spPr>
        <a:xfrm>
          <a:off x="4786122" y="15463520"/>
          <a:ext cx="13481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87122</xdr:colOff>
      <xdr:row>89</xdr:row>
      <xdr:rowOff>173989</xdr:rowOff>
    </xdr:from>
    <xdr:to>
      <xdr:col>2</xdr:col>
      <xdr:colOff>239522</xdr:colOff>
      <xdr:row>91</xdr:row>
      <xdr:rowOff>179070</xdr:rowOff>
    </xdr:to>
    <xdr:cxnSp macro="_xll.PtreeEvent_ObjectClick">
      <xdr:nvCxnSpPr>
        <xdr:cNvPr id="70" name="PTObj_DBranchDLine_2_5">
          <a:extLst>
            <a:ext uri="{FF2B5EF4-FFF2-40B4-BE49-F238E27FC236}">
              <a16:creationId xmlns:a16="http://schemas.microsoft.com/office/drawing/2014/main" id="{4219A85E-ABF4-D7FD-3A94-0583C9399D9F}"/>
            </a:ext>
          </a:extLst>
        </xdr:cNvPr>
        <xdr:cNvCxnSpPr/>
      </xdr:nvCxnSpPr>
      <xdr:spPr>
        <a:xfrm>
          <a:off x="4633722" y="15090139"/>
          <a:ext cx="152400" cy="373381"/>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239522</xdr:colOff>
      <xdr:row>87</xdr:row>
      <xdr:rowOff>179070</xdr:rowOff>
    </xdr:from>
    <xdr:to>
      <xdr:col>3</xdr:col>
      <xdr:colOff>127</xdr:colOff>
      <xdr:row>87</xdr:row>
      <xdr:rowOff>179070</xdr:rowOff>
    </xdr:to>
    <xdr:cxnSp macro="_xll.PtreeEvent_ObjectClick">
      <xdr:nvCxnSpPr>
        <xdr:cNvPr id="67" name="PTObj_DBranchHLine_2_4">
          <a:extLst>
            <a:ext uri="{FF2B5EF4-FFF2-40B4-BE49-F238E27FC236}">
              <a16:creationId xmlns:a16="http://schemas.microsoft.com/office/drawing/2014/main" id="{87D8BF8E-E72E-0184-7FBF-B036B86C54C3}"/>
            </a:ext>
          </a:extLst>
        </xdr:cNvPr>
        <xdr:cNvCxnSpPr/>
      </xdr:nvCxnSpPr>
      <xdr:spPr>
        <a:xfrm>
          <a:off x="4786122" y="14726920"/>
          <a:ext cx="13481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87122</xdr:colOff>
      <xdr:row>87</xdr:row>
      <xdr:rowOff>179070</xdr:rowOff>
    </xdr:from>
    <xdr:to>
      <xdr:col>2</xdr:col>
      <xdr:colOff>239522</xdr:colOff>
      <xdr:row>89</xdr:row>
      <xdr:rowOff>173989</xdr:rowOff>
    </xdr:to>
    <xdr:cxnSp macro="_xll.PtreeEvent_ObjectClick">
      <xdr:nvCxnSpPr>
        <xdr:cNvPr id="66" name="PTObj_DBranchDLine_2_4">
          <a:extLst>
            <a:ext uri="{FF2B5EF4-FFF2-40B4-BE49-F238E27FC236}">
              <a16:creationId xmlns:a16="http://schemas.microsoft.com/office/drawing/2014/main" id="{2513A493-C414-1A61-CB54-D41C03244BCC}"/>
            </a:ext>
          </a:extLst>
        </xdr:cNvPr>
        <xdr:cNvCxnSpPr/>
      </xdr:nvCxnSpPr>
      <xdr:spPr>
        <a:xfrm flipV="1">
          <a:off x="4633722" y="14726920"/>
          <a:ext cx="152400" cy="363219"/>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239522</xdr:colOff>
      <xdr:row>89</xdr:row>
      <xdr:rowOff>179070</xdr:rowOff>
    </xdr:from>
    <xdr:to>
      <xdr:col>2</xdr:col>
      <xdr:colOff>127</xdr:colOff>
      <xdr:row>89</xdr:row>
      <xdr:rowOff>179070</xdr:rowOff>
    </xdr:to>
    <xdr:cxnSp macro="_xll.PtreeEvent_ObjectClick">
      <xdr:nvCxnSpPr>
        <xdr:cNvPr id="63" name="PTObj_DBranchHLine_2_2">
          <a:extLst>
            <a:ext uri="{FF2B5EF4-FFF2-40B4-BE49-F238E27FC236}">
              <a16:creationId xmlns:a16="http://schemas.microsoft.com/office/drawing/2014/main" id="{83CC3D90-0B8E-5EBE-BD2D-D379AD0D265D}"/>
            </a:ext>
          </a:extLst>
        </xdr:cNvPr>
        <xdr:cNvCxnSpPr/>
      </xdr:nvCxnSpPr>
      <xdr:spPr>
        <a:xfrm>
          <a:off x="3122422" y="14726920"/>
          <a:ext cx="1424305"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87122</xdr:colOff>
      <xdr:row>89</xdr:row>
      <xdr:rowOff>179070</xdr:rowOff>
    </xdr:from>
    <xdr:to>
      <xdr:col>1</xdr:col>
      <xdr:colOff>239522</xdr:colOff>
      <xdr:row>93</xdr:row>
      <xdr:rowOff>173989</xdr:rowOff>
    </xdr:to>
    <xdr:cxnSp macro="_xll.PtreeEvent_ObjectClick">
      <xdr:nvCxnSpPr>
        <xdr:cNvPr id="62" name="PTObj_DBranchDLine_2_2">
          <a:extLst>
            <a:ext uri="{FF2B5EF4-FFF2-40B4-BE49-F238E27FC236}">
              <a16:creationId xmlns:a16="http://schemas.microsoft.com/office/drawing/2014/main" id="{C38A03B9-BECF-315B-37A0-AF39DAEFEF8D}"/>
            </a:ext>
          </a:extLst>
        </xdr:cNvPr>
        <xdr:cNvCxnSpPr/>
      </xdr:nvCxnSpPr>
      <xdr:spPr>
        <a:xfrm flipV="1">
          <a:off x="2970022" y="14726920"/>
          <a:ext cx="152400" cy="363219"/>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177800</xdr:colOff>
      <xdr:row>93</xdr:row>
      <xdr:rowOff>179070</xdr:rowOff>
    </xdr:from>
    <xdr:to>
      <xdr:col>1</xdr:col>
      <xdr:colOff>127</xdr:colOff>
      <xdr:row>93</xdr:row>
      <xdr:rowOff>179070</xdr:rowOff>
    </xdr:to>
    <xdr:cxnSp macro="_xll.PtreeEvent_ObjectClick">
      <xdr:nvCxnSpPr>
        <xdr:cNvPr id="43" name="PTObj_DBranchHLine_2_1">
          <a:extLst>
            <a:ext uri="{FF2B5EF4-FFF2-40B4-BE49-F238E27FC236}">
              <a16:creationId xmlns:a16="http://schemas.microsoft.com/office/drawing/2014/main" id="{BEA07367-7C72-A1B0-03FB-73A8EB7B5C8C}"/>
            </a:ext>
          </a:extLst>
        </xdr:cNvPr>
        <xdr:cNvCxnSpPr/>
      </xdr:nvCxnSpPr>
      <xdr:spPr>
        <a:xfrm>
          <a:off x="177800" y="16200120"/>
          <a:ext cx="2705227"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177800</xdr:colOff>
      <xdr:row>56</xdr:row>
      <xdr:rowOff>179070</xdr:rowOff>
    </xdr:from>
    <xdr:to>
      <xdr:col>1</xdr:col>
      <xdr:colOff>127</xdr:colOff>
      <xdr:row>56</xdr:row>
      <xdr:rowOff>179070</xdr:rowOff>
    </xdr:to>
    <xdr:cxnSp macro="_xll.PtreeEvent_ObjectClick">
      <xdr:nvCxnSpPr>
        <xdr:cNvPr id="7" name="PTObj_DBranchHLine_1_1">
          <a:extLst>
            <a:ext uri="{FF2B5EF4-FFF2-40B4-BE49-F238E27FC236}">
              <a16:creationId xmlns:a16="http://schemas.microsoft.com/office/drawing/2014/main" id="{B6DB42C2-20FF-5C44-252F-9A5DCD75F3D3}"/>
            </a:ext>
          </a:extLst>
        </xdr:cNvPr>
        <xdr:cNvCxnSpPr/>
      </xdr:nvCxnSpPr>
      <xdr:spPr>
        <a:xfrm>
          <a:off x="177800" y="9386570"/>
          <a:ext cx="2705227" cy="0"/>
        </a:xfrm>
        <a:prstGeom prst="line">
          <a:avLst/>
        </a:prstGeom>
        <a:ln>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241300</xdr:colOff>
      <xdr:row>5</xdr:row>
      <xdr:rowOff>146050</xdr:rowOff>
    </xdr:from>
    <xdr:ext cx="2698750" cy="264560"/>
    <xdr:sp macro="" textlink="">
      <xdr:nvSpPr>
        <xdr:cNvPr id="2" name="TextBox 1">
          <a:extLst>
            <a:ext uri="{FF2B5EF4-FFF2-40B4-BE49-F238E27FC236}">
              <a16:creationId xmlns:a16="http://schemas.microsoft.com/office/drawing/2014/main" id="{D1B150AD-B251-95B2-3ED6-E931214389D2}"/>
            </a:ext>
          </a:extLst>
        </xdr:cNvPr>
        <xdr:cNvSpPr txBox="1"/>
      </xdr:nvSpPr>
      <xdr:spPr>
        <a:xfrm>
          <a:off x="11206666" y="1075318"/>
          <a:ext cx="2698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editAs="oneCell">
    <xdr:from>
      <xdr:col>1</xdr:col>
      <xdr:colOff>127</xdr:colOff>
      <xdr:row>56</xdr:row>
      <xdr:rowOff>86995</xdr:rowOff>
    </xdr:from>
    <xdr:to>
      <xdr:col>1</xdr:col>
      <xdr:colOff>184277</xdr:colOff>
      <xdr:row>57</xdr:row>
      <xdr:rowOff>86995</xdr:rowOff>
    </xdr:to>
    <xdr:sp macro="_xll.PtreeEvent_ObjectClick" textlink="">
      <xdr:nvSpPr>
        <xdr:cNvPr id="6" name="PTObj_DNode_1_1">
          <a:extLst>
            <a:ext uri="{FF2B5EF4-FFF2-40B4-BE49-F238E27FC236}">
              <a16:creationId xmlns:a16="http://schemas.microsoft.com/office/drawing/2014/main" id="{369EDECD-CE82-3B8D-858B-68E618C3FE7D}"/>
            </a:ext>
          </a:extLst>
        </xdr:cNvPr>
        <xdr:cNvSpPr/>
      </xdr:nvSpPr>
      <xdr:spPr>
        <a:xfrm>
          <a:off x="2883027" y="9294495"/>
          <a:ext cx="184150" cy="184150"/>
        </a:xfrm>
        <a:prstGeom prst="rect">
          <a:avLst/>
        </a:prstGeom>
        <a:solidFill>
          <a:srgbClr val="00800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215900</xdr:colOff>
      <xdr:row>56</xdr:row>
      <xdr:rowOff>88757</xdr:rowOff>
    </xdr:from>
    <xdr:ext cx="1105431" cy="180627"/>
    <xdr:sp macro="_xll.PtreeEvent_ObjectClick" textlink="">
      <xdr:nvSpPr>
        <xdr:cNvPr id="8" name="PTObj_DBranchName_1_1">
          <a:extLst>
            <a:ext uri="{FF2B5EF4-FFF2-40B4-BE49-F238E27FC236}">
              <a16:creationId xmlns:a16="http://schemas.microsoft.com/office/drawing/2014/main" id="{70E4C516-0C3A-5D48-BE04-2052142876C7}"/>
            </a:ext>
          </a:extLst>
        </xdr:cNvPr>
        <xdr:cNvSpPr txBox="1"/>
      </xdr:nvSpPr>
      <xdr:spPr>
        <a:xfrm>
          <a:off x="215900" y="9296257"/>
          <a:ext cx="1105431"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Ship as usual or Postpone</a:t>
          </a:r>
        </a:p>
      </xdr:txBody>
    </xdr:sp>
    <xdr:clientData/>
  </xdr:oneCellAnchor>
  <xdr:twoCellAnchor>
    <xdr:from>
      <xdr:col>9</xdr:col>
      <xdr:colOff>311150</xdr:colOff>
      <xdr:row>12</xdr:row>
      <xdr:rowOff>101600</xdr:rowOff>
    </xdr:from>
    <xdr:to>
      <xdr:col>17</xdr:col>
      <xdr:colOff>215900</xdr:colOff>
      <xdr:row>41</xdr:row>
      <xdr:rowOff>165100</xdr:rowOff>
    </xdr:to>
    <xdr:sp macro="" textlink="">
      <xdr:nvSpPr>
        <xdr:cNvPr id="17" name="TextBox 16">
          <a:extLst>
            <a:ext uri="{FF2B5EF4-FFF2-40B4-BE49-F238E27FC236}">
              <a16:creationId xmlns:a16="http://schemas.microsoft.com/office/drawing/2014/main" id="{614B6E21-DDD5-AF90-38E1-415F3FB8CBB9}"/>
            </a:ext>
          </a:extLst>
        </xdr:cNvPr>
        <xdr:cNvSpPr txBox="1"/>
      </xdr:nvSpPr>
      <xdr:spPr>
        <a:xfrm>
          <a:off x="9652000" y="2311400"/>
          <a:ext cx="4781550" cy="540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1</xdr:col>
      <xdr:colOff>127</xdr:colOff>
      <xdr:row>93</xdr:row>
      <xdr:rowOff>86995</xdr:rowOff>
    </xdr:from>
    <xdr:to>
      <xdr:col>1</xdr:col>
      <xdr:colOff>184277</xdr:colOff>
      <xdr:row>94</xdr:row>
      <xdr:rowOff>86995</xdr:rowOff>
    </xdr:to>
    <xdr:sp macro="_xll.PtreeEvent_ObjectClick" textlink="">
      <xdr:nvSpPr>
        <xdr:cNvPr id="42" name="PTObj_DNode_2_1">
          <a:extLst>
            <a:ext uri="{FF2B5EF4-FFF2-40B4-BE49-F238E27FC236}">
              <a16:creationId xmlns:a16="http://schemas.microsoft.com/office/drawing/2014/main" id="{45797119-0080-C8BF-85D4-EB250DF34F65}"/>
            </a:ext>
          </a:extLst>
        </xdr:cNvPr>
        <xdr:cNvSpPr/>
      </xdr:nvSpPr>
      <xdr:spPr>
        <a:xfrm>
          <a:off x="2883027" y="16108045"/>
          <a:ext cx="184150" cy="184150"/>
        </a:xfrm>
        <a:prstGeom prst="rect">
          <a:avLst/>
        </a:prstGeom>
        <a:solidFill>
          <a:srgbClr val="00800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215900</xdr:colOff>
      <xdr:row>93</xdr:row>
      <xdr:rowOff>88756</xdr:rowOff>
    </xdr:from>
    <xdr:ext cx="402481" cy="180627"/>
    <xdr:sp macro="_xll.PtreeEvent_ObjectClick" textlink="">
      <xdr:nvSpPr>
        <xdr:cNvPr id="44" name="PTObj_DBranchName_2_1">
          <a:extLst>
            <a:ext uri="{FF2B5EF4-FFF2-40B4-BE49-F238E27FC236}">
              <a16:creationId xmlns:a16="http://schemas.microsoft.com/office/drawing/2014/main" id="{0CABE24E-E050-226D-C1E6-310BDF84A39B}"/>
            </a:ext>
          </a:extLst>
        </xdr:cNvPr>
        <xdr:cNvSpPr txBox="1"/>
      </xdr:nvSpPr>
      <xdr:spPr>
        <a:xfrm>
          <a:off x="215900" y="16109806"/>
          <a:ext cx="40248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decision</a:t>
          </a:r>
        </a:p>
      </xdr:txBody>
    </xdr:sp>
    <xdr:clientData/>
  </xdr:oneCellAnchor>
  <xdr:twoCellAnchor editAs="oneCell">
    <xdr:from>
      <xdr:col>2</xdr:col>
      <xdr:colOff>127</xdr:colOff>
      <xdr:row>89</xdr:row>
      <xdr:rowOff>86995</xdr:rowOff>
    </xdr:from>
    <xdr:to>
      <xdr:col>2</xdr:col>
      <xdr:colOff>184277</xdr:colOff>
      <xdr:row>90</xdr:row>
      <xdr:rowOff>86995</xdr:rowOff>
    </xdr:to>
    <xdr:sp macro="_xll.PtreeEvent_ObjectClick" textlink="">
      <xdr:nvSpPr>
        <xdr:cNvPr id="61" name="PTObj_DNode_2_2">
          <a:extLst>
            <a:ext uri="{FF2B5EF4-FFF2-40B4-BE49-F238E27FC236}">
              <a16:creationId xmlns:a16="http://schemas.microsoft.com/office/drawing/2014/main" id="{8082CAA9-1C34-C65F-9438-20C0ABB4CAB7}"/>
            </a:ext>
          </a:extLst>
        </xdr:cNvPr>
        <xdr:cNvSpPr/>
      </xdr:nvSpPr>
      <xdr:spPr>
        <a:xfrm>
          <a:off x="4546727" y="14634845"/>
          <a:ext cx="184150" cy="184150"/>
        </a:xfrm>
        <a:prstGeom prst="ellipse">
          <a:avLst/>
        </a:prstGeom>
        <a:solidFill>
          <a:srgbClr val="80000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277622</xdr:colOff>
      <xdr:row>89</xdr:row>
      <xdr:rowOff>88756</xdr:rowOff>
    </xdr:from>
    <xdr:ext cx="587469" cy="180627"/>
    <xdr:sp macro="_xll.PtreeEvent_ObjectClick" textlink="">
      <xdr:nvSpPr>
        <xdr:cNvPr id="64" name="PTObj_DBranchName_2_2">
          <a:extLst>
            <a:ext uri="{FF2B5EF4-FFF2-40B4-BE49-F238E27FC236}">
              <a16:creationId xmlns:a16="http://schemas.microsoft.com/office/drawing/2014/main" id="{09CDC19A-F3AD-24A6-B791-F40360D4011D}"/>
            </a:ext>
          </a:extLst>
        </xdr:cNvPr>
        <xdr:cNvSpPr txBox="1"/>
      </xdr:nvSpPr>
      <xdr:spPr>
        <a:xfrm>
          <a:off x="3160522" y="14636606"/>
          <a:ext cx="587469"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ship as usual</a:t>
          </a:r>
        </a:p>
      </xdr:txBody>
    </xdr:sp>
    <xdr:clientData/>
  </xdr:oneCellAnchor>
  <xdr:twoCellAnchor editAs="oneCell">
    <xdr:from>
      <xdr:col>3</xdr:col>
      <xdr:colOff>127</xdr:colOff>
      <xdr:row>87</xdr:row>
      <xdr:rowOff>86995</xdr:rowOff>
    </xdr:from>
    <xdr:to>
      <xdr:col>3</xdr:col>
      <xdr:colOff>184277</xdr:colOff>
      <xdr:row>88</xdr:row>
      <xdr:rowOff>86995</xdr:rowOff>
    </xdr:to>
    <xdr:sp macro="_xll.PtreeEvent_ObjectClick" textlink="">
      <xdr:nvSpPr>
        <xdr:cNvPr id="65" name="PTObj_DNode_2_4">
          <a:extLst>
            <a:ext uri="{FF2B5EF4-FFF2-40B4-BE49-F238E27FC236}">
              <a16:creationId xmlns:a16="http://schemas.microsoft.com/office/drawing/2014/main" id="{A9E369C3-530A-FA8A-8971-CB75AA97B905}"/>
            </a:ext>
          </a:extLst>
        </xdr:cNvPr>
        <xdr:cNvSpPr/>
      </xdr:nvSpPr>
      <xdr:spPr>
        <a:xfrm rot="-5400000">
          <a:off x="6134227" y="14634845"/>
          <a:ext cx="184150" cy="184150"/>
        </a:xfrm>
        <a:prstGeom prst="triangle">
          <a:avLst/>
        </a:prstGeom>
        <a:solidFill>
          <a:srgbClr val="00008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277622</xdr:colOff>
      <xdr:row>87</xdr:row>
      <xdr:rowOff>88756</xdr:rowOff>
    </xdr:from>
    <xdr:ext cx="549445" cy="180627"/>
    <xdr:sp macro="_xll.PtreeEvent_ObjectClick" textlink="">
      <xdr:nvSpPr>
        <xdr:cNvPr id="68" name="PTObj_DBranchName_2_4">
          <a:extLst>
            <a:ext uri="{FF2B5EF4-FFF2-40B4-BE49-F238E27FC236}">
              <a16:creationId xmlns:a16="http://schemas.microsoft.com/office/drawing/2014/main" id="{5985A3E6-73F2-9B43-EB1A-67DC1509FF17}"/>
            </a:ext>
          </a:extLst>
        </xdr:cNvPr>
        <xdr:cNvSpPr txBox="1"/>
      </xdr:nvSpPr>
      <xdr:spPr>
        <a:xfrm>
          <a:off x="4824222" y="14636606"/>
          <a:ext cx="54944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strike occur</a:t>
          </a:r>
        </a:p>
      </xdr:txBody>
    </xdr:sp>
    <xdr:clientData/>
  </xdr:oneCellAnchor>
  <xdr:twoCellAnchor editAs="oneCell">
    <xdr:from>
      <xdr:col>3</xdr:col>
      <xdr:colOff>127</xdr:colOff>
      <xdr:row>91</xdr:row>
      <xdr:rowOff>86995</xdr:rowOff>
    </xdr:from>
    <xdr:to>
      <xdr:col>3</xdr:col>
      <xdr:colOff>184277</xdr:colOff>
      <xdr:row>92</xdr:row>
      <xdr:rowOff>86995</xdr:rowOff>
    </xdr:to>
    <xdr:sp macro="_xll.PtreeEvent_ObjectClick" textlink="">
      <xdr:nvSpPr>
        <xdr:cNvPr id="69" name="PTObj_DNode_2_5">
          <a:extLst>
            <a:ext uri="{FF2B5EF4-FFF2-40B4-BE49-F238E27FC236}">
              <a16:creationId xmlns:a16="http://schemas.microsoft.com/office/drawing/2014/main" id="{B1385A2C-1A2F-FEAD-137C-63981AC58162}"/>
            </a:ext>
          </a:extLst>
        </xdr:cNvPr>
        <xdr:cNvSpPr/>
      </xdr:nvSpPr>
      <xdr:spPr>
        <a:xfrm rot="-5400000">
          <a:off x="6134227" y="15371445"/>
          <a:ext cx="184150" cy="184150"/>
        </a:xfrm>
        <a:prstGeom prst="triangle">
          <a:avLst/>
        </a:prstGeom>
        <a:solidFill>
          <a:srgbClr val="00008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277622</xdr:colOff>
      <xdr:row>91</xdr:row>
      <xdr:rowOff>88756</xdr:rowOff>
    </xdr:from>
    <xdr:ext cx="683071" cy="180627"/>
    <xdr:sp macro="_xll.PtreeEvent_ObjectClick" textlink="">
      <xdr:nvSpPr>
        <xdr:cNvPr id="72" name="PTObj_DBranchName_2_5">
          <a:extLst>
            <a:ext uri="{FF2B5EF4-FFF2-40B4-BE49-F238E27FC236}">
              <a16:creationId xmlns:a16="http://schemas.microsoft.com/office/drawing/2014/main" id="{71B74610-AC79-1E10-4923-9EAB7E2E4E40}"/>
            </a:ext>
          </a:extLst>
        </xdr:cNvPr>
        <xdr:cNvSpPr txBox="1"/>
      </xdr:nvSpPr>
      <xdr:spPr>
        <a:xfrm>
          <a:off x="4824222" y="15373206"/>
          <a:ext cx="683071"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strike not occur</a:t>
          </a:r>
        </a:p>
      </xdr:txBody>
    </xdr:sp>
    <xdr:clientData/>
  </xdr:oneCellAnchor>
  <xdr:twoCellAnchor editAs="oneCell">
    <xdr:from>
      <xdr:col>2</xdr:col>
      <xdr:colOff>127</xdr:colOff>
      <xdr:row>97</xdr:row>
      <xdr:rowOff>86995</xdr:rowOff>
    </xdr:from>
    <xdr:to>
      <xdr:col>2</xdr:col>
      <xdr:colOff>184277</xdr:colOff>
      <xdr:row>98</xdr:row>
      <xdr:rowOff>86995</xdr:rowOff>
    </xdr:to>
    <xdr:sp macro="_xll.PtreeEvent_ObjectClick" textlink="">
      <xdr:nvSpPr>
        <xdr:cNvPr id="73" name="PTObj_DNode_2_3">
          <a:extLst>
            <a:ext uri="{FF2B5EF4-FFF2-40B4-BE49-F238E27FC236}">
              <a16:creationId xmlns:a16="http://schemas.microsoft.com/office/drawing/2014/main" id="{109ECFD2-8C43-2B97-41FF-1DAEF13C1C76}"/>
            </a:ext>
          </a:extLst>
        </xdr:cNvPr>
        <xdr:cNvSpPr/>
      </xdr:nvSpPr>
      <xdr:spPr>
        <a:xfrm>
          <a:off x="4546727" y="16108045"/>
          <a:ext cx="184150" cy="184150"/>
        </a:xfrm>
        <a:prstGeom prst="ellipse">
          <a:avLst/>
        </a:prstGeom>
        <a:solidFill>
          <a:srgbClr val="80000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277622</xdr:colOff>
      <xdr:row>97</xdr:row>
      <xdr:rowOff>88756</xdr:rowOff>
    </xdr:from>
    <xdr:ext cx="831510" cy="180627"/>
    <xdr:sp macro="_xll.PtreeEvent_ObjectClick" textlink="">
      <xdr:nvSpPr>
        <xdr:cNvPr id="76" name="PTObj_DBranchName_2_3">
          <a:extLst>
            <a:ext uri="{FF2B5EF4-FFF2-40B4-BE49-F238E27FC236}">
              <a16:creationId xmlns:a16="http://schemas.microsoft.com/office/drawing/2014/main" id="{EAB359D0-F20C-9F25-E063-12A5C224226A}"/>
            </a:ext>
          </a:extLst>
        </xdr:cNvPr>
        <xdr:cNvSpPr txBox="1"/>
      </xdr:nvSpPr>
      <xdr:spPr>
        <a:xfrm>
          <a:off x="3160522" y="16109806"/>
          <a:ext cx="83151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postpones the ship</a:t>
          </a:r>
        </a:p>
      </xdr:txBody>
    </xdr:sp>
    <xdr:clientData/>
  </xdr:oneCellAnchor>
  <xdr:twoCellAnchor editAs="oneCell">
    <xdr:from>
      <xdr:col>3</xdr:col>
      <xdr:colOff>127</xdr:colOff>
      <xdr:row>95</xdr:row>
      <xdr:rowOff>86995</xdr:rowOff>
    </xdr:from>
    <xdr:to>
      <xdr:col>3</xdr:col>
      <xdr:colOff>184277</xdr:colOff>
      <xdr:row>96</xdr:row>
      <xdr:rowOff>86995</xdr:rowOff>
    </xdr:to>
    <xdr:sp macro="_xll.PtreeEvent_ObjectClick" textlink="">
      <xdr:nvSpPr>
        <xdr:cNvPr id="77" name="PTObj_DNode_2_6">
          <a:extLst>
            <a:ext uri="{FF2B5EF4-FFF2-40B4-BE49-F238E27FC236}">
              <a16:creationId xmlns:a16="http://schemas.microsoft.com/office/drawing/2014/main" id="{8B11E7A9-A912-ADB5-58BF-B9D783CAFEA2}"/>
            </a:ext>
          </a:extLst>
        </xdr:cNvPr>
        <xdr:cNvSpPr/>
      </xdr:nvSpPr>
      <xdr:spPr>
        <a:xfrm rot="-5400000">
          <a:off x="6134227" y="16108045"/>
          <a:ext cx="184150" cy="184150"/>
        </a:xfrm>
        <a:prstGeom prst="triangle">
          <a:avLst/>
        </a:prstGeom>
        <a:solidFill>
          <a:srgbClr val="00008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277622</xdr:colOff>
      <xdr:row>95</xdr:row>
      <xdr:rowOff>88756</xdr:rowOff>
    </xdr:from>
    <xdr:ext cx="549445" cy="180627"/>
    <xdr:sp macro="_xll.PtreeEvent_ObjectClick" textlink="">
      <xdr:nvSpPr>
        <xdr:cNvPr id="80" name="PTObj_DBranchName_2_6">
          <a:extLst>
            <a:ext uri="{FF2B5EF4-FFF2-40B4-BE49-F238E27FC236}">
              <a16:creationId xmlns:a16="http://schemas.microsoft.com/office/drawing/2014/main" id="{F9DEAC93-43EB-79EA-7271-A1113A094261}"/>
            </a:ext>
          </a:extLst>
        </xdr:cNvPr>
        <xdr:cNvSpPr txBox="1"/>
      </xdr:nvSpPr>
      <xdr:spPr>
        <a:xfrm>
          <a:off x="4824222" y="16109806"/>
          <a:ext cx="54944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strike occur</a:t>
          </a:r>
        </a:p>
      </xdr:txBody>
    </xdr:sp>
    <xdr:clientData/>
  </xdr:oneCellAnchor>
  <xdr:twoCellAnchor editAs="oneCell">
    <xdr:from>
      <xdr:col>3</xdr:col>
      <xdr:colOff>127</xdr:colOff>
      <xdr:row>99</xdr:row>
      <xdr:rowOff>86995</xdr:rowOff>
    </xdr:from>
    <xdr:to>
      <xdr:col>3</xdr:col>
      <xdr:colOff>184277</xdr:colOff>
      <xdr:row>100</xdr:row>
      <xdr:rowOff>86995</xdr:rowOff>
    </xdr:to>
    <xdr:sp macro="_xll.PtreeEvent_ObjectClick" textlink="">
      <xdr:nvSpPr>
        <xdr:cNvPr id="81" name="PTObj_DNode_2_7">
          <a:extLst>
            <a:ext uri="{FF2B5EF4-FFF2-40B4-BE49-F238E27FC236}">
              <a16:creationId xmlns:a16="http://schemas.microsoft.com/office/drawing/2014/main" id="{0250BA3D-B8A8-158D-C5E4-4156267B1CD8}"/>
            </a:ext>
          </a:extLst>
        </xdr:cNvPr>
        <xdr:cNvSpPr/>
      </xdr:nvSpPr>
      <xdr:spPr>
        <a:xfrm rot="-5400000">
          <a:off x="6134227" y="16844645"/>
          <a:ext cx="184150" cy="184150"/>
        </a:xfrm>
        <a:prstGeom prst="triangle">
          <a:avLst/>
        </a:prstGeom>
        <a:solidFill>
          <a:srgbClr val="00008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277622</xdr:colOff>
      <xdr:row>99</xdr:row>
      <xdr:rowOff>88756</xdr:rowOff>
    </xdr:from>
    <xdr:ext cx="683071" cy="180627"/>
    <xdr:sp macro="_xll.PtreeEvent_ObjectClick" textlink="">
      <xdr:nvSpPr>
        <xdr:cNvPr id="84" name="PTObj_DBranchName_2_7">
          <a:extLst>
            <a:ext uri="{FF2B5EF4-FFF2-40B4-BE49-F238E27FC236}">
              <a16:creationId xmlns:a16="http://schemas.microsoft.com/office/drawing/2014/main" id="{93061472-4FDB-22A1-59A8-4DC844F800FE}"/>
            </a:ext>
          </a:extLst>
        </xdr:cNvPr>
        <xdr:cNvSpPr txBox="1"/>
      </xdr:nvSpPr>
      <xdr:spPr>
        <a:xfrm>
          <a:off x="4824222" y="16846406"/>
          <a:ext cx="68307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strike not occur</a:t>
          </a:r>
        </a:p>
      </xdr:txBody>
    </xdr:sp>
    <xdr:clientData/>
  </xdr:oneCellAnchor>
  <xdr:twoCellAnchor editAs="oneCell">
    <xdr:from>
      <xdr:col>2</xdr:col>
      <xdr:colOff>127</xdr:colOff>
      <xdr:row>52</xdr:row>
      <xdr:rowOff>86995</xdr:rowOff>
    </xdr:from>
    <xdr:to>
      <xdr:col>2</xdr:col>
      <xdr:colOff>184277</xdr:colOff>
      <xdr:row>53</xdr:row>
      <xdr:rowOff>86995</xdr:rowOff>
    </xdr:to>
    <xdr:sp macro="_xll.PtreeEvent_ObjectClick" textlink="">
      <xdr:nvSpPr>
        <xdr:cNvPr id="85" name="PTObj_DNode_1_2">
          <a:extLst>
            <a:ext uri="{FF2B5EF4-FFF2-40B4-BE49-F238E27FC236}">
              <a16:creationId xmlns:a16="http://schemas.microsoft.com/office/drawing/2014/main" id="{5FE94DAE-92CA-7C4C-8A37-2E677F623703}"/>
            </a:ext>
          </a:extLst>
        </xdr:cNvPr>
        <xdr:cNvSpPr/>
      </xdr:nvSpPr>
      <xdr:spPr>
        <a:xfrm>
          <a:off x="4546727" y="9294495"/>
          <a:ext cx="184150" cy="184150"/>
        </a:xfrm>
        <a:prstGeom prst="ellipse">
          <a:avLst/>
        </a:prstGeom>
        <a:solidFill>
          <a:srgbClr val="80000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277622</xdr:colOff>
      <xdr:row>52</xdr:row>
      <xdr:rowOff>88757</xdr:rowOff>
    </xdr:from>
    <xdr:ext cx="595228" cy="180627"/>
    <xdr:sp macro="_xll.PtreeEvent_ObjectClick" textlink="">
      <xdr:nvSpPr>
        <xdr:cNvPr id="88" name="PTObj_DBranchName_1_2">
          <a:extLst>
            <a:ext uri="{FF2B5EF4-FFF2-40B4-BE49-F238E27FC236}">
              <a16:creationId xmlns:a16="http://schemas.microsoft.com/office/drawing/2014/main" id="{4D900695-07D9-A75E-69C8-EB270DDE24EB}"/>
            </a:ext>
          </a:extLst>
        </xdr:cNvPr>
        <xdr:cNvSpPr txBox="1"/>
      </xdr:nvSpPr>
      <xdr:spPr>
        <a:xfrm>
          <a:off x="3160522" y="9296257"/>
          <a:ext cx="595228"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Ship as usual</a:t>
          </a:r>
        </a:p>
      </xdr:txBody>
    </xdr:sp>
    <xdr:clientData/>
  </xdr:oneCellAnchor>
  <xdr:twoCellAnchor editAs="oneCell">
    <xdr:from>
      <xdr:col>3</xdr:col>
      <xdr:colOff>127</xdr:colOff>
      <xdr:row>50</xdr:row>
      <xdr:rowOff>86995</xdr:rowOff>
    </xdr:from>
    <xdr:to>
      <xdr:col>3</xdr:col>
      <xdr:colOff>184277</xdr:colOff>
      <xdr:row>51</xdr:row>
      <xdr:rowOff>86995</xdr:rowOff>
    </xdr:to>
    <xdr:sp macro="_xll.PtreeEvent_ObjectClick" textlink="">
      <xdr:nvSpPr>
        <xdr:cNvPr id="89" name="PTObj_DNode_1_4">
          <a:extLst>
            <a:ext uri="{FF2B5EF4-FFF2-40B4-BE49-F238E27FC236}">
              <a16:creationId xmlns:a16="http://schemas.microsoft.com/office/drawing/2014/main" id="{138B4B77-3D95-282D-A69F-FA6A7BE1388A}"/>
            </a:ext>
          </a:extLst>
        </xdr:cNvPr>
        <xdr:cNvSpPr/>
      </xdr:nvSpPr>
      <xdr:spPr>
        <a:xfrm rot="-5400000">
          <a:off x="6134227" y="9294495"/>
          <a:ext cx="184150" cy="184150"/>
        </a:xfrm>
        <a:prstGeom prst="triangle">
          <a:avLst/>
        </a:prstGeom>
        <a:solidFill>
          <a:srgbClr val="00008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277622</xdr:colOff>
      <xdr:row>50</xdr:row>
      <xdr:rowOff>88757</xdr:rowOff>
    </xdr:from>
    <xdr:ext cx="549445" cy="180627"/>
    <xdr:sp macro="_xll.PtreeEvent_ObjectClick" textlink="">
      <xdr:nvSpPr>
        <xdr:cNvPr id="92" name="PTObj_DBranchName_1_4">
          <a:extLst>
            <a:ext uri="{FF2B5EF4-FFF2-40B4-BE49-F238E27FC236}">
              <a16:creationId xmlns:a16="http://schemas.microsoft.com/office/drawing/2014/main" id="{5C3446AE-AE74-6B25-035E-2258EAFB52F6}"/>
            </a:ext>
          </a:extLst>
        </xdr:cNvPr>
        <xdr:cNvSpPr txBox="1"/>
      </xdr:nvSpPr>
      <xdr:spPr>
        <a:xfrm>
          <a:off x="4824222" y="9296257"/>
          <a:ext cx="54944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strike occur</a:t>
          </a:r>
        </a:p>
      </xdr:txBody>
    </xdr:sp>
    <xdr:clientData/>
  </xdr:oneCellAnchor>
  <xdr:twoCellAnchor editAs="oneCell">
    <xdr:from>
      <xdr:col>3</xdr:col>
      <xdr:colOff>127</xdr:colOff>
      <xdr:row>54</xdr:row>
      <xdr:rowOff>86995</xdr:rowOff>
    </xdr:from>
    <xdr:to>
      <xdr:col>3</xdr:col>
      <xdr:colOff>184277</xdr:colOff>
      <xdr:row>55</xdr:row>
      <xdr:rowOff>86995</xdr:rowOff>
    </xdr:to>
    <xdr:sp macro="_xll.PtreeEvent_ObjectClick" textlink="">
      <xdr:nvSpPr>
        <xdr:cNvPr id="93" name="PTObj_DNode_1_5">
          <a:extLst>
            <a:ext uri="{FF2B5EF4-FFF2-40B4-BE49-F238E27FC236}">
              <a16:creationId xmlns:a16="http://schemas.microsoft.com/office/drawing/2014/main" id="{263961CE-CC01-6B8A-13A1-1A69AEF148A6}"/>
            </a:ext>
          </a:extLst>
        </xdr:cNvPr>
        <xdr:cNvSpPr/>
      </xdr:nvSpPr>
      <xdr:spPr>
        <a:xfrm rot="-5400000">
          <a:off x="6134227" y="10031095"/>
          <a:ext cx="184150" cy="184150"/>
        </a:xfrm>
        <a:prstGeom prst="triangle">
          <a:avLst/>
        </a:prstGeom>
        <a:solidFill>
          <a:srgbClr val="00008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277622</xdr:colOff>
      <xdr:row>54</xdr:row>
      <xdr:rowOff>88757</xdr:rowOff>
    </xdr:from>
    <xdr:ext cx="683071" cy="180627"/>
    <xdr:sp macro="_xll.PtreeEvent_ObjectClick" textlink="">
      <xdr:nvSpPr>
        <xdr:cNvPr id="96" name="PTObj_DBranchName_1_5">
          <a:extLst>
            <a:ext uri="{FF2B5EF4-FFF2-40B4-BE49-F238E27FC236}">
              <a16:creationId xmlns:a16="http://schemas.microsoft.com/office/drawing/2014/main" id="{DDF80A61-F881-AFC7-B8F4-07E08B5B56A1}"/>
            </a:ext>
          </a:extLst>
        </xdr:cNvPr>
        <xdr:cNvSpPr txBox="1"/>
      </xdr:nvSpPr>
      <xdr:spPr>
        <a:xfrm>
          <a:off x="4824222" y="10032857"/>
          <a:ext cx="68307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strike not occur</a:t>
          </a:r>
        </a:p>
      </xdr:txBody>
    </xdr:sp>
    <xdr:clientData/>
  </xdr:oneCellAnchor>
  <xdr:twoCellAnchor editAs="oneCell">
    <xdr:from>
      <xdr:col>2</xdr:col>
      <xdr:colOff>127</xdr:colOff>
      <xdr:row>60</xdr:row>
      <xdr:rowOff>86995</xdr:rowOff>
    </xdr:from>
    <xdr:to>
      <xdr:col>2</xdr:col>
      <xdr:colOff>184277</xdr:colOff>
      <xdr:row>61</xdr:row>
      <xdr:rowOff>86995</xdr:rowOff>
    </xdr:to>
    <xdr:sp macro="_xll.PtreeEvent_ObjectClick" textlink="">
      <xdr:nvSpPr>
        <xdr:cNvPr id="97" name="PTObj_DNode_1_3">
          <a:extLst>
            <a:ext uri="{FF2B5EF4-FFF2-40B4-BE49-F238E27FC236}">
              <a16:creationId xmlns:a16="http://schemas.microsoft.com/office/drawing/2014/main" id="{28F14590-0677-A51D-9D65-A572A780A547}"/>
            </a:ext>
          </a:extLst>
        </xdr:cNvPr>
        <xdr:cNvSpPr/>
      </xdr:nvSpPr>
      <xdr:spPr>
        <a:xfrm>
          <a:off x="4546727" y="10767695"/>
          <a:ext cx="184150" cy="184150"/>
        </a:xfrm>
        <a:prstGeom prst="ellipse">
          <a:avLst/>
        </a:prstGeom>
        <a:solidFill>
          <a:srgbClr val="80000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277622</xdr:colOff>
      <xdr:row>60</xdr:row>
      <xdr:rowOff>88757</xdr:rowOff>
    </xdr:from>
    <xdr:ext cx="810094" cy="180627"/>
    <xdr:sp macro="_xll.PtreeEvent_ObjectClick" textlink="">
      <xdr:nvSpPr>
        <xdr:cNvPr id="100" name="PTObj_DBranchName_1_3">
          <a:extLst>
            <a:ext uri="{FF2B5EF4-FFF2-40B4-BE49-F238E27FC236}">
              <a16:creationId xmlns:a16="http://schemas.microsoft.com/office/drawing/2014/main" id="{ACB6843F-737D-A0C2-DB58-35AA2CB33133}"/>
            </a:ext>
          </a:extLst>
        </xdr:cNvPr>
        <xdr:cNvSpPr txBox="1"/>
      </xdr:nvSpPr>
      <xdr:spPr>
        <a:xfrm>
          <a:off x="3160522" y="10769457"/>
          <a:ext cx="81009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Postpone shipping</a:t>
          </a:r>
        </a:p>
      </xdr:txBody>
    </xdr:sp>
    <xdr:clientData/>
  </xdr:oneCellAnchor>
  <xdr:twoCellAnchor editAs="oneCell">
    <xdr:from>
      <xdr:col>3</xdr:col>
      <xdr:colOff>127</xdr:colOff>
      <xdr:row>58</xdr:row>
      <xdr:rowOff>86995</xdr:rowOff>
    </xdr:from>
    <xdr:to>
      <xdr:col>3</xdr:col>
      <xdr:colOff>184277</xdr:colOff>
      <xdr:row>59</xdr:row>
      <xdr:rowOff>86995</xdr:rowOff>
    </xdr:to>
    <xdr:sp macro="_xll.PtreeEvent_ObjectClick" textlink="">
      <xdr:nvSpPr>
        <xdr:cNvPr id="101" name="PTObj_DNode_1_6">
          <a:extLst>
            <a:ext uri="{FF2B5EF4-FFF2-40B4-BE49-F238E27FC236}">
              <a16:creationId xmlns:a16="http://schemas.microsoft.com/office/drawing/2014/main" id="{35F7AADE-21AE-3941-13AB-ADA06EB81F08}"/>
            </a:ext>
          </a:extLst>
        </xdr:cNvPr>
        <xdr:cNvSpPr/>
      </xdr:nvSpPr>
      <xdr:spPr>
        <a:xfrm rot="-5400000">
          <a:off x="6134227" y="10767695"/>
          <a:ext cx="184150" cy="184150"/>
        </a:xfrm>
        <a:prstGeom prst="triangle">
          <a:avLst/>
        </a:prstGeom>
        <a:solidFill>
          <a:srgbClr val="00008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277622</xdr:colOff>
      <xdr:row>58</xdr:row>
      <xdr:rowOff>88757</xdr:rowOff>
    </xdr:from>
    <xdr:ext cx="549445" cy="180627"/>
    <xdr:sp macro="_xll.PtreeEvent_ObjectClick" textlink="">
      <xdr:nvSpPr>
        <xdr:cNvPr id="104" name="PTObj_DBranchName_1_6">
          <a:extLst>
            <a:ext uri="{FF2B5EF4-FFF2-40B4-BE49-F238E27FC236}">
              <a16:creationId xmlns:a16="http://schemas.microsoft.com/office/drawing/2014/main" id="{8A9D3F2E-F7F8-42A8-3733-37C3A2704353}"/>
            </a:ext>
          </a:extLst>
        </xdr:cNvPr>
        <xdr:cNvSpPr txBox="1"/>
      </xdr:nvSpPr>
      <xdr:spPr>
        <a:xfrm>
          <a:off x="4824222" y="10769457"/>
          <a:ext cx="549445"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strike occur</a:t>
          </a:r>
        </a:p>
      </xdr:txBody>
    </xdr:sp>
    <xdr:clientData/>
  </xdr:oneCellAnchor>
  <xdr:twoCellAnchor editAs="oneCell">
    <xdr:from>
      <xdr:col>3</xdr:col>
      <xdr:colOff>127</xdr:colOff>
      <xdr:row>62</xdr:row>
      <xdr:rowOff>86995</xdr:rowOff>
    </xdr:from>
    <xdr:to>
      <xdr:col>3</xdr:col>
      <xdr:colOff>184277</xdr:colOff>
      <xdr:row>63</xdr:row>
      <xdr:rowOff>86995</xdr:rowOff>
    </xdr:to>
    <xdr:sp macro="_xll.PtreeEvent_ObjectClick" textlink="">
      <xdr:nvSpPr>
        <xdr:cNvPr id="105" name="PTObj_DNode_1_7">
          <a:extLst>
            <a:ext uri="{FF2B5EF4-FFF2-40B4-BE49-F238E27FC236}">
              <a16:creationId xmlns:a16="http://schemas.microsoft.com/office/drawing/2014/main" id="{81484B60-1F28-513D-4FB8-1E7ADAB6CA35}"/>
            </a:ext>
          </a:extLst>
        </xdr:cNvPr>
        <xdr:cNvSpPr/>
      </xdr:nvSpPr>
      <xdr:spPr>
        <a:xfrm rot="-5400000">
          <a:off x="6134227" y="11504295"/>
          <a:ext cx="184150" cy="184150"/>
        </a:xfrm>
        <a:prstGeom prst="triangle">
          <a:avLst/>
        </a:prstGeom>
        <a:solidFill>
          <a:srgbClr val="000080"/>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277622</xdr:colOff>
      <xdr:row>62</xdr:row>
      <xdr:rowOff>88757</xdr:rowOff>
    </xdr:from>
    <xdr:ext cx="683071" cy="180627"/>
    <xdr:sp macro="_xll.PtreeEvent_ObjectClick" textlink="">
      <xdr:nvSpPr>
        <xdr:cNvPr id="108" name="PTObj_DBranchName_1_7">
          <a:extLst>
            <a:ext uri="{FF2B5EF4-FFF2-40B4-BE49-F238E27FC236}">
              <a16:creationId xmlns:a16="http://schemas.microsoft.com/office/drawing/2014/main" id="{56489AFC-67CB-91FF-685E-C3F2B9DB438D}"/>
            </a:ext>
          </a:extLst>
        </xdr:cNvPr>
        <xdr:cNvSpPr txBox="1"/>
      </xdr:nvSpPr>
      <xdr:spPr>
        <a:xfrm>
          <a:off x="4824222" y="11506057"/>
          <a:ext cx="68307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IN" sz="800"/>
            <a:t>strike not occur</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958850</xdr:colOff>
      <xdr:row>30</xdr:row>
      <xdr:rowOff>171450</xdr:rowOff>
    </xdr:from>
    <xdr:to>
      <xdr:col>11</xdr:col>
      <xdr:colOff>196850</xdr:colOff>
      <xdr:row>40</xdr:row>
      <xdr:rowOff>6350</xdr:rowOff>
    </xdr:to>
    <xdr:sp macro="" textlink="">
      <xdr:nvSpPr>
        <xdr:cNvPr id="3" name="TextBox 2">
          <a:extLst>
            <a:ext uri="{FF2B5EF4-FFF2-40B4-BE49-F238E27FC236}">
              <a16:creationId xmlns:a16="http://schemas.microsoft.com/office/drawing/2014/main" id="{A7BB454C-94A7-F4E1-AC07-0CC5B1351615}"/>
            </a:ext>
          </a:extLst>
        </xdr:cNvPr>
        <xdr:cNvSpPr txBox="1"/>
      </xdr:nvSpPr>
      <xdr:spPr>
        <a:xfrm>
          <a:off x="4102100" y="5695950"/>
          <a:ext cx="8248650"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Interpretation and Implementation </a:t>
          </a:r>
          <a:br>
            <a:rPr lang="en-IN"/>
          </a:br>
          <a:r>
            <a:rPr lang="en-IN"/>
            <a:t>The best course of action will be shown on B28 and B29 in accordance with the data's prediction of a strike or no strike. With the help of this model, Swift Shipping may dynamically modify their shipping plan in response to freshly acquired probability data. </a:t>
          </a:r>
          <a:br>
            <a:rPr lang="en-IN"/>
          </a:br>
          <a:r>
            <a:rPr lang="en-IN"/>
            <a:t>This Excel model, which illustrates how to use the likelihood data to efficiently minimise predicted costs, should sufficiently support Swift Shipping's decision-making process. This Excel setup automatically suggests whether to proceed with regular shipping or to postpone shipments depending on predicted cost calculations, provided that projections are entered correctly. In the event of a strike, this lowers risk and uncertainty by ensuring that decisions are made using quantitative analysis.</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504825</xdr:colOff>
      <xdr:row>24</xdr:row>
      <xdr:rowOff>146050</xdr:rowOff>
    </xdr:from>
    <xdr:to>
      <xdr:col>14</xdr:col>
      <xdr:colOff>288925</xdr:colOff>
      <xdr:row>39</xdr:row>
      <xdr:rowOff>127000</xdr:rowOff>
    </xdr:to>
    <xdr:graphicFrame macro="">
      <xdr:nvGraphicFramePr>
        <xdr:cNvPr id="3" name="Chart 2">
          <a:extLst>
            <a:ext uri="{FF2B5EF4-FFF2-40B4-BE49-F238E27FC236}">
              <a16:creationId xmlns:a16="http://schemas.microsoft.com/office/drawing/2014/main" id="{29B17CAF-BD1C-DE3C-84DE-81DDC616D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E208"/>
  <sheetViews>
    <sheetView zoomScale="82" zoomScaleNormal="82" workbookViewId="0">
      <selection activeCell="D108" sqref="D108"/>
    </sheetView>
  </sheetViews>
  <sheetFormatPr defaultRowHeight="14.5" x14ac:dyDescent="0.35"/>
  <cols>
    <col min="1" max="1" width="41.26953125" customWidth="1"/>
    <col min="2" max="2" width="23.81640625" customWidth="1"/>
    <col min="3" max="3" width="25.90625" bestFit="1" customWidth="1"/>
    <col min="4" max="4" width="26.90625" bestFit="1" customWidth="1"/>
    <col min="5" max="5" width="14.26953125" customWidth="1"/>
  </cols>
  <sheetData>
    <row r="4" spans="1:5" x14ac:dyDescent="0.35">
      <c r="A4" s="1" t="s">
        <v>0</v>
      </c>
      <c r="B4" s="1" t="s">
        <v>5</v>
      </c>
      <c r="C4" s="1" t="s">
        <v>6</v>
      </c>
    </row>
    <row r="5" spans="1:5" x14ac:dyDescent="0.35">
      <c r="A5" t="s">
        <v>1</v>
      </c>
      <c r="B5" s="3">
        <v>60000</v>
      </c>
      <c r="C5" s="3">
        <f>B5*B8+(1-B8)*B7</f>
        <v>9999.9999999999927</v>
      </c>
    </row>
    <row r="6" spans="1:5" x14ac:dyDescent="0.35">
      <c r="A6" t="s">
        <v>2</v>
      </c>
      <c r="B6" s="3">
        <v>10000</v>
      </c>
      <c r="C6" s="3">
        <f>B6</f>
        <v>10000</v>
      </c>
    </row>
    <row r="7" spans="1:5" x14ac:dyDescent="0.35">
      <c r="A7" t="s">
        <v>3</v>
      </c>
      <c r="B7" s="3">
        <v>4000</v>
      </c>
      <c r="C7" s="3"/>
      <c r="E7" s="3">
        <f>C5-C6</f>
        <v>0</v>
      </c>
    </row>
    <row r="8" spans="1:5" x14ac:dyDescent="0.35">
      <c r="A8" t="s">
        <v>4</v>
      </c>
      <c r="B8" s="2">
        <v>0.107142857142857</v>
      </c>
    </row>
    <row r="9" spans="1:5" x14ac:dyDescent="0.35">
      <c r="A9" t="s">
        <v>71</v>
      </c>
      <c r="B9" s="15">
        <f>1-B8</f>
        <v>0.89285714285714302</v>
      </c>
    </row>
    <row r="10" spans="1:5" x14ac:dyDescent="0.35">
      <c r="A10" s="21" t="s">
        <v>100</v>
      </c>
      <c r="B10" s="21"/>
      <c r="C10" s="21"/>
    </row>
    <row r="11" spans="1:5" x14ac:dyDescent="0.35">
      <c r="A11" s="19"/>
      <c r="C11" t="s">
        <v>102</v>
      </c>
      <c r="D11" t="s">
        <v>101</v>
      </c>
    </row>
    <row r="12" spans="1:5" x14ac:dyDescent="0.35">
      <c r="B12" s="1" t="s">
        <v>7</v>
      </c>
      <c r="C12" s="3">
        <f>C6</f>
        <v>10000</v>
      </c>
      <c r="D12" s="3">
        <f>C5</f>
        <v>9999.9999999999927</v>
      </c>
    </row>
    <row r="13" spans="1:5" x14ac:dyDescent="0.35">
      <c r="B13" s="2">
        <v>0.11</v>
      </c>
      <c r="C13" s="16">
        <f t="dataTable" ref="C13:D32" dt2D="0" dtr="0" r1="B8" ca="1"/>
        <v>10000</v>
      </c>
      <c r="D13" s="16">
        <v>10160</v>
      </c>
    </row>
    <row r="14" spans="1:5" x14ac:dyDescent="0.35">
      <c r="B14" s="2">
        <v>0.12</v>
      </c>
      <c r="C14" s="16">
        <v>10000</v>
      </c>
      <c r="D14" s="16">
        <v>10720</v>
      </c>
    </row>
    <row r="15" spans="1:5" x14ac:dyDescent="0.35">
      <c r="B15" s="2">
        <v>0.13</v>
      </c>
      <c r="C15" s="16">
        <v>10000</v>
      </c>
      <c r="D15" s="16">
        <v>11280</v>
      </c>
    </row>
    <row r="16" spans="1:5" x14ac:dyDescent="0.35">
      <c r="B16" s="2">
        <v>0.14000000000000001</v>
      </c>
      <c r="C16" s="16">
        <v>10000</v>
      </c>
      <c r="D16" s="16">
        <v>11840</v>
      </c>
    </row>
    <row r="17" spans="2:4" x14ac:dyDescent="0.35">
      <c r="B17" s="2">
        <v>0.15</v>
      </c>
      <c r="C17" s="16">
        <v>10000</v>
      </c>
      <c r="D17" s="16">
        <v>12400</v>
      </c>
    </row>
    <row r="18" spans="2:4" x14ac:dyDescent="0.35">
      <c r="B18" s="2">
        <v>0.16</v>
      </c>
      <c r="C18" s="16">
        <v>10000</v>
      </c>
      <c r="D18" s="16">
        <v>12960</v>
      </c>
    </row>
    <row r="19" spans="2:4" x14ac:dyDescent="0.35">
      <c r="B19" s="2">
        <v>0.17</v>
      </c>
      <c r="C19" s="16">
        <v>10000</v>
      </c>
      <c r="D19" s="16">
        <v>13520</v>
      </c>
    </row>
    <row r="20" spans="2:4" x14ac:dyDescent="0.35">
      <c r="B20" s="2">
        <v>0.18</v>
      </c>
      <c r="C20" s="16">
        <v>10000</v>
      </c>
      <c r="D20" s="16">
        <v>14080</v>
      </c>
    </row>
    <row r="21" spans="2:4" x14ac:dyDescent="0.35">
      <c r="B21" s="2">
        <v>0.19</v>
      </c>
      <c r="C21" s="16">
        <v>10000</v>
      </c>
      <c r="D21" s="16">
        <v>14640</v>
      </c>
    </row>
    <row r="22" spans="2:4" x14ac:dyDescent="0.35">
      <c r="B22" s="2">
        <v>0.2</v>
      </c>
      <c r="C22" s="16">
        <v>10000</v>
      </c>
      <c r="D22" s="16">
        <v>15200</v>
      </c>
    </row>
    <row r="23" spans="2:4" x14ac:dyDescent="0.35">
      <c r="B23" s="2">
        <v>0.21</v>
      </c>
      <c r="C23" s="16">
        <v>10000</v>
      </c>
      <c r="D23" s="16">
        <v>15760</v>
      </c>
    </row>
    <row r="24" spans="2:4" x14ac:dyDescent="0.35">
      <c r="B24" s="2">
        <v>0.22</v>
      </c>
      <c r="C24" s="16">
        <v>10000</v>
      </c>
      <c r="D24" s="16">
        <v>16320</v>
      </c>
    </row>
    <row r="25" spans="2:4" x14ac:dyDescent="0.35">
      <c r="B25" s="2">
        <v>0.23</v>
      </c>
      <c r="C25" s="16">
        <v>10000</v>
      </c>
      <c r="D25" s="16">
        <v>16880</v>
      </c>
    </row>
    <row r="26" spans="2:4" x14ac:dyDescent="0.35">
      <c r="B26" s="2">
        <v>0.24</v>
      </c>
      <c r="C26" s="16">
        <v>10000</v>
      </c>
      <c r="D26" s="16">
        <v>17440</v>
      </c>
    </row>
    <row r="27" spans="2:4" x14ac:dyDescent="0.35">
      <c r="B27" s="2">
        <v>0.25</v>
      </c>
      <c r="C27" s="16">
        <v>10000</v>
      </c>
      <c r="D27" s="16">
        <v>18000</v>
      </c>
    </row>
    <row r="28" spans="2:4" x14ac:dyDescent="0.35">
      <c r="B28" s="2">
        <v>0.26</v>
      </c>
      <c r="C28" s="16">
        <v>10000</v>
      </c>
      <c r="D28" s="16">
        <v>18560</v>
      </c>
    </row>
    <row r="29" spans="2:4" x14ac:dyDescent="0.35">
      <c r="B29" s="2">
        <v>0.27</v>
      </c>
      <c r="C29" s="16">
        <v>10000</v>
      </c>
      <c r="D29" s="16">
        <v>19120</v>
      </c>
    </row>
    <row r="30" spans="2:4" x14ac:dyDescent="0.35">
      <c r="B30" s="2">
        <v>0.28000000000000003</v>
      </c>
      <c r="C30" s="16">
        <v>10000</v>
      </c>
      <c r="D30" s="16">
        <v>19680</v>
      </c>
    </row>
    <row r="31" spans="2:4" x14ac:dyDescent="0.35">
      <c r="B31" s="2">
        <v>0.28999999999999998</v>
      </c>
      <c r="C31" s="16">
        <v>10000</v>
      </c>
      <c r="D31" s="16">
        <v>20240</v>
      </c>
    </row>
    <row r="32" spans="2:4" x14ac:dyDescent="0.35">
      <c r="B32" s="2">
        <v>0.3</v>
      </c>
      <c r="C32" s="16">
        <v>10000</v>
      </c>
      <c r="D32" s="16">
        <v>20800</v>
      </c>
    </row>
    <row r="51" ht="14.5" customHeight="1" x14ac:dyDescent="0.35"/>
    <row r="52" ht="14.5" customHeight="1" x14ac:dyDescent="0.35"/>
    <row r="53" ht="14.5" customHeight="1" x14ac:dyDescent="0.35"/>
    <row r="54" ht="14.5" customHeight="1" x14ac:dyDescent="0.35"/>
    <row r="55" ht="14.5" customHeight="1" x14ac:dyDescent="0.35"/>
    <row r="56" ht="14.5" customHeight="1" x14ac:dyDescent="0.35"/>
    <row r="57" ht="14.5" customHeight="1" x14ac:dyDescent="0.35"/>
    <row r="58" ht="14.5" customHeight="1" x14ac:dyDescent="0.35"/>
    <row r="59" ht="14.5" customHeight="1" x14ac:dyDescent="0.35"/>
    <row r="60" ht="14.5" customHeight="1" x14ac:dyDescent="0.35"/>
    <row r="61" ht="14.5" customHeight="1" x14ac:dyDescent="0.35"/>
    <row r="62" ht="14.5" customHeight="1" x14ac:dyDescent="0.35"/>
    <row r="63" ht="14.5" customHeight="1" x14ac:dyDescent="0.35"/>
    <row r="64" ht="14.5" customHeight="1" x14ac:dyDescent="0.35"/>
    <row r="86" spans="1:4" x14ac:dyDescent="0.35">
      <c r="A86" t="s">
        <v>99</v>
      </c>
    </row>
    <row r="88" spans="1:4" ht="14.5" customHeight="1" x14ac:dyDescent="0.35">
      <c r="C88" s="14">
        <f>$B$8</f>
        <v>0.107142857142857</v>
      </c>
      <c r="D88" s="7">
        <f>_xll.PTreeNodeProbability(treeCalc_2!$F$2,4)</f>
        <v>0.107142857142857</v>
      </c>
    </row>
    <row r="89" spans="1:4" ht="14.5" customHeight="1" x14ac:dyDescent="0.35">
      <c r="C89" s="8">
        <f>$B$5</f>
        <v>60000</v>
      </c>
      <c r="D89" s="6">
        <f>_xll.PTreeNodeValue(treeCalc_2!$F$2,4)</f>
        <v>120000</v>
      </c>
    </row>
    <row r="90" spans="1:4" ht="14.5" customHeight="1" x14ac:dyDescent="0.35">
      <c r="B90" s="11" t="b">
        <f>_xll.PTreeNodeDecision(treeCalc_2!$F$2,2)</f>
        <v>1</v>
      </c>
      <c r="C90" s="12" t="s">
        <v>59</v>
      </c>
    </row>
    <row r="91" spans="1:4" ht="14.5" customHeight="1" x14ac:dyDescent="0.35">
      <c r="B91" s="8">
        <f>$B$5</f>
        <v>60000</v>
      </c>
      <c r="C91" s="13">
        <f>_xll.PTreeNodeValue(treeCalc_2!$F$2,2)</f>
        <v>70000</v>
      </c>
    </row>
    <row r="92" spans="1:4" ht="14.5" customHeight="1" x14ac:dyDescent="0.35">
      <c r="C92" s="14">
        <f>$B$9</f>
        <v>0.89285714285714302</v>
      </c>
      <c r="D92" s="7">
        <f>_xll.PTreeNodeProbability(treeCalc_2!$F$2,5)</f>
        <v>0.89285714285714302</v>
      </c>
    </row>
    <row r="93" spans="1:4" ht="14.5" customHeight="1" x14ac:dyDescent="0.35">
      <c r="C93" s="8">
        <f>$B$7</f>
        <v>4000</v>
      </c>
      <c r="D93" s="6">
        <f>_xll.PTreeNodeValue(treeCalc_2!$F$2,5)</f>
        <v>64000</v>
      </c>
    </row>
    <row r="94" spans="1:4" ht="14.5" customHeight="1" x14ac:dyDescent="0.35">
      <c r="A94" s="8"/>
      <c r="B94" s="9" t="s">
        <v>55</v>
      </c>
    </row>
    <row r="95" spans="1:4" ht="14.5" customHeight="1" x14ac:dyDescent="0.35">
      <c r="A95" s="8"/>
      <c r="B95" s="10">
        <f>_xll.PTreeNodeValue(treeCalc_2!$F$2,1)</f>
        <v>70000</v>
      </c>
    </row>
    <row r="96" spans="1:4" ht="14.5" customHeight="1" x14ac:dyDescent="0.35">
      <c r="C96" s="14">
        <f>$B$8</f>
        <v>0.107142857142857</v>
      </c>
      <c r="D96" s="7">
        <f>_xll.PTreeNodeProbability(treeCalc_2!$F$2,6)</f>
        <v>0</v>
      </c>
    </row>
    <row r="97" spans="1:5" ht="14.5" customHeight="1" x14ac:dyDescent="0.35">
      <c r="C97" s="8">
        <f>$B$6</f>
        <v>10000</v>
      </c>
      <c r="D97" s="6">
        <f>_xll.PTreeNodeValue(treeCalc_2!$F$2,6)</f>
        <v>20000</v>
      </c>
    </row>
    <row r="98" spans="1:5" ht="14.5" customHeight="1" x14ac:dyDescent="0.35">
      <c r="B98" s="11" t="b">
        <f>_xll.PTreeNodeDecision(treeCalc_2!$F$2,3)</f>
        <v>0</v>
      </c>
      <c r="C98" s="12" t="s">
        <v>59</v>
      </c>
    </row>
    <row r="99" spans="1:5" ht="14.5" customHeight="1" x14ac:dyDescent="0.35">
      <c r="B99" s="8">
        <f>$B$6</f>
        <v>10000</v>
      </c>
      <c r="C99" s="13">
        <f>_xll.PTreeNodeValue(treeCalc_2!$F$2,3)</f>
        <v>14642.857142857141</v>
      </c>
    </row>
    <row r="100" spans="1:5" ht="14.5" customHeight="1" x14ac:dyDescent="0.35">
      <c r="C100" s="14">
        <f>$B$9</f>
        <v>0.89285714285714302</v>
      </c>
      <c r="D100" s="7">
        <f>_xll.PTreeNodeProbability(treeCalc_2!$F$2,7)</f>
        <v>0</v>
      </c>
    </row>
    <row r="101" spans="1:5" ht="14.5" customHeight="1" x14ac:dyDescent="0.35">
      <c r="C101" s="8">
        <f>$B$7</f>
        <v>4000</v>
      </c>
      <c r="D101" s="6">
        <f>_xll.PTreeNodeValue(treeCalc_2!$F$2,7)</f>
        <v>14000</v>
      </c>
    </row>
    <row r="106" spans="1:5" ht="29" x14ac:dyDescent="0.35">
      <c r="A106" s="18" t="s">
        <v>106</v>
      </c>
    </row>
    <row r="107" spans="1:5" x14ac:dyDescent="0.35">
      <c r="C107" t="s">
        <v>101</v>
      </c>
      <c r="D107" t="s">
        <v>105</v>
      </c>
    </row>
    <row r="108" spans="1:5" x14ac:dyDescent="0.35">
      <c r="B108" s="1" t="s">
        <v>72</v>
      </c>
      <c r="C108" s="3">
        <f>C5</f>
        <v>9999.9999999999927</v>
      </c>
      <c r="D108" s="3">
        <f>C6</f>
        <v>10000</v>
      </c>
      <c r="E108" s="1" t="s">
        <v>73</v>
      </c>
    </row>
    <row r="109" spans="1:5" x14ac:dyDescent="0.35">
      <c r="B109" s="2">
        <v>0.01</v>
      </c>
      <c r="C109" s="3">
        <f t="dataTable" ref="C109:D208" dt2D="0" dtr="0" r1="B8"/>
        <v>4560</v>
      </c>
      <c r="D109" s="3">
        <v>10000</v>
      </c>
      <c r="E109" t="str">
        <f>IF(C109&lt;D109,"ship as usual","postpones")</f>
        <v>ship as usual</v>
      </c>
    </row>
    <row r="110" spans="1:5" x14ac:dyDescent="0.35">
      <c r="B110" s="2">
        <v>0.02</v>
      </c>
      <c r="C110" s="3">
        <v>5120</v>
      </c>
      <c r="D110" s="3">
        <v>10000</v>
      </c>
      <c r="E110" t="str">
        <f t="shared" ref="E110:E173" si="0">IF(C110&lt;D110,"ship as usual","postpones")</f>
        <v>ship as usual</v>
      </c>
    </row>
    <row r="111" spans="1:5" x14ac:dyDescent="0.35">
      <c r="B111" s="2">
        <v>0.03</v>
      </c>
      <c r="C111" s="3">
        <v>5680</v>
      </c>
      <c r="D111" s="3">
        <v>10000</v>
      </c>
      <c r="E111" t="str">
        <f t="shared" si="0"/>
        <v>ship as usual</v>
      </c>
    </row>
    <row r="112" spans="1:5" x14ac:dyDescent="0.35">
      <c r="B112" s="2">
        <v>0.04</v>
      </c>
      <c r="C112" s="3">
        <v>6240</v>
      </c>
      <c r="D112" s="3">
        <v>10000</v>
      </c>
      <c r="E112" t="str">
        <f t="shared" si="0"/>
        <v>ship as usual</v>
      </c>
    </row>
    <row r="113" spans="2:5" x14ac:dyDescent="0.35">
      <c r="B113" s="2">
        <v>0.05</v>
      </c>
      <c r="C113" s="3">
        <v>6800</v>
      </c>
      <c r="D113" s="3">
        <v>10000</v>
      </c>
      <c r="E113" t="str">
        <f t="shared" si="0"/>
        <v>ship as usual</v>
      </c>
    </row>
    <row r="114" spans="2:5" x14ac:dyDescent="0.35">
      <c r="B114" s="2">
        <v>0.06</v>
      </c>
      <c r="C114" s="3">
        <v>7360</v>
      </c>
      <c r="D114" s="3">
        <v>10000</v>
      </c>
      <c r="E114" t="str">
        <f t="shared" si="0"/>
        <v>ship as usual</v>
      </c>
    </row>
    <row r="115" spans="2:5" x14ac:dyDescent="0.35">
      <c r="B115" s="2">
        <v>7.0000000000000007E-2</v>
      </c>
      <c r="C115" s="3">
        <v>7920</v>
      </c>
      <c r="D115" s="3">
        <v>10000</v>
      </c>
      <c r="E115" t="str">
        <f t="shared" si="0"/>
        <v>ship as usual</v>
      </c>
    </row>
    <row r="116" spans="2:5" x14ac:dyDescent="0.35">
      <c r="B116" s="2">
        <v>0.08</v>
      </c>
      <c r="C116" s="3">
        <v>8480</v>
      </c>
      <c r="D116" s="3">
        <v>10000</v>
      </c>
      <c r="E116" t="str">
        <f t="shared" si="0"/>
        <v>ship as usual</v>
      </c>
    </row>
    <row r="117" spans="2:5" x14ac:dyDescent="0.35">
      <c r="B117" s="2">
        <v>0.09</v>
      </c>
      <c r="C117" s="3">
        <v>9040</v>
      </c>
      <c r="D117" s="3">
        <v>10000</v>
      </c>
      <c r="E117" t="str">
        <f t="shared" si="0"/>
        <v>ship as usual</v>
      </c>
    </row>
    <row r="118" spans="2:5" x14ac:dyDescent="0.35">
      <c r="B118" s="2">
        <v>0.1</v>
      </c>
      <c r="C118" s="3">
        <v>9600</v>
      </c>
      <c r="D118" s="3">
        <v>10000</v>
      </c>
      <c r="E118" t="str">
        <f t="shared" si="0"/>
        <v>ship as usual</v>
      </c>
    </row>
    <row r="119" spans="2:5" x14ac:dyDescent="0.35">
      <c r="B119" s="2">
        <v>0.11</v>
      </c>
      <c r="C119" s="3">
        <v>10160</v>
      </c>
      <c r="D119" s="3">
        <v>10000</v>
      </c>
      <c r="E119" t="str">
        <f t="shared" si="0"/>
        <v>postpones</v>
      </c>
    </row>
    <row r="120" spans="2:5" x14ac:dyDescent="0.35">
      <c r="B120" s="2">
        <v>0.12</v>
      </c>
      <c r="C120" s="3">
        <v>10720</v>
      </c>
      <c r="D120" s="3">
        <v>10000</v>
      </c>
      <c r="E120" t="str">
        <f t="shared" si="0"/>
        <v>postpones</v>
      </c>
    </row>
    <row r="121" spans="2:5" x14ac:dyDescent="0.35">
      <c r="B121" s="2">
        <v>0.13</v>
      </c>
      <c r="C121" s="3">
        <v>11280</v>
      </c>
      <c r="D121" s="3">
        <v>10000</v>
      </c>
      <c r="E121" t="str">
        <f t="shared" si="0"/>
        <v>postpones</v>
      </c>
    </row>
    <row r="122" spans="2:5" x14ac:dyDescent="0.35">
      <c r="B122" s="2">
        <v>0.14000000000000001</v>
      </c>
      <c r="C122" s="3">
        <v>11840</v>
      </c>
      <c r="D122" s="3">
        <v>10000</v>
      </c>
      <c r="E122" t="str">
        <f t="shared" si="0"/>
        <v>postpones</v>
      </c>
    </row>
    <row r="123" spans="2:5" x14ac:dyDescent="0.35">
      <c r="B123" s="2">
        <v>0.15</v>
      </c>
      <c r="C123" s="3">
        <v>12400</v>
      </c>
      <c r="D123" s="3">
        <v>10000</v>
      </c>
      <c r="E123" t="str">
        <f t="shared" si="0"/>
        <v>postpones</v>
      </c>
    </row>
    <row r="124" spans="2:5" x14ac:dyDescent="0.35">
      <c r="B124" s="2">
        <v>0.16</v>
      </c>
      <c r="C124" s="3">
        <v>12960</v>
      </c>
      <c r="D124" s="3">
        <v>10000</v>
      </c>
      <c r="E124" t="str">
        <f t="shared" si="0"/>
        <v>postpones</v>
      </c>
    </row>
    <row r="125" spans="2:5" x14ac:dyDescent="0.35">
      <c r="B125" s="2">
        <v>0.17</v>
      </c>
      <c r="C125" s="3">
        <v>13520</v>
      </c>
      <c r="D125" s="3">
        <v>10000</v>
      </c>
      <c r="E125" t="str">
        <f t="shared" si="0"/>
        <v>postpones</v>
      </c>
    </row>
    <row r="126" spans="2:5" x14ac:dyDescent="0.35">
      <c r="B126" s="2">
        <v>0.18</v>
      </c>
      <c r="C126" s="3">
        <v>14080</v>
      </c>
      <c r="D126" s="3">
        <v>10000</v>
      </c>
      <c r="E126" t="str">
        <f t="shared" si="0"/>
        <v>postpones</v>
      </c>
    </row>
    <row r="127" spans="2:5" x14ac:dyDescent="0.35">
      <c r="B127" s="2">
        <v>0.19</v>
      </c>
      <c r="C127" s="3">
        <v>14640</v>
      </c>
      <c r="D127" s="3">
        <v>10000</v>
      </c>
      <c r="E127" t="str">
        <f t="shared" si="0"/>
        <v>postpones</v>
      </c>
    </row>
    <row r="128" spans="2:5" x14ac:dyDescent="0.35">
      <c r="B128" s="2">
        <v>0.2</v>
      </c>
      <c r="C128" s="3">
        <v>15200</v>
      </c>
      <c r="D128" s="3">
        <v>10000</v>
      </c>
      <c r="E128" t="str">
        <f t="shared" si="0"/>
        <v>postpones</v>
      </c>
    </row>
    <row r="129" spans="2:5" x14ac:dyDescent="0.35">
      <c r="B129" s="2">
        <v>0.21</v>
      </c>
      <c r="C129" s="3">
        <v>15760</v>
      </c>
      <c r="D129" s="3">
        <v>10000</v>
      </c>
      <c r="E129" t="str">
        <f t="shared" si="0"/>
        <v>postpones</v>
      </c>
    </row>
    <row r="130" spans="2:5" x14ac:dyDescent="0.35">
      <c r="B130" s="2">
        <v>0.22</v>
      </c>
      <c r="C130" s="3">
        <v>16320</v>
      </c>
      <c r="D130" s="3">
        <v>10000</v>
      </c>
      <c r="E130" t="str">
        <f t="shared" si="0"/>
        <v>postpones</v>
      </c>
    </row>
    <row r="131" spans="2:5" x14ac:dyDescent="0.35">
      <c r="B131" s="2">
        <v>0.23</v>
      </c>
      <c r="C131" s="3">
        <v>16880</v>
      </c>
      <c r="D131" s="3">
        <v>10000</v>
      </c>
      <c r="E131" t="str">
        <f t="shared" si="0"/>
        <v>postpones</v>
      </c>
    </row>
    <row r="132" spans="2:5" x14ac:dyDescent="0.35">
      <c r="B132" s="2">
        <v>0.24</v>
      </c>
      <c r="C132" s="3">
        <v>17440</v>
      </c>
      <c r="D132" s="3">
        <v>10000</v>
      </c>
      <c r="E132" t="str">
        <f t="shared" si="0"/>
        <v>postpones</v>
      </c>
    </row>
    <row r="133" spans="2:5" x14ac:dyDescent="0.35">
      <c r="B133" s="2">
        <v>0.25</v>
      </c>
      <c r="C133" s="3">
        <v>18000</v>
      </c>
      <c r="D133" s="3">
        <v>10000</v>
      </c>
      <c r="E133" t="str">
        <f t="shared" si="0"/>
        <v>postpones</v>
      </c>
    </row>
    <row r="134" spans="2:5" x14ac:dyDescent="0.35">
      <c r="B134" s="2">
        <v>0.26</v>
      </c>
      <c r="C134" s="3">
        <v>18560</v>
      </c>
      <c r="D134" s="3">
        <v>10000</v>
      </c>
      <c r="E134" t="str">
        <f t="shared" si="0"/>
        <v>postpones</v>
      </c>
    </row>
    <row r="135" spans="2:5" x14ac:dyDescent="0.35">
      <c r="B135" s="2">
        <v>0.27</v>
      </c>
      <c r="C135" s="3">
        <v>19120</v>
      </c>
      <c r="D135" s="3">
        <v>10000</v>
      </c>
      <c r="E135" t="str">
        <f t="shared" si="0"/>
        <v>postpones</v>
      </c>
    </row>
    <row r="136" spans="2:5" x14ac:dyDescent="0.35">
      <c r="B136" s="2">
        <v>0.28000000000000003</v>
      </c>
      <c r="C136" s="3">
        <v>19680</v>
      </c>
      <c r="D136" s="3">
        <v>10000</v>
      </c>
      <c r="E136" t="str">
        <f t="shared" si="0"/>
        <v>postpones</v>
      </c>
    </row>
    <row r="137" spans="2:5" x14ac:dyDescent="0.35">
      <c r="B137" s="2">
        <v>0.28999999999999998</v>
      </c>
      <c r="C137" s="3">
        <v>20240</v>
      </c>
      <c r="D137" s="3">
        <v>10000</v>
      </c>
      <c r="E137" t="str">
        <f t="shared" si="0"/>
        <v>postpones</v>
      </c>
    </row>
    <row r="138" spans="2:5" x14ac:dyDescent="0.35">
      <c r="B138" s="2">
        <v>0.3</v>
      </c>
      <c r="C138" s="3">
        <v>20800</v>
      </c>
      <c r="D138" s="3">
        <v>10000</v>
      </c>
      <c r="E138" t="str">
        <f t="shared" si="0"/>
        <v>postpones</v>
      </c>
    </row>
    <row r="139" spans="2:5" x14ac:dyDescent="0.35">
      <c r="B139" s="2">
        <v>0.31</v>
      </c>
      <c r="C139" s="3">
        <v>21360</v>
      </c>
      <c r="D139" s="3">
        <v>10000</v>
      </c>
      <c r="E139" t="str">
        <f t="shared" si="0"/>
        <v>postpones</v>
      </c>
    </row>
    <row r="140" spans="2:5" x14ac:dyDescent="0.35">
      <c r="B140" s="2">
        <v>0.32</v>
      </c>
      <c r="C140" s="3">
        <v>21920</v>
      </c>
      <c r="D140" s="3">
        <v>10000</v>
      </c>
      <c r="E140" t="str">
        <f t="shared" si="0"/>
        <v>postpones</v>
      </c>
    </row>
    <row r="141" spans="2:5" x14ac:dyDescent="0.35">
      <c r="B141" s="2">
        <v>0.33</v>
      </c>
      <c r="C141" s="3">
        <v>22480</v>
      </c>
      <c r="D141" s="3">
        <v>10000</v>
      </c>
      <c r="E141" t="str">
        <f t="shared" si="0"/>
        <v>postpones</v>
      </c>
    </row>
    <row r="142" spans="2:5" x14ac:dyDescent="0.35">
      <c r="B142" s="2">
        <v>0.34</v>
      </c>
      <c r="C142" s="3">
        <v>23040</v>
      </c>
      <c r="D142" s="3">
        <v>10000</v>
      </c>
      <c r="E142" t="str">
        <f t="shared" si="0"/>
        <v>postpones</v>
      </c>
    </row>
    <row r="143" spans="2:5" x14ac:dyDescent="0.35">
      <c r="B143" s="2">
        <v>0.35</v>
      </c>
      <c r="C143" s="3">
        <v>23600</v>
      </c>
      <c r="D143" s="3">
        <v>10000</v>
      </c>
      <c r="E143" t="str">
        <f t="shared" si="0"/>
        <v>postpones</v>
      </c>
    </row>
    <row r="144" spans="2:5" x14ac:dyDescent="0.35">
      <c r="B144" s="2">
        <v>0.36</v>
      </c>
      <c r="C144" s="3">
        <v>24160</v>
      </c>
      <c r="D144" s="3">
        <v>10000</v>
      </c>
      <c r="E144" t="str">
        <f t="shared" si="0"/>
        <v>postpones</v>
      </c>
    </row>
    <row r="145" spans="2:5" x14ac:dyDescent="0.35">
      <c r="B145" s="2">
        <v>0.37</v>
      </c>
      <c r="C145" s="3">
        <v>24720</v>
      </c>
      <c r="D145" s="3">
        <v>10000</v>
      </c>
      <c r="E145" t="str">
        <f t="shared" si="0"/>
        <v>postpones</v>
      </c>
    </row>
    <row r="146" spans="2:5" x14ac:dyDescent="0.35">
      <c r="B146" s="2">
        <v>0.38</v>
      </c>
      <c r="C146" s="3">
        <v>25280</v>
      </c>
      <c r="D146" s="3">
        <v>10000</v>
      </c>
      <c r="E146" t="str">
        <f t="shared" si="0"/>
        <v>postpones</v>
      </c>
    </row>
    <row r="147" spans="2:5" x14ac:dyDescent="0.35">
      <c r="B147" s="2">
        <v>0.39</v>
      </c>
      <c r="C147" s="3">
        <v>25840</v>
      </c>
      <c r="D147" s="3">
        <v>10000</v>
      </c>
      <c r="E147" t="str">
        <f t="shared" si="0"/>
        <v>postpones</v>
      </c>
    </row>
    <row r="148" spans="2:5" x14ac:dyDescent="0.35">
      <c r="B148" s="2">
        <v>0.4</v>
      </c>
      <c r="C148" s="3">
        <v>26400</v>
      </c>
      <c r="D148" s="3">
        <v>10000</v>
      </c>
      <c r="E148" t="str">
        <f t="shared" si="0"/>
        <v>postpones</v>
      </c>
    </row>
    <row r="149" spans="2:5" x14ac:dyDescent="0.35">
      <c r="B149" s="2">
        <v>0.41</v>
      </c>
      <c r="C149" s="3">
        <v>26960</v>
      </c>
      <c r="D149" s="3">
        <v>10000</v>
      </c>
      <c r="E149" t="str">
        <f t="shared" si="0"/>
        <v>postpones</v>
      </c>
    </row>
    <row r="150" spans="2:5" x14ac:dyDescent="0.35">
      <c r="B150" s="2">
        <v>0.42</v>
      </c>
      <c r="C150" s="3">
        <v>27520</v>
      </c>
      <c r="D150" s="3">
        <v>10000</v>
      </c>
      <c r="E150" t="str">
        <f t="shared" si="0"/>
        <v>postpones</v>
      </c>
    </row>
    <row r="151" spans="2:5" x14ac:dyDescent="0.35">
      <c r="B151" s="2">
        <v>0.43</v>
      </c>
      <c r="C151" s="3">
        <v>28080</v>
      </c>
      <c r="D151" s="3">
        <v>10000</v>
      </c>
      <c r="E151" t="str">
        <f t="shared" si="0"/>
        <v>postpones</v>
      </c>
    </row>
    <row r="152" spans="2:5" x14ac:dyDescent="0.35">
      <c r="B152" s="2">
        <v>0.44</v>
      </c>
      <c r="C152" s="3">
        <v>28640</v>
      </c>
      <c r="D152" s="3">
        <v>10000</v>
      </c>
      <c r="E152" t="str">
        <f t="shared" si="0"/>
        <v>postpones</v>
      </c>
    </row>
    <row r="153" spans="2:5" x14ac:dyDescent="0.35">
      <c r="B153" s="2">
        <v>0.45</v>
      </c>
      <c r="C153" s="3">
        <v>29200</v>
      </c>
      <c r="D153" s="3">
        <v>10000</v>
      </c>
      <c r="E153" t="str">
        <f t="shared" si="0"/>
        <v>postpones</v>
      </c>
    </row>
    <row r="154" spans="2:5" x14ac:dyDescent="0.35">
      <c r="B154" s="2">
        <v>0.46</v>
      </c>
      <c r="C154" s="3">
        <v>29760</v>
      </c>
      <c r="D154" s="3">
        <v>10000</v>
      </c>
      <c r="E154" t="str">
        <f t="shared" si="0"/>
        <v>postpones</v>
      </c>
    </row>
    <row r="155" spans="2:5" x14ac:dyDescent="0.35">
      <c r="B155" s="2">
        <v>0.47</v>
      </c>
      <c r="C155" s="3">
        <v>30320</v>
      </c>
      <c r="D155" s="3">
        <v>10000</v>
      </c>
      <c r="E155" t="str">
        <f t="shared" si="0"/>
        <v>postpones</v>
      </c>
    </row>
    <row r="156" spans="2:5" x14ac:dyDescent="0.35">
      <c r="B156" s="2">
        <v>0.48</v>
      </c>
      <c r="C156" s="3">
        <v>30880</v>
      </c>
      <c r="D156" s="3">
        <v>10000</v>
      </c>
      <c r="E156" t="str">
        <f t="shared" si="0"/>
        <v>postpones</v>
      </c>
    </row>
    <row r="157" spans="2:5" x14ac:dyDescent="0.35">
      <c r="B157" s="2">
        <v>0.49</v>
      </c>
      <c r="C157" s="3">
        <v>31440</v>
      </c>
      <c r="D157" s="3">
        <v>10000</v>
      </c>
      <c r="E157" t="str">
        <f t="shared" si="0"/>
        <v>postpones</v>
      </c>
    </row>
    <row r="158" spans="2:5" x14ac:dyDescent="0.35">
      <c r="B158" s="2">
        <v>0.5</v>
      </c>
      <c r="C158" s="3">
        <v>32000</v>
      </c>
      <c r="D158" s="3">
        <v>10000</v>
      </c>
      <c r="E158" t="str">
        <f t="shared" si="0"/>
        <v>postpones</v>
      </c>
    </row>
    <row r="159" spans="2:5" x14ac:dyDescent="0.35">
      <c r="B159" s="2">
        <v>0.51</v>
      </c>
      <c r="C159" s="3">
        <v>32560</v>
      </c>
      <c r="D159" s="3">
        <v>10000</v>
      </c>
      <c r="E159" t="str">
        <f t="shared" si="0"/>
        <v>postpones</v>
      </c>
    </row>
    <row r="160" spans="2:5" x14ac:dyDescent="0.35">
      <c r="B160" s="2">
        <v>0.52</v>
      </c>
      <c r="C160" s="3">
        <v>33120</v>
      </c>
      <c r="D160" s="3">
        <v>10000</v>
      </c>
      <c r="E160" t="str">
        <f t="shared" si="0"/>
        <v>postpones</v>
      </c>
    </row>
    <row r="161" spans="2:5" x14ac:dyDescent="0.35">
      <c r="B161" s="2">
        <v>0.53</v>
      </c>
      <c r="C161" s="3">
        <v>33680</v>
      </c>
      <c r="D161" s="3">
        <v>10000</v>
      </c>
      <c r="E161" t="str">
        <f t="shared" si="0"/>
        <v>postpones</v>
      </c>
    </row>
    <row r="162" spans="2:5" x14ac:dyDescent="0.35">
      <c r="B162" s="2">
        <v>0.54</v>
      </c>
      <c r="C162" s="3">
        <v>34240</v>
      </c>
      <c r="D162" s="3">
        <v>10000</v>
      </c>
      <c r="E162" t="str">
        <f t="shared" si="0"/>
        <v>postpones</v>
      </c>
    </row>
    <row r="163" spans="2:5" x14ac:dyDescent="0.35">
      <c r="B163" s="2">
        <v>0.55000000000000004</v>
      </c>
      <c r="C163" s="3">
        <v>34800</v>
      </c>
      <c r="D163" s="3">
        <v>10000</v>
      </c>
      <c r="E163" t="str">
        <f t="shared" si="0"/>
        <v>postpones</v>
      </c>
    </row>
    <row r="164" spans="2:5" x14ac:dyDescent="0.35">
      <c r="B164" s="2">
        <v>0.56000000000000005</v>
      </c>
      <c r="C164" s="3">
        <v>35360</v>
      </c>
      <c r="D164" s="3">
        <v>10000</v>
      </c>
      <c r="E164" t="str">
        <f t="shared" si="0"/>
        <v>postpones</v>
      </c>
    </row>
    <row r="165" spans="2:5" x14ac:dyDescent="0.35">
      <c r="B165" s="2">
        <v>0.56999999999999995</v>
      </c>
      <c r="C165" s="3">
        <v>35920</v>
      </c>
      <c r="D165" s="3">
        <v>10000</v>
      </c>
      <c r="E165" t="str">
        <f t="shared" si="0"/>
        <v>postpones</v>
      </c>
    </row>
    <row r="166" spans="2:5" x14ac:dyDescent="0.35">
      <c r="B166" s="2">
        <v>0.57999999999999996</v>
      </c>
      <c r="C166" s="3">
        <v>36480</v>
      </c>
      <c r="D166" s="3">
        <v>10000</v>
      </c>
      <c r="E166" t="str">
        <f t="shared" si="0"/>
        <v>postpones</v>
      </c>
    </row>
    <row r="167" spans="2:5" x14ac:dyDescent="0.35">
      <c r="B167" s="2">
        <v>0.59</v>
      </c>
      <c r="C167" s="3">
        <v>37040</v>
      </c>
      <c r="D167" s="3">
        <v>10000</v>
      </c>
      <c r="E167" t="str">
        <f t="shared" si="0"/>
        <v>postpones</v>
      </c>
    </row>
    <row r="168" spans="2:5" x14ac:dyDescent="0.35">
      <c r="B168" s="2">
        <v>0.6</v>
      </c>
      <c r="C168" s="3">
        <v>37600</v>
      </c>
      <c r="D168" s="3">
        <v>10000</v>
      </c>
      <c r="E168" t="str">
        <f t="shared" si="0"/>
        <v>postpones</v>
      </c>
    </row>
    <row r="169" spans="2:5" x14ac:dyDescent="0.35">
      <c r="B169" s="2">
        <v>0.61</v>
      </c>
      <c r="C169" s="3">
        <v>38160</v>
      </c>
      <c r="D169" s="3">
        <v>10000</v>
      </c>
      <c r="E169" t="str">
        <f t="shared" si="0"/>
        <v>postpones</v>
      </c>
    </row>
    <row r="170" spans="2:5" x14ac:dyDescent="0.35">
      <c r="B170" s="2">
        <v>0.62</v>
      </c>
      <c r="C170" s="3">
        <v>38720</v>
      </c>
      <c r="D170" s="3">
        <v>10000</v>
      </c>
      <c r="E170" t="str">
        <f t="shared" si="0"/>
        <v>postpones</v>
      </c>
    </row>
    <row r="171" spans="2:5" x14ac:dyDescent="0.35">
      <c r="B171" s="2">
        <v>0.63</v>
      </c>
      <c r="C171" s="3">
        <v>39280</v>
      </c>
      <c r="D171" s="3">
        <v>10000</v>
      </c>
      <c r="E171" t="str">
        <f t="shared" si="0"/>
        <v>postpones</v>
      </c>
    </row>
    <row r="172" spans="2:5" x14ac:dyDescent="0.35">
      <c r="B172" s="2">
        <v>0.64</v>
      </c>
      <c r="C172" s="3">
        <v>39840</v>
      </c>
      <c r="D172" s="3">
        <v>10000</v>
      </c>
      <c r="E172" t="str">
        <f t="shared" si="0"/>
        <v>postpones</v>
      </c>
    </row>
    <row r="173" spans="2:5" x14ac:dyDescent="0.35">
      <c r="B173" s="2">
        <v>0.65</v>
      </c>
      <c r="C173" s="3">
        <v>40400</v>
      </c>
      <c r="D173" s="3">
        <v>10000</v>
      </c>
      <c r="E173" t="str">
        <f t="shared" si="0"/>
        <v>postpones</v>
      </c>
    </row>
    <row r="174" spans="2:5" x14ac:dyDescent="0.35">
      <c r="B174" s="2">
        <v>0.66</v>
      </c>
      <c r="C174" s="3">
        <v>40960</v>
      </c>
      <c r="D174" s="3">
        <v>10000</v>
      </c>
      <c r="E174" t="str">
        <f t="shared" ref="E174:E208" si="1">IF(C174&lt;D174,"ship as usual","postpones")</f>
        <v>postpones</v>
      </c>
    </row>
    <row r="175" spans="2:5" x14ac:dyDescent="0.35">
      <c r="B175" s="2">
        <v>0.67</v>
      </c>
      <c r="C175" s="3">
        <v>41520</v>
      </c>
      <c r="D175" s="3">
        <v>10000</v>
      </c>
      <c r="E175" t="str">
        <f t="shared" si="1"/>
        <v>postpones</v>
      </c>
    </row>
    <row r="176" spans="2:5" x14ac:dyDescent="0.35">
      <c r="B176" s="2">
        <v>0.68</v>
      </c>
      <c r="C176" s="3">
        <v>42080</v>
      </c>
      <c r="D176" s="3">
        <v>10000</v>
      </c>
      <c r="E176" t="str">
        <f t="shared" si="1"/>
        <v>postpones</v>
      </c>
    </row>
    <row r="177" spans="2:5" x14ac:dyDescent="0.35">
      <c r="B177" s="2">
        <v>0.69</v>
      </c>
      <c r="C177" s="3">
        <v>42640</v>
      </c>
      <c r="D177" s="3">
        <v>10000</v>
      </c>
      <c r="E177" t="str">
        <f t="shared" si="1"/>
        <v>postpones</v>
      </c>
    </row>
    <row r="178" spans="2:5" x14ac:dyDescent="0.35">
      <c r="B178" s="2">
        <v>0.7</v>
      </c>
      <c r="C178" s="3">
        <v>43200</v>
      </c>
      <c r="D178" s="3">
        <v>10000</v>
      </c>
      <c r="E178" t="str">
        <f t="shared" si="1"/>
        <v>postpones</v>
      </c>
    </row>
    <row r="179" spans="2:5" x14ac:dyDescent="0.35">
      <c r="B179" s="2">
        <v>0.71</v>
      </c>
      <c r="C179" s="3">
        <v>43760</v>
      </c>
      <c r="D179" s="3">
        <v>10000</v>
      </c>
      <c r="E179" t="str">
        <f t="shared" si="1"/>
        <v>postpones</v>
      </c>
    </row>
    <row r="180" spans="2:5" x14ac:dyDescent="0.35">
      <c r="B180" s="2">
        <v>0.72</v>
      </c>
      <c r="C180" s="3">
        <v>44320</v>
      </c>
      <c r="D180" s="3">
        <v>10000</v>
      </c>
      <c r="E180" t="str">
        <f t="shared" si="1"/>
        <v>postpones</v>
      </c>
    </row>
    <row r="181" spans="2:5" x14ac:dyDescent="0.35">
      <c r="B181" s="2">
        <v>0.73</v>
      </c>
      <c r="C181" s="3">
        <v>44880</v>
      </c>
      <c r="D181" s="3">
        <v>10000</v>
      </c>
      <c r="E181" t="str">
        <f t="shared" si="1"/>
        <v>postpones</v>
      </c>
    </row>
    <row r="182" spans="2:5" x14ac:dyDescent="0.35">
      <c r="B182" s="2">
        <v>0.74</v>
      </c>
      <c r="C182" s="3">
        <v>45440</v>
      </c>
      <c r="D182" s="3">
        <v>10000</v>
      </c>
      <c r="E182" t="str">
        <f t="shared" si="1"/>
        <v>postpones</v>
      </c>
    </row>
    <row r="183" spans="2:5" x14ac:dyDescent="0.35">
      <c r="B183" s="2">
        <v>0.75</v>
      </c>
      <c r="C183" s="3">
        <v>46000</v>
      </c>
      <c r="D183" s="3">
        <v>10000</v>
      </c>
      <c r="E183" t="str">
        <f t="shared" si="1"/>
        <v>postpones</v>
      </c>
    </row>
    <row r="184" spans="2:5" x14ac:dyDescent="0.35">
      <c r="B184" s="2">
        <v>0.76</v>
      </c>
      <c r="C184" s="3">
        <v>46560</v>
      </c>
      <c r="D184" s="3">
        <v>10000</v>
      </c>
      <c r="E184" t="str">
        <f t="shared" si="1"/>
        <v>postpones</v>
      </c>
    </row>
    <row r="185" spans="2:5" x14ac:dyDescent="0.35">
      <c r="B185" s="2">
        <v>0.77</v>
      </c>
      <c r="C185" s="3">
        <v>47120</v>
      </c>
      <c r="D185" s="3">
        <v>10000</v>
      </c>
      <c r="E185" t="str">
        <f t="shared" si="1"/>
        <v>postpones</v>
      </c>
    </row>
    <row r="186" spans="2:5" x14ac:dyDescent="0.35">
      <c r="B186" s="2">
        <v>0.78</v>
      </c>
      <c r="C186" s="3">
        <v>47680</v>
      </c>
      <c r="D186" s="3">
        <v>10000</v>
      </c>
      <c r="E186" t="str">
        <f t="shared" si="1"/>
        <v>postpones</v>
      </c>
    </row>
    <row r="187" spans="2:5" x14ac:dyDescent="0.35">
      <c r="B187" s="2">
        <v>0.79</v>
      </c>
      <c r="C187" s="3">
        <v>48240</v>
      </c>
      <c r="D187" s="3">
        <v>10000</v>
      </c>
      <c r="E187" t="str">
        <f t="shared" si="1"/>
        <v>postpones</v>
      </c>
    </row>
    <row r="188" spans="2:5" x14ac:dyDescent="0.35">
      <c r="B188" s="2">
        <v>0.8</v>
      </c>
      <c r="C188" s="3">
        <v>48800</v>
      </c>
      <c r="D188" s="3">
        <v>10000</v>
      </c>
      <c r="E188" t="str">
        <f t="shared" si="1"/>
        <v>postpones</v>
      </c>
    </row>
    <row r="189" spans="2:5" x14ac:dyDescent="0.35">
      <c r="B189" s="2">
        <v>0.81</v>
      </c>
      <c r="C189" s="3">
        <v>49360</v>
      </c>
      <c r="D189" s="3">
        <v>10000</v>
      </c>
      <c r="E189" t="str">
        <f t="shared" si="1"/>
        <v>postpones</v>
      </c>
    </row>
    <row r="190" spans="2:5" x14ac:dyDescent="0.35">
      <c r="B190" s="2">
        <v>0.82</v>
      </c>
      <c r="C190" s="3">
        <v>49920</v>
      </c>
      <c r="D190" s="3">
        <v>10000</v>
      </c>
      <c r="E190" t="str">
        <f t="shared" si="1"/>
        <v>postpones</v>
      </c>
    </row>
    <row r="191" spans="2:5" x14ac:dyDescent="0.35">
      <c r="B191" s="2">
        <v>0.83</v>
      </c>
      <c r="C191" s="3">
        <v>50480</v>
      </c>
      <c r="D191" s="3">
        <v>10000</v>
      </c>
      <c r="E191" t="str">
        <f t="shared" si="1"/>
        <v>postpones</v>
      </c>
    </row>
    <row r="192" spans="2:5" x14ac:dyDescent="0.35">
      <c r="B192" s="2">
        <v>0.84</v>
      </c>
      <c r="C192" s="3">
        <v>51040</v>
      </c>
      <c r="D192" s="3">
        <v>10000</v>
      </c>
      <c r="E192" t="str">
        <f t="shared" si="1"/>
        <v>postpones</v>
      </c>
    </row>
    <row r="193" spans="2:5" x14ac:dyDescent="0.35">
      <c r="B193" s="2">
        <v>0.85</v>
      </c>
      <c r="C193" s="3">
        <v>51600</v>
      </c>
      <c r="D193" s="3">
        <v>10000</v>
      </c>
      <c r="E193" t="str">
        <f t="shared" si="1"/>
        <v>postpones</v>
      </c>
    </row>
    <row r="194" spans="2:5" x14ac:dyDescent="0.35">
      <c r="B194" s="2">
        <v>0.86</v>
      </c>
      <c r="C194" s="3">
        <v>52160</v>
      </c>
      <c r="D194" s="3">
        <v>10000</v>
      </c>
      <c r="E194" t="str">
        <f t="shared" si="1"/>
        <v>postpones</v>
      </c>
    </row>
    <row r="195" spans="2:5" x14ac:dyDescent="0.35">
      <c r="B195" s="2">
        <v>0.87</v>
      </c>
      <c r="C195" s="3">
        <v>52720</v>
      </c>
      <c r="D195" s="3">
        <v>10000</v>
      </c>
      <c r="E195" t="str">
        <f t="shared" si="1"/>
        <v>postpones</v>
      </c>
    </row>
    <row r="196" spans="2:5" x14ac:dyDescent="0.35">
      <c r="B196" s="2">
        <v>0.88</v>
      </c>
      <c r="C196" s="3">
        <v>53280</v>
      </c>
      <c r="D196" s="3">
        <v>10000</v>
      </c>
      <c r="E196" t="str">
        <f t="shared" si="1"/>
        <v>postpones</v>
      </c>
    </row>
    <row r="197" spans="2:5" x14ac:dyDescent="0.35">
      <c r="B197" s="2">
        <v>0.89</v>
      </c>
      <c r="C197" s="3">
        <v>53840</v>
      </c>
      <c r="D197" s="3">
        <v>10000</v>
      </c>
      <c r="E197" t="str">
        <f t="shared" si="1"/>
        <v>postpones</v>
      </c>
    </row>
    <row r="198" spans="2:5" x14ac:dyDescent="0.35">
      <c r="B198" s="2">
        <v>0.9</v>
      </c>
      <c r="C198" s="3">
        <v>54400</v>
      </c>
      <c r="D198" s="3">
        <v>10000</v>
      </c>
      <c r="E198" t="str">
        <f t="shared" si="1"/>
        <v>postpones</v>
      </c>
    </row>
    <row r="199" spans="2:5" x14ac:dyDescent="0.35">
      <c r="B199" s="2">
        <v>0.91</v>
      </c>
      <c r="C199" s="3">
        <v>54960</v>
      </c>
      <c r="D199" s="3">
        <v>10000</v>
      </c>
      <c r="E199" t="str">
        <f t="shared" si="1"/>
        <v>postpones</v>
      </c>
    </row>
    <row r="200" spans="2:5" x14ac:dyDescent="0.35">
      <c r="B200" s="2">
        <v>0.92</v>
      </c>
      <c r="C200" s="3">
        <v>55520</v>
      </c>
      <c r="D200" s="3">
        <v>10000</v>
      </c>
      <c r="E200" t="str">
        <f t="shared" si="1"/>
        <v>postpones</v>
      </c>
    </row>
    <row r="201" spans="2:5" x14ac:dyDescent="0.35">
      <c r="B201" s="2">
        <v>0.93</v>
      </c>
      <c r="C201" s="3">
        <v>56080</v>
      </c>
      <c r="D201" s="3">
        <v>10000</v>
      </c>
      <c r="E201" t="str">
        <f t="shared" si="1"/>
        <v>postpones</v>
      </c>
    </row>
    <row r="202" spans="2:5" x14ac:dyDescent="0.35">
      <c r="B202" s="2">
        <v>0.94</v>
      </c>
      <c r="C202" s="3">
        <v>56640</v>
      </c>
      <c r="D202" s="3">
        <v>10000</v>
      </c>
      <c r="E202" t="str">
        <f t="shared" si="1"/>
        <v>postpones</v>
      </c>
    </row>
    <row r="203" spans="2:5" x14ac:dyDescent="0.35">
      <c r="B203" s="2">
        <v>0.95</v>
      </c>
      <c r="C203" s="3">
        <v>57200</v>
      </c>
      <c r="D203" s="3">
        <v>10000</v>
      </c>
      <c r="E203" t="str">
        <f t="shared" si="1"/>
        <v>postpones</v>
      </c>
    </row>
    <row r="204" spans="2:5" x14ac:dyDescent="0.35">
      <c r="B204" s="2">
        <v>0.96</v>
      </c>
      <c r="C204" s="3">
        <v>57760</v>
      </c>
      <c r="D204" s="3">
        <v>10000</v>
      </c>
      <c r="E204" t="str">
        <f t="shared" si="1"/>
        <v>postpones</v>
      </c>
    </row>
    <row r="205" spans="2:5" x14ac:dyDescent="0.35">
      <c r="B205" s="2">
        <v>0.97</v>
      </c>
      <c r="C205" s="3">
        <v>58320</v>
      </c>
      <c r="D205" s="3">
        <v>10000</v>
      </c>
      <c r="E205" t="str">
        <f t="shared" si="1"/>
        <v>postpones</v>
      </c>
    </row>
    <row r="206" spans="2:5" x14ac:dyDescent="0.35">
      <c r="B206" s="2">
        <v>0.98</v>
      </c>
      <c r="C206" s="3">
        <v>58880</v>
      </c>
      <c r="D206" s="3">
        <v>10000</v>
      </c>
      <c r="E206" t="str">
        <f t="shared" si="1"/>
        <v>postpones</v>
      </c>
    </row>
    <row r="207" spans="2:5" x14ac:dyDescent="0.35">
      <c r="B207" s="2">
        <v>0.99</v>
      </c>
      <c r="C207" s="3">
        <v>59440</v>
      </c>
      <c r="D207" s="3">
        <v>10000</v>
      </c>
      <c r="E207" t="str">
        <f t="shared" si="1"/>
        <v>postpones</v>
      </c>
    </row>
    <row r="208" spans="2:5" x14ac:dyDescent="0.35">
      <c r="B208" s="2">
        <v>1</v>
      </c>
      <c r="C208" s="3">
        <v>60000</v>
      </c>
      <c r="D208" s="3">
        <v>10000</v>
      </c>
      <c r="E208" t="str">
        <f t="shared" si="1"/>
        <v>postpones</v>
      </c>
    </row>
  </sheetData>
  <mergeCells count="1">
    <mergeCell ref="A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7324-559F-4B4F-8D7F-A537A12C7185}">
  <dimension ref="A3:J29"/>
  <sheetViews>
    <sheetView tabSelected="1" workbookViewId="0">
      <selection activeCell="B22" sqref="B22"/>
    </sheetView>
  </sheetViews>
  <sheetFormatPr defaultRowHeight="14.5" x14ac:dyDescent="0.35"/>
  <cols>
    <col min="1" max="1" width="33.81640625" customWidth="1"/>
    <col min="2" max="2" width="15.7265625" bestFit="1" customWidth="1"/>
    <col min="3" max="3" width="19.36328125" customWidth="1"/>
    <col min="8" max="8" width="25.453125" customWidth="1"/>
    <col min="9" max="9" width="20.08984375" bestFit="1" customWidth="1"/>
    <col min="10" max="10" width="20.453125" customWidth="1"/>
  </cols>
  <sheetData>
    <row r="3" spans="1:10" x14ac:dyDescent="0.35">
      <c r="A3" t="s">
        <v>77</v>
      </c>
      <c r="B3" s="3">
        <v>1000</v>
      </c>
    </row>
    <row r="4" spans="1:10" x14ac:dyDescent="0.35">
      <c r="A4" t="s">
        <v>78</v>
      </c>
      <c r="B4" s="3">
        <v>0</v>
      </c>
      <c r="I4" t="s">
        <v>84</v>
      </c>
    </row>
    <row r="5" spans="1:10" x14ac:dyDescent="0.35">
      <c r="I5" t="s">
        <v>86</v>
      </c>
      <c r="J5" t="s">
        <v>87</v>
      </c>
    </row>
    <row r="6" spans="1:10" x14ac:dyDescent="0.35">
      <c r="B6" t="s">
        <v>83</v>
      </c>
      <c r="I6" s="15">
        <f>B12*B7+B8*C13</f>
        <v>0.24</v>
      </c>
      <c r="J6" s="15">
        <f>1-I6</f>
        <v>0.76</v>
      </c>
    </row>
    <row r="7" spans="1:10" x14ac:dyDescent="0.35">
      <c r="A7" t="s">
        <v>79</v>
      </c>
      <c r="B7" s="2">
        <v>0.15</v>
      </c>
      <c r="I7" s="15"/>
    </row>
    <row r="8" spans="1:10" x14ac:dyDescent="0.35">
      <c r="A8" t="s">
        <v>80</v>
      </c>
      <c r="B8" s="15">
        <f>1-B7</f>
        <v>0.85</v>
      </c>
    </row>
    <row r="10" spans="1:10" x14ac:dyDescent="0.35">
      <c r="I10" t="s">
        <v>90</v>
      </c>
      <c r="J10" t="s">
        <v>93</v>
      </c>
    </row>
    <row r="11" spans="1:10" x14ac:dyDescent="0.35">
      <c r="A11" t="s">
        <v>74</v>
      </c>
      <c r="B11" t="s">
        <v>83</v>
      </c>
      <c r="C11" t="s">
        <v>85</v>
      </c>
      <c r="H11" t="s">
        <v>91</v>
      </c>
      <c r="I11" s="15">
        <f>B7*B12/I6</f>
        <v>0.46874999999999994</v>
      </c>
      <c r="J11" s="15">
        <f>1-I11</f>
        <v>0.53125</v>
      </c>
    </row>
    <row r="12" spans="1:10" x14ac:dyDescent="0.35">
      <c r="A12" t="s">
        <v>75</v>
      </c>
      <c r="B12" s="2">
        <v>0.75</v>
      </c>
      <c r="C12" s="15">
        <f>1-B12</f>
        <v>0.25</v>
      </c>
      <c r="H12" t="s">
        <v>92</v>
      </c>
      <c r="I12" s="17">
        <f>C13*B7/J6</f>
        <v>2.9605263157894739E-2</v>
      </c>
      <c r="J12" s="15">
        <f>1-I12</f>
        <v>0.97039473684210531</v>
      </c>
    </row>
    <row r="13" spans="1:10" x14ac:dyDescent="0.35">
      <c r="A13" t="s">
        <v>76</v>
      </c>
      <c r="B13" s="2">
        <v>0.85</v>
      </c>
      <c r="C13" s="15">
        <f>1-B13</f>
        <v>0.15000000000000002</v>
      </c>
    </row>
    <row r="21" spans="1:2" x14ac:dyDescent="0.35">
      <c r="A21" t="s">
        <v>81</v>
      </c>
      <c r="B21" s="3">
        <f>I11*'part(a)'!B5+J11*'part(a)'!B7</f>
        <v>30249.999999999996</v>
      </c>
    </row>
    <row r="22" spans="1:2" x14ac:dyDescent="0.35">
      <c r="A22" t="s">
        <v>82</v>
      </c>
      <c r="B22" s="3">
        <f>I12*'part(a)'!B5+J12*'part(a)'!B7</f>
        <v>5657.8947368421059</v>
      </c>
    </row>
    <row r="28" spans="1:2" x14ac:dyDescent="0.35">
      <c r="A28" t="s">
        <v>88</v>
      </c>
      <c r="B28" t="str">
        <f>IF(B21&lt;'part(a)'!B6,"Normal Shipping","Postpone Shipping")</f>
        <v>Postpone Shipping</v>
      </c>
    </row>
    <row r="29" spans="1:2" x14ac:dyDescent="0.35">
      <c r="A29" t="s">
        <v>89</v>
      </c>
      <c r="B29" t="str">
        <f>IF(B22&lt;'part(a)'!B6,"Normal Shipping","Postpone Shipping")</f>
        <v>Normal Shipping</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107E-C8E8-43D7-8197-518683CCE40E}">
  <dimension ref="A2:P76"/>
  <sheetViews>
    <sheetView topLeftCell="A82" workbookViewId="0">
      <selection activeCell="I24" sqref="I24:K24"/>
    </sheetView>
  </sheetViews>
  <sheetFormatPr defaultRowHeight="14.5" x14ac:dyDescent="0.35"/>
  <cols>
    <col min="1" max="1" width="49.36328125" bestFit="1" customWidth="1"/>
    <col min="2" max="2" width="19" bestFit="1" customWidth="1"/>
    <col min="3" max="3" width="30.1796875" bestFit="1" customWidth="1"/>
    <col min="9" max="9" width="19.54296875" bestFit="1" customWidth="1"/>
    <col min="10" max="10" width="21.54296875" bestFit="1" customWidth="1"/>
    <col min="11" max="11" width="10.1796875" bestFit="1" customWidth="1"/>
    <col min="13" max="13" width="10.1796875" bestFit="1" customWidth="1"/>
    <col min="16" max="16" width="10.6328125" bestFit="1" customWidth="1"/>
  </cols>
  <sheetData>
    <row r="2" spans="1:16" x14ac:dyDescent="0.35">
      <c r="J2" s="3"/>
      <c r="K2" s="3"/>
      <c r="M2" s="16"/>
      <c r="P2" s="16"/>
    </row>
    <row r="3" spans="1:16" x14ac:dyDescent="0.35">
      <c r="A3" t="s">
        <v>94</v>
      </c>
      <c r="B3" s="2"/>
      <c r="I3" s="2"/>
      <c r="J3" s="3"/>
      <c r="K3" s="3"/>
      <c r="M3" s="16"/>
      <c r="P3" s="20"/>
    </row>
    <row r="4" spans="1:16" x14ac:dyDescent="0.35">
      <c r="A4" t="s">
        <v>95</v>
      </c>
      <c r="B4" s="15">
        <v>0.15</v>
      </c>
      <c r="I4" s="2"/>
      <c r="J4" s="3"/>
      <c r="K4" s="3"/>
      <c r="M4" s="16"/>
      <c r="P4" s="20"/>
    </row>
    <row r="5" spans="1:16" x14ac:dyDescent="0.35">
      <c r="A5" t="s">
        <v>85</v>
      </c>
      <c r="B5" s="15">
        <f>1-B4</f>
        <v>0.85</v>
      </c>
      <c r="I5" s="2"/>
      <c r="J5" s="3"/>
      <c r="K5" s="3"/>
      <c r="M5" s="16"/>
      <c r="P5" s="20"/>
    </row>
    <row r="6" spans="1:16" x14ac:dyDescent="0.35">
      <c r="I6" s="2"/>
      <c r="J6" s="3"/>
      <c r="K6" s="3"/>
      <c r="M6" s="16"/>
      <c r="P6" s="20"/>
    </row>
    <row r="7" spans="1:16" x14ac:dyDescent="0.35">
      <c r="I7" s="2"/>
      <c r="J7" s="3"/>
      <c r="K7" s="3"/>
      <c r="M7" s="16"/>
      <c r="P7" s="20"/>
    </row>
    <row r="8" spans="1:16" x14ac:dyDescent="0.35">
      <c r="I8" s="2"/>
      <c r="J8" s="3"/>
      <c r="K8" s="3"/>
      <c r="M8" s="16"/>
      <c r="P8" s="20"/>
    </row>
    <row r="9" spans="1:16" x14ac:dyDescent="0.35">
      <c r="I9" s="2"/>
      <c r="J9" s="3"/>
      <c r="K9" s="3"/>
      <c r="M9" s="16"/>
      <c r="P9" s="20"/>
    </row>
    <row r="10" spans="1:16" x14ac:dyDescent="0.35">
      <c r="I10" s="2"/>
      <c r="J10" s="3"/>
      <c r="K10" s="3"/>
      <c r="M10" s="16"/>
      <c r="P10" s="20"/>
    </row>
    <row r="11" spans="1:16" x14ac:dyDescent="0.35">
      <c r="I11" s="2"/>
      <c r="J11" s="3"/>
      <c r="K11" s="3"/>
      <c r="M11" s="16"/>
      <c r="P11" s="20"/>
    </row>
    <row r="12" spans="1:16" x14ac:dyDescent="0.35">
      <c r="I12" s="2"/>
      <c r="J12" s="3"/>
      <c r="K12" s="3"/>
      <c r="M12" s="16"/>
      <c r="P12" s="20"/>
    </row>
    <row r="13" spans="1:16" x14ac:dyDescent="0.35">
      <c r="A13" t="s">
        <v>116</v>
      </c>
      <c r="B13" s="3">
        <f>B4*'part(b.)'!B21+B5*'part(b.)'!B22</f>
        <v>9346.71052631579</v>
      </c>
      <c r="I13" s="2"/>
      <c r="J13" s="3"/>
      <c r="K13" s="3"/>
      <c r="M13" s="16"/>
      <c r="P13" s="20"/>
    </row>
    <row r="14" spans="1:16" x14ac:dyDescent="0.35">
      <c r="A14" t="s">
        <v>96</v>
      </c>
      <c r="B14" s="3">
        <f>'part(a)'!B6</f>
        <v>10000</v>
      </c>
      <c r="I14" s="2"/>
      <c r="J14" s="3"/>
      <c r="K14" s="3"/>
      <c r="M14" s="16"/>
      <c r="P14" s="20"/>
    </row>
    <row r="15" spans="1:16" x14ac:dyDescent="0.35">
      <c r="I15" s="2"/>
      <c r="J15" s="3"/>
      <c r="K15" s="3"/>
      <c r="M15" s="16"/>
      <c r="P15" s="20"/>
    </row>
    <row r="16" spans="1:16" x14ac:dyDescent="0.35">
      <c r="A16" t="s">
        <v>104</v>
      </c>
      <c r="B16" s="16">
        <f>B13-B34</f>
        <v>-631.11842105262986</v>
      </c>
      <c r="I16" s="2"/>
      <c r="J16" s="3"/>
      <c r="K16" s="3"/>
      <c r="M16" s="16"/>
      <c r="P16" s="20"/>
    </row>
    <row r="17" spans="1:16" x14ac:dyDescent="0.35">
      <c r="I17" s="2"/>
      <c r="J17" s="3"/>
      <c r="K17" s="3"/>
      <c r="M17" s="16"/>
      <c r="P17" s="20"/>
    </row>
    <row r="18" spans="1:16" x14ac:dyDescent="0.35">
      <c r="I18" s="2"/>
      <c r="J18" s="3"/>
      <c r="K18" s="3"/>
      <c r="M18" s="16"/>
      <c r="P18" s="20"/>
    </row>
    <row r="19" spans="1:16" x14ac:dyDescent="0.35">
      <c r="I19" s="2"/>
      <c r="J19" s="3"/>
      <c r="K19" s="3"/>
      <c r="M19" s="16"/>
      <c r="P19" s="20"/>
    </row>
    <row r="20" spans="1:16" x14ac:dyDescent="0.35">
      <c r="I20" s="2"/>
      <c r="J20" s="3"/>
      <c r="K20" s="3"/>
      <c r="M20" s="16"/>
      <c r="P20" s="20"/>
    </row>
    <row r="21" spans="1:16" x14ac:dyDescent="0.35">
      <c r="I21" s="2"/>
      <c r="J21" s="3"/>
      <c r="K21" s="3"/>
      <c r="M21" s="16"/>
      <c r="P21" s="20"/>
    </row>
    <row r="22" spans="1:16" x14ac:dyDescent="0.35">
      <c r="B22" t="s">
        <v>84</v>
      </c>
      <c r="I22" s="2"/>
      <c r="J22" s="3"/>
      <c r="K22" s="3"/>
      <c r="M22" s="16"/>
      <c r="P22" s="20"/>
    </row>
    <row r="23" spans="1:16" x14ac:dyDescent="0.35">
      <c r="B23" t="s">
        <v>86</v>
      </c>
      <c r="C23" t="s">
        <v>87</v>
      </c>
      <c r="I23" s="2"/>
      <c r="J23" s="3"/>
      <c r="K23" s="3"/>
      <c r="M23" s="16"/>
      <c r="P23" s="20"/>
    </row>
    <row r="24" spans="1:16" x14ac:dyDescent="0.35">
      <c r="B24" s="15">
        <f>'part(b.)'!I6</f>
        <v>0.24</v>
      </c>
      <c r="C24" s="15">
        <f>1-B24</f>
        <v>0.76</v>
      </c>
      <c r="I24" s="23" t="s">
        <v>110</v>
      </c>
      <c r="J24" s="23"/>
      <c r="K24" s="23"/>
      <c r="M24" s="16"/>
      <c r="P24" s="20"/>
    </row>
    <row r="25" spans="1:16" x14ac:dyDescent="0.35">
      <c r="B25" s="15"/>
      <c r="I25" s="2"/>
      <c r="J25" s="3"/>
      <c r="K25" s="3"/>
      <c r="M25" s="16"/>
      <c r="P25" s="20"/>
    </row>
    <row r="26" spans="1:16" x14ac:dyDescent="0.35">
      <c r="I26" s="2"/>
      <c r="J26" s="3"/>
      <c r="K26" s="3"/>
      <c r="M26" s="16"/>
      <c r="P26" s="20"/>
    </row>
    <row r="27" spans="1:16" x14ac:dyDescent="0.35">
      <c r="I27" s="2"/>
      <c r="J27" s="3"/>
      <c r="K27" s="3"/>
      <c r="M27" s="16"/>
      <c r="P27" s="20"/>
    </row>
    <row r="28" spans="1:16" x14ac:dyDescent="0.35">
      <c r="B28" t="s">
        <v>90</v>
      </c>
      <c r="C28" t="s">
        <v>93</v>
      </c>
      <c r="I28" s="2"/>
      <c r="J28" s="3"/>
      <c r="K28" s="3"/>
      <c r="M28" s="16"/>
      <c r="P28" s="20"/>
    </row>
    <row r="29" spans="1:16" x14ac:dyDescent="0.35">
      <c r="A29" t="s">
        <v>91</v>
      </c>
      <c r="B29" s="15">
        <f>'part(b.)'!I11</f>
        <v>0.46874999999999994</v>
      </c>
      <c r="C29" s="15">
        <f>1-B29</f>
        <v>0.53125</v>
      </c>
    </row>
    <row r="30" spans="1:16" x14ac:dyDescent="0.35">
      <c r="A30" t="s">
        <v>92</v>
      </c>
      <c r="B30" s="17">
        <f>'part(b.)'!I12</f>
        <v>2.9605263157894739E-2</v>
      </c>
      <c r="C30" s="15">
        <f>1-B30</f>
        <v>0.97039473684210531</v>
      </c>
    </row>
    <row r="32" spans="1:16" x14ac:dyDescent="0.35">
      <c r="A32" t="s">
        <v>115</v>
      </c>
    </row>
    <row r="33" spans="1:9" x14ac:dyDescent="0.35">
      <c r="A33" t="s">
        <v>114</v>
      </c>
      <c r="B33" s="16">
        <f>B13</f>
        <v>9346.71052631579</v>
      </c>
    </row>
    <row r="34" spans="1:9" x14ac:dyDescent="0.35">
      <c r="A34" t="s">
        <v>98</v>
      </c>
      <c r="B34" s="16">
        <f>'part(b.)'!B3+B24*B38+C24*B42</f>
        <v>9977.8289473684199</v>
      </c>
    </row>
    <row r="36" spans="1:9" x14ac:dyDescent="0.35">
      <c r="B36">
        <f>B29*'part(b.)'!B21</f>
        <v>14179.687499999996</v>
      </c>
    </row>
    <row r="37" spans="1:9" x14ac:dyDescent="0.35">
      <c r="B37">
        <f>C29*'part(b.)'!B22</f>
        <v>3005.7565789473688</v>
      </c>
    </row>
    <row r="38" spans="1:9" x14ac:dyDescent="0.35">
      <c r="A38" t="s">
        <v>111</v>
      </c>
      <c r="B38">
        <f>B36+B37</f>
        <v>17185.444078947367</v>
      </c>
    </row>
    <row r="40" spans="1:9" x14ac:dyDescent="0.35">
      <c r="B40">
        <f>B30*'part(b.)'!B21</f>
        <v>895.55921052631572</v>
      </c>
    </row>
    <row r="41" spans="1:9" x14ac:dyDescent="0.35">
      <c r="B41">
        <f>C30*'part(b.)'!B22</f>
        <v>5490.3912742382281</v>
      </c>
    </row>
    <row r="42" spans="1:9" x14ac:dyDescent="0.35">
      <c r="A42" t="s">
        <v>112</v>
      </c>
      <c r="B42">
        <f>B40+B41</f>
        <v>6385.9504847645439</v>
      </c>
    </row>
    <row r="45" spans="1:9" x14ac:dyDescent="0.35">
      <c r="A45" t="s">
        <v>113</v>
      </c>
      <c r="B45" s="16">
        <f>B34-B33</f>
        <v>631.11842105262986</v>
      </c>
    </row>
    <row r="47" spans="1:9" x14ac:dyDescent="0.35">
      <c r="G47" s="22" t="s">
        <v>109</v>
      </c>
      <c r="H47" s="22"/>
      <c r="I47" s="22"/>
    </row>
    <row r="49" spans="7:14" x14ac:dyDescent="0.35">
      <c r="H49" t="s">
        <v>97</v>
      </c>
      <c r="I49" t="s">
        <v>107</v>
      </c>
      <c r="J49" t="s">
        <v>108</v>
      </c>
      <c r="K49" t="s">
        <v>103</v>
      </c>
      <c r="M49" t="s">
        <v>72</v>
      </c>
      <c r="N49" t="s">
        <v>103</v>
      </c>
    </row>
    <row r="50" spans="7:14" x14ac:dyDescent="0.35">
      <c r="G50" t="s">
        <v>83</v>
      </c>
      <c r="H50" s="15"/>
      <c r="I50" s="3">
        <f>B13</f>
        <v>9346.71052631579</v>
      </c>
      <c r="J50" s="3">
        <f>B14</f>
        <v>10000</v>
      </c>
      <c r="K50" s="16">
        <f>B16</f>
        <v>-631.11842105262986</v>
      </c>
      <c r="M50">
        <v>0.05</v>
      </c>
      <c r="N50" s="3">
        <v>-3090.3289473684199</v>
      </c>
    </row>
    <row r="51" spans="7:14" x14ac:dyDescent="0.35">
      <c r="G51">
        <v>0.05</v>
      </c>
      <c r="H51" s="15">
        <v>0.05</v>
      </c>
      <c r="I51" s="3">
        <f t="dataTable" ref="I51:K76" dt2D="0" dtr="0" r1="B4"/>
        <v>6887.5</v>
      </c>
      <c r="J51" s="3">
        <v>10000</v>
      </c>
      <c r="K51" s="3">
        <v>-3090.3289473684199</v>
      </c>
      <c r="M51">
        <v>0.06</v>
      </c>
      <c r="N51" s="3">
        <v>-2844.4078947368407</v>
      </c>
    </row>
    <row r="52" spans="7:14" x14ac:dyDescent="0.35">
      <c r="G52">
        <v>0.06</v>
      </c>
      <c r="H52" s="15">
        <v>0.06</v>
      </c>
      <c r="I52" s="3">
        <v>7133.4210526315792</v>
      </c>
      <c r="J52" s="3">
        <v>10000</v>
      </c>
      <c r="K52" s="3">
        <v>-2844.4078947368407</v>
      </c>
      <c r="M52">
        <v>7.0000000000000007E-2</v>
      </c>
      <c r="N52" s="3">
        <v>-2598.4868421052615</v>
      </c>
    </row>
    <row r="53" spans="7:14" x14ac:dyDescent="0.35">
      <c r="G53">
        <v>7.0000000000000007E-2</v>
      </c>
      <c r="H53" s="15">
        <v>7.0000000000000007E-2</v>
      </c>
      <c r="I53" s="3">
        <v>7379.3421052631584</v>
      </c>
      <c r="J53" s="3">
        <v>10000</v>
      </c>
      <c r="K53" s="3">
        <v>-2598.4868421052615</v>
      </c>
      <c r="M53">
        <v>0.08</v>
      </c>
      <c r="N53" s="3">
        <v>-2352.5657894736833</v>
      </c>
    </row>
    <row r="54" spans="7:14" x14ac:dyDescent="0.35">
      <c r="G54">
        <v>0.08</v>
      </c>
      <c r="H54" s="15">
        <v>0.08</v>
      </c>
      <c r="I54" s="3">
        <v>7625.2631578947367</v>
      </c>
      <c r="J54" s="3">
        <v>10000</v>
      </c>
      <c r="K54" s="3">
        <v>-2352.5657894736833</v>
      </c>
      <c r="M54">
        <v>0.09</v>
      </c>
      <c r="N54" s="3">
        <v>-2106.6447368421032</v>
      </c>
    </row>
    <row r="55" spans="7:14" x14ac:dyDescent="0.35">
      <c r="G55">
        <v>0.09</v>
      </c>
      <c r="H55" s="15">
        <v>0.09</v>
      </c>
      <c r="I55" s="3">
        <v>7871.1842105263167</v>
      </c>
      <c r="J55" s="3">
        <v>10000</v>
      </c>
      <c r="K55" s="3">
        <v>-2106.6447368421032</v>
      </c>
      <c r="M55">
        <v>0.1</v>
      </c>
      <c r="N55" s="3">
        <v>-1860.7236842105249</v>
      </c>
    </row>
    <row r="56" spans="7:14" x14ac:dyDescent="0.35">
      <c r="G56">
        <v>0.1</v>
      </c>
      <c r="H56" s="15">
        <v>0.1</v>
      </c>
      <c r="I56" s="3">
        <v>8117.105263157895</v>
      </c>
      <c r="J56" s="3">
        <v>10000</v>
      </c>
      <c r="K56" s="3">
        <v>-1860.7236842105249</v>
      </c>
      <c r="M56">
        <v>0.11</v>
      </c>
      <c r="N56" s="3">
        <v>-1614.8026315789466</v>
      </c>
    </row>
    <row r="57" spans="7:14" x14ac:dyDescent="0.35">
      <c r="G57">
        <v>0.11</v>
      </c>
      <c r="H57" s="15">
        <v>0.11</v>
      </c>
      <c r="I57" s="3">
        <v>8363.0263157894733</v>
      </c>
      <c r="J57" s="3">
        <v>10000</v>
      </c>
      <c r="K57" s="3">
        <v>-1614.8026315789466</v>
      </c>
      <c r="M57">
        <v>0.12</v>
      </c>
      <c r="N57" s="3">
        <v>-1368.8815789473665</v>
      </c>
    </row>
    <row r="58" spans="7:14" x14ac:dyDescent="0.35">
      <c r="G58">
        <v>0.12</v>
      </c>
      <c r="H58" s="15">
        <v>0.12</v>
      </c>
      <c r="I58" s="3">
        <v>8608.9473684210534</v>
      </c>
      <c r="J58" s="3">
        <v>10000</v>
      </c>
      <c r="K58" s="3">
        <v>-1368.8815789473665</v>
      </c>
      <c r="M58">
        <v>0.13</v>
      </c>
      <c r="N58" s="3">
        <v>-1122.9605263157882</v>
      </c>
    </row>
    <row r="59" spans="7:14" x14ac:dyDescent="0.35">
      <c r="G59">
        <v>0.13</v>
      </c>
      <c r="H59" s="15">
        <v>0.13</v>
      </c>
      <c r="I59" s="3">
        <v>8854.8684210526317</v>
      </c>
      <c r="J59" s="3">
        <v>10000</v>
      </c>
      <c r="K59" s="3">
        <v>-1122.9605263157882</v>
      </c>
      <c r="M59">
        <v>0.14000000000000001</v>
      </c>
      <c r="N59" s="3">
        <v>-877.03947368420995</v>
      </c>
    </row>
    <row r="60" spans="7:14" x14ac:dyDescent="0.35">
      <c r="G60">
        <v>0.14000000000000001</v>
      </c>
      <c r="H60" s="15">
        <v>0.14000000000000001</v>
      </c>
      <c r="I60" s="3">
        <v>9100.78947368421</v>
      </c>
      <c r="J60" s="3">
        <v>10000</v>
      </c>
      <c r="K60" s="3">
        <v>-877.03947368420995</v>
      </c>
      <c r="M60">
        <v>0.15</v>
      </c>
      <c r="N60" s="3">
        <v>-631.11842105262986</v>
      </c>
    </row>
    <row r="61" spans="7:14" x14ac:dyDescent="0.35">
      <c r="G61">
        <v>0.15</v>
      </c>
      <c r="H61" s="15">
        <v>0.15</v>
      </c>
      <c r="I61" s="3">
        <v>9346.71052631579</v>
      </c>
      <c r="J61" s="3">
        <v>10000</v>
      </c>
      <c r="K61" s="3">
        <v>-631.11842105262986</v>
      </c>
      <c r="M61">
        <v>0.16</v>
      </c>
      <c r="N61" s="3">
        <v>-385.1973684210534</v>
      </c>
    </row>
    <row r="62" spans="7:14" x14ac:dyDescent="0.35">
      <c r="G62">
        <v>0.16</v>
      </c>
      <c r="H62" s="15">
        <v>0.16</v>
      </c>
      <c r="I62" s="3">
        <v>9592.6315789473665</v>
      </c>
      <c r="J62" s="3">
        <v>10000</v>
      </c>
      <c r="K62" s="3">
        <v>-385.1973684210534</v>
      </c>
      <c r="M62">
        <v>0.17</v>
      </c>
      <c r="N62" s="3">
        <v>-139.2763157894733</v>
      </c>
    </row>
    <row r="63" spans="7:14" x14ac:dyDescent="0.35">
      <c r="G63">
        <v>0.17</v>
      </c>
      <c r="H63" s="15">
        <v>0.17</v>
      </c>
      <c r="I63" s="3">
        <v>9838.5526315789466</v>
      </c>
      <c r="J63" s="3">
        <v>10000</v>
      </c>
      <c r="K63" s="3">
        <v>-139.2763157894733</v>
      </c>
      <c r="M63">
        <v>0.18</v>
      </c>
      <c r="N63" s="3">
        <v>106.64473684210679</v>
      </c>
    </row>
    <row r="64" spans="7:14" x14ac:dyDescent="0.35">
      <c r="G64">
        <v>0.18</v>
      </c>
      <c r="H64" s="15">
        <v>0.18</v>
      </c>
      <c r="I64" s="3">
        <v>10084.473684210527</v>
      </c>
      <c r="J64" s="3">
        <v>10000</v>
      </c>
      <c r="K64" s="3">
        <v>106.64473684210679</v>
      </c>
      <c r="M64">
        <v>0.19</v>
      </c>
      <c r="N64" s="3">
        <v>352.56578947368507</v>
      </c>
    </row>
    <row r="65" spans="7:14" x14ac:dyDescent="0.35">
      <c r="G65">
        <v>0.19</v>
      </c>
      <c r="H65" s="15">
        <v>0.19</v>
      </c>
      <c r="I65" s="3">
        <v>10330.394736842105</v>
      </c>
      <c r="J65" s="3">
        <v>10000</v>
      </c>
      <c r="K65" s="3">
        <v>352.56578947368507</v>
      </c>
      <c r="M65">
        <v>0.2</v>
      </c>
      <c r="N65" s="3">
        <v>598.48684210526517</v>
      </c>
    </row>
    <row r="66" spans="7:14" x14ac:dyDescent="0.35">
      <c r="G66">
        <v>0.2</v>
      </c>
      <c r="H66" s="15">
        <v>0.2</v>
      </c>
      <c r="I66" s="3">
        <v>10576.315789473685</v>
      </c>
      <c r="J66" s="3">
        <v>10000</v>
      </c>
      <c r="K66" s="3">
        <v>598.48684210526517</v>
      </c>
      <c r="M66">
        <v>0.21</v>
      </c>
      <c r="N66" s="3">
        <v>844.40789473684345</v>
      </c>
    </row>
    <row r="67" spans="7:14" x14ac:dyDescent="0.35">
      <c r="G67">
        <v>0.21</v>
      </c>
      <c r="H67" s="15">
        <v>0.21</v>
      </c>
      <c r="I67" s="3">
        <v>10822.236842105263</v>
      </c>
      <c r="J67" s="3">
        <v>10000</v>
      </c>
      <c r="K67" s="3">
        <v>844.40789473684345</v>
      </c>
      <c r="M67">
        <v>0.22</v>
      </c>
      <c r="N67" s="3">
        <v>1090.3289473684217</v>
      </c>
    </row>
    <row r="68" spans="7:14" x14ac:dyDescent="0.35">
      <c r="G68">
        <v>0.22</v>
      </c>
      <c r="H68" s="15">
        <v>0.22</v>
      </c>
      <c r="I68" s="3">
        <v>11068.157894736842</v>
      </c>
      <c r="J68" s="3">
        <v>10000</v>
      </c>
      <c r="K68" s="3">
        <v>1090.3289473684217</v>
      </c>
      <c r="M68">
        <v>0.23</v>
      </c>
      <c r="N68" s="3">
        <v>1336.25</v>
      </c>
    </row>
    <row r="69" spans="7:14" x14ac:dyDescent="0.35">
      <c r="G69">
        <v>0.23</v>
      </c>
      <c r="H69" s="15">
        <v>0.23</v>
      </c>
      <c r="I69" s="3">
        <v>11314.07894736842</v>
      </c>
      <c r="J69" s="3">
        <v>10000</v>
      </c>
      <c r="K69" s="3">
        <v>1336.25</v>
      </c>
      <c r="M69">
        <v>0.24</v>
      </c>
      <c r="N69" s="3">
        <v>1582.1710526315801</v>
      </c>
    </row>
    <row r="70" spans="7:14" x14ac:dyDescent="0.35">
      <c r="G70">
        <v>0.24</v>
      </c>
      <c r="H70" s="15">
        <v>0.24</v>
      </c>
      <c r="I70" s="3">
        <v>11560</v>
      </c>
      <c r="J70" s="3">
        <v>10000</v>
      </c>
      <c r="K70" s="3">
        <v>1582.1710526315801</v>
      </c>
      <c r="M70">
        <v>0.25</v>
      </c>
      <c r="N70" s="3">
        <v>1828.0921052631584</v>
      </c>
    </row>
    <row r="71" spans="7:14" x14ac:dyDescent="0.35">
      <c r="G71">
        <v>0.25</v>
      </c>
      <c r="H71" s="15">
        <v>0.25</v>
      </c>
      <c r="I71" s="3">
        <v>11805.921052631578</v>
      </c>
      <c r="J71" s="3">
        <v>10000</v>
      </c>
      <c r="K71" s="3">
        <v>1828.0921052631584</v>
      </c>
      <c r="M71">
        <v>0.26</v>
      </c>
      <c r="N71" s="3">
        <v>2074.0131578947367</v>
      </c>
    </row>
    <row r="72" spans="7:14" x14ac:dyDescent="0.35">
      <c r="G72">
        <v>0.26</v>
      </c>
      <c r="H72" s="15">
        <v>0.26</v>
      </c>
      <c r="I72" s="3">
        <v>12051.842105263157</v>
      </c>
      <c r="J72" s="3">
        <v>10000</v>
      </c>
      <c r="K72" s="3">
        <v>2074.0131578947367</v>
      </c>
      <c r="M72">
        <v>0.27</v>
      </c>
      <c r="N72" s="3">
        <v>2319.9342105263167</v>
      </c>
    </row>
    <row r="73" spans="7:14" x14ac:dyDescent="0.35">
      <c r="G73">
        <v>0.27</v>
      </c>
      <c r="H73" s="15">
        <v>0.27</v>
      </c>
      <c r="I73" s="3">
        <v>12297.763157894737</v>
      </c>
      <c r="J73" s="3">
        <v>10000</v>
      </c>
      <c r="K73" s="3">
        <v>2319.9342105263167</v>
      </c>
      <c r="M73">
        <v>0.28000000000000003</v>
      </c>
      <c r="N73" s="3">
        <v>2565.8552631578968</v>
      </c>
    </row>
    <row r="74" spans="7:14" x14ac:dyDescent="0.35">
      <c r="G74">
        <v>0.28000000000000003</v>
      </c>
      <c r="H74" s="15">
        <v>0.28000000000000003</v>
      </c>
      <c r="I74" s="3">
        <v>12543.684210526317</v>
      </c>
      <c r="J74" s="3">
        <v>10000</v>
      </c>
      <c r="K74" s="3">
        <v>2565.8552631578968</v>
      </c>
      <c r="M74">
        <v>0.28999999999999998</v>
      </c>
      <c r="N74" s="3">
        <v>2811.7763157894733</v>
      </c>
    </row>
    <row r="75" spans="7:14" x14ac:dyDescent="0.35">
      <c r="G75">
        <v>0.28999999999999998</v>
      </c>
      <c r="H75" s="15">
        <v>0.28999999999999998</v>
      </c>
      <c r="I75" s="3">
        <v>12789.605263157893</v>
      </c>
      <c r="J75" s="3">
        <v>10000</v>
      </c>
      <c r="K75" s="3">
        <v>2811.7763157894733</v>
      </c>
      <c r="M75">
        <v>0.3</v>
      </c>
      <c r="N75" s="3">
        <v>3057.6973684210516</v>
      </c>
    </row>
    <row r="76" spans="7:14" x14ac:dyDescent="0.35">
      <c r="G76">
        <v>0.3</v>
      </c>
      <c r="H76" s="15">
        <v>0.3</v>
      </c>
      <c r="I76" s="3">
        <v>13035.526315789471</v>
      </c>
      <c r="J76" s="3">
        <v>10000</v>
      </c>
      <c r="K76" s="3">
        <v>3057.6973684210516</v>
      </c>
    </row>
  </sheetData>
  <mergeCells count="2">
    <mergeCell ref="G47:I47"/>
    <mergeCell ref="I24:K24"/>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1C6B85FB-FB97-4BAC-BA0B-6136B7547F6C}">
          <x14:colorSeries rgb="FF376092"/>
          <x14:colorNegative rgb="FFD00000"/>
          <x14:colorAxis rgb="FF000000"/>
          <x14:colorMarkers rgb="FFD00000"/>
          <x14:colorFirst rgb="FFD00000"/>
          <x14:colorLast rgb="FFD00000"/>
          <x14:colorHigh rgb="FFD00000"/>
          <x14:colorLow rgb="FFD00000"/>
          <x14:sparklines>
            <x14:sparkline>
              <xm:f>'part(c)'!A50:A50</xm:f>
              <xm:sqref>A50</xm:sqref>
            </x14:sparkline>
          </x14:sparklines>
        </x14:sparklineGroup>
        <x14:sparklineGroup displayEmptyCellsAs="gap" xr2:uid="{B5448079-C6C3-49BD-B471-A70167772A7E}">
          <x14:colorSeries rgb="FF376092"/>
          <x14:colorNegative rgb="FFD00000"/>
          <x14:colorAxis rgb="FF000000"/>
          <x14:colorMarkers rgb="FFD00000"/>
          <x14:colorFirst rgb="FFD00000"/>
          <x14:colorLast rgb="FFD00000"/>
          <x14:colorHigh rgb="FFD00000"/>
          <x14:colorLow rgb="FFD00000"/>
          <x14:sparklines>
            <x14:sparkline>
              <xm:f>'part(c)'!A52:A52</xm:f>
              <xm:sqref>B43</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618F1-4A97-45C4-85CE-8F20439E1DF6}">
  <dimension ref="A1:P17"/>
  <sheetViews>
    <sheetView workbookViewId="0"/>
  </sheetViews>
  <sheetFormatPr defaultColWidth="15.6328125" defaultRowHeight="14.5" x14ac:dyDescent="0.35"/>
  <cols>
    <col min="1" max="16384" width="15.6328125" style="5"/>
  </cols>
  <sheetData>
    <row r="1" spans="1:16" x14ac:dyDescent="0.35">
      <c r="A1" s="5" t="s">
        <v>9</v>
      </c>
      <c r="B1" s="4" t="s">
        <v>68</v>
      </c>
      <c r="E1" s="5" t="s">
        <v>17</v>
      </c>
      <c r="F1" s="5">
        <v>3</v>
      </c>
      <c r="H1" s="5" t="s">
        <v>24</v>
      </c>
      <c r="I1" s="4" t="s">
        <v>50</v>
      </c>
      <c r="K1" s="5" t="s">
        <v>29</v>
      </c>
      <c r="L1" s="5">
        <v>100</v>
      </c>
    </row>
    <row r="2" spans="1:16" x14ac:dyDescent="0.35">
      <c r="A2" s="5" t="s">
        <v>10</v>
      </c>
      <c r="B2" s="5" t="e">
        <f>'part(a)'!#REF!</f>
        <v>#REF!</v>
      </c>
      <c r="E2" s="5" t="s">
        <v>19</v>
      </c>
      <c r="F2" s="5">
        <f>_xll.PTreeEvaluate5(B3,$L$11:$L$17,$J$11:$J$17,$K$11:$K$17,$N$11:$N$17,$G$11:$G$17,,L1)</f>
        <v>5891714</v>
      </c>
    </row>
    <row r="3" spans="1:16" x14ac:dyDescent="0.35">
      <c r="A3" s="5" t="s">
        <v>11</v>
      </c>
      <c r="B3" s="5" t="s">
        <v>67</v>
      </c>
      <c r="E3" s="5" t="s">
        <v>20</v>
      </c>
      <c r="F3" s="4" t="s">
        <v>46</v>
      </c>
      <c r="H3" s="5" t="s">
        <v>25</v>
      </c>
      <c r="I3" s="5" t="s">
        <v>48</v>
      </c>
    </row>
    <row r="4" spans="1:16" x14ac:dyDescent="0.35">
      <c r="A4" s="5" t="s">
        <v>12</v>
      </c>
      <c r="B4" s="5" t="s">
        <v>45</v>
      </c>
      <c r="E4" s="5" t="s">
        <v>21</v>
      </c>
      <c r="F4" s="4" t="s">
        <v>47</v>
      </c>
      <c r="H4" s="5" t="s">
        <v>26</v>
      </c>
      <c r="I4" s="4" t="s">
        <v>49</v>
      </c>
    </row>
    <row r="5" spans="1:16" x14ac:dyDescent="0.35">
      <c r="A5" s="5" t="s">
        <v>13</v>
      </c>
      <c r="B5" s="5">
        <v>0</v>
      </c>
      <c r="E5" s="5" t="s">
        <v>22</v>
      </c>
      <c r="F5" s="4" t="s">
        <v>47</v>
      </c>
      <c r="H5" s="5" t="s">
        <v>27</v>
      </c>
      <c r="I5" s="5" t="s">
        <v>48</v>
      </c>
    </row>
    <row r="6" spans="1:16" x14ac:dyDescent="0.35">
      <c r="A6" s="5" t="s">
        <v>14</v>
      </c>
      <c r="E6" s="5" t="s">
        <v>23</v>
      </c>
      <c r="F6" s="4" t="s">
        <v>46</v>
      </c>
      <c r="H6" s="5" t="s">
        <v>28</v>
      </c>
      <c r="I6" s="4" t="s">
        <v>49</v>
      </c>
    </row>
    <row r="7" spans="1:16" x14ac:dyDescent="0.35">
      <c r="A7" s="5" t="s">
        <v>15</v>
      </c>
      <c r="E7" s="5" t="s">
        <v>18</v>
      </c>
      <c r="F7" s="4" t="s">
        <v>66</v>
      </c>
    </row>
    <row r="8" spans="1:16" x14ac:dyDescent="0.35">
      <c r="A8" s="5" t="s">
        <v>16</v>
      </c>
      <c r="B8" s="5">
        <v>7</v>
      </c>
    </row>
    <row r="10" spans="1:16" x14ac:dyDescent="0.35">
      <c r="A10" s="5" t="s">
        <v>30</v>
      </c>
      <c r="B10" s="5" t="s">
        <v>31</v>
      </c>
      <c r="C10" s="5" t="s">
        <v>32</v>
      </c>
      <c r="D10" s="5" t="s">
        <v>33</v>
      </c>
      <c r="E10" s="5" t="s">
        <v>34</v>
      </c>
      <c r="F10" s="5" t="s">
        <v>35</v>
      </c>
      <c r="G10" s="5" t="s">
        <v>36</v>
      </c>
      <c r="H10" s="5" t="s">
        <v>37</v>
      </c>
      <c r="I10" s="5" t="s">
        <v>38</v>
      </c>
      <c r="J10" s="5" t="s">
        <v>39</v>
      </c>
      <c r="K10" s="5" t="s">
        <v>40</v>
      </c>
      <c r="L10" s="5" t="s">
        <v>11</v>
      </c>
      <c r="M10" s="5" t="s">
        <v>41</v>
      </c>
      <c r="N10" s="5" t="s">
        <v>42</v>
      </c>
      <c r="O10" s="5" t="s">
        <v>43</v>
      </c>
      <c r="P10" s="5" t="s">
        <v>44</v>
      </c>
    </row>
    <row r="11" spans="1:16" x14ac:dyDescent="0.35">
      <c r="A11" s="5">
        <f>'part(a)'!$B$95</f>
        <v>70000</v>
      </c>
      <c r="B11" s="5" t="str">
        <f>B1</f>
        <v>decision</v>
      </c>
      <c r="C11" s="5">
        <v>0</v>
      </c>
      <c r="I11" s="5" t="s">
        <v>51</v>
      </c>
      <c r="J11" s="5">
        <f>'part(a)'!$A$95</f>
        <v>0</v>
      </c>
      <c r="K11" s="5">
        <f>'part(a)'!$A$94</f>
        <v>0</v>
      </c>
      <c r="L11" s="5" t="s">
        <v>56</v>
      </c>
      <c r="M11" s="4" t="s">
        <v>52</v>
      </c>
      <c r="O11" s="5" t="str">
        <f>'part(a)'!$B$94</f>
        <v>Decision</v>
      </c>
      <c r="P11" s="5" t="b">
        <v>0</v>
      </c>
    </row>
    <row r="12" spans="1:16" x14ac:dyDescent="0.35">
      <c r="A12" s="5">
        <f>'part(a)'!$C$91</f>
        <v>70000</v>
      </c>
      <c r="B12" s="4" t="s">
        <v>69</v>
      </c>
      <c r="C12" s="5">
        <v>0</v>
      </c>
      <c r="I12" s="5" t="s">
        <v>51</v>
      </c>
      <c r="J12" s="5">
        <f>'part(a)'!$B$91</f>
        <v>60000</v>
      </c>
      <c r="L12" s="5" t="s">
        <v>61</v>
      </c>
      <c r="M12" s="4" t="s">
        <v>52</v>
      </c>
      <c r="O12" s="5" t="str">
        <f>'part(a)'!$C$90</f>
        <v>Chance</v>
      </c>
      <c r="P12" s="5" t="b">
        <v>0</v>
      </c>
    </row>
    <row r="13" spans="1:16" x14ac:dyDescent="0.35">
      <c r="A13" s="5">
        <f>'part(a)'!$C$99</f>
        <v>14642.857142857141</v>
      </c>
      <c r="B13" s="4" t="s">
        <v>70</v>
      </c>
      <c r="C13" s="5">
        <v>0</v>
      </c>
      <c r="I13" s="5" t="s">
        <v>51</v>
      </c>
      <c r="J13" s="5">
        <f>'part(a)'!$B$99</f>
        <v>10000</v>
      </c>
      <c r="L13" s="5" t="s">
        <v>65</v>
      </c>
      <c r="M13" s="4" t="s">
        <v>52</v>
      </c>
      <c r="O13" s="5" t="str">
        <f>'part(a)'!$C$98</f>
        <v>Chance</v>
      </c>
      <c r="P13" s="5" t="b">
        <v>0</v>
      </c>
    </row>
    <row r="14" spans="1:16" x14ac:dyDescent="0.35">
      <c r="A14" s="5">
        <f>'part(a)'!$D$89</f>
        <v>120000</v>
      </c>
      <c r="B14" s="4" t="s">
        <v>62</v>
      </c>
      <c r="C14" s="5">
        <v>0</v>
      </c>
      <c r="H14" s="5" t="s">
        <v>51</v>
      </c>
      <c r="I14" s="5" t="s">
        <v>51</v>
      </c>
      <c r="J14" s="5">
        <f>'part(a)'!$C$89</f>
        <v>60000</v>
      </c>
      <c r="K14" s="5">
        <f>'part(a)'!$C$88</f>
        <v>0.107142857142857</v>
      </c>
      <c r="L14" s="5" t="s">
        <v>60</v>
      </c>
      <c r="M14" s="4" t="s">
        <v>52</v>
      </c>
      <c r="P14" s="5" t="b">
        <v>0</v>
      </c>
    </row>
    <row r="15" spans="1:16" x14ac:dyDescent="0.35">
      <c r="A15" s="5">
        <f>'part(a)'!$D$93</f>
        <v>64000</v>
      </c>
      <c r="B15" s="4" t="s">
        <v>63</v>
      </c>
      <c r="C15" s="5">
        <v>0</v>
      </c>
      <c r="H15" s="5" t="s">
        <v>51</v>
      </c>
      <c r="I15" s="5" t="s">
        <v>51</v>
      </c>
      <c r="J15" s="5">
        <f>'part(a)'!$C$93</f>
        <v>4000</v>
      </c>
      <c r="K15" s="5">
        <f>'part(a)'!$C$92</f>
        <v>0.89285714285714302</v>
      </c>
      <c r="L15" s="5" t="s">
        <v>60</v>
      </c>
      <c r="M15" s="4" t="s">
        <v>52</v>
      </c>
      <c r="P15" s="5" t="b">
        <v>0</v>
      </c>
    </row>
    <row r="16" spans="1:16" x14ac:dyDescent="0.35">
      <c r="A16" s="5">
        <f>'part(a)'!$D$97</f>
        <v>20000</v>
      </c>
      <c r="B16" s="4" t="s">
        <v>62</v>
      </c>
      <c r="C16" s="5">
        <v>0</v>
      </c>
      <c r="H16" s="5" t="s">
        <v>51</v>
      </c>
      <c r="I16" s="5" t="s">
        <v>51</v>
      </c>
      <c r="J16" s="5">
        <f>'part(a)'!$C$97</f>
        <v>10000</v>
      </c>
      <c r="K16" s="5">
        <f>'part(a)'!$C$96</f>
        <v>0.107142857142857</v>
      </c>
      <c r="L16" s="5" t="s">
        <v>64</v>
      </c>
      <c r="M16" s="4" t="s">
        <v>52</v>
      </c>
      <c r="P16" s="5" t="b">
        <v>0</v>
      </c>
    </row>
    <row r="17" spans="1:16" x14ac:dyDescent="0.35">
      <c r="A17" s="5">
        <f>'part(a)'!$D$101</f>
        <v>14000</v>
      </c>
      <c r="B17" s="4" t="s">
        <v>63</v>
      </c>
      <c r="C17" s="5">
        <v>0</v>
      </c>
      <c r="H17" s="5" t="s">
        <v>51</v>
      </c>
      <c r="I17" s="5" t="s">
        <v>51</v>
      </c>
      <c r="J17" s="5">
        <f>'part(a)'!$C$101</f>
        <v>4000</v>
      </c>
      <c r="K17" s="5">
        <f>'part(a)'!$C$100</f>
        <v>0.89285714285714302</v>
      </c>
      <c r="L17" s="5" t="s">
        <v>64</v>
      </c>
      <c r="M17" s="4" t="s">
        <v>52</v>
      </c>
      <c r="P17" s="5"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345D-4F6D-40B4-B6E6-0CBA2E9E0572}">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7CF88-08CE-4F76-8317-55B7437284CA}">
  <dimension ref="A1:P17"/>
  <sheetViews>
    <sheetView workbookViewId="0"/>
  </sheetViews>
  <sheetFormatPr defaultColWidth="15.6328125" defaultRowHeight="14.5" x14ac:dyDescent="0.35"/>
  <cols>
    <col min="1" max="16384" width="15.6328125" style="5"/>
  </cols>
  <sheetData>
    <row r="1" spans="1:16" x14ac:dyDescent="0.35">
      <c r="A1" s="5" t="s">
        <v>9</v>
      </c>
      <c r="B1" s="4" t="s">
        <v>54</v>
      </c>
      <c r="E1" s="5" t="s">
        <v>17</v>
      </c>
      <c r="F1" s="5">
        <v>3</v>
      </c>
      <c r="H1" s="5" t="s">
        <v>24</v>
      </c>
      <c r="I1" s="4" t="s">
        <v>50</v>
      </c>
      <c r="K1" s="5" t="s">
        <v>29</v>
      </c>
      <c r="L1" s="5">
        <v>100</v>
      </c>
    </row>
    <row r="2" spans="1:16" x14ac:dyDescent="0.35">
      <c r="A2" s="5" t="s">
        <v>10</v>
      </c>
      <c r="B2" s="5" t="e">
        <f>'part(a)'!#REF!</f>
        <v>#REF!</v>
      </c>
      <c r="E2" s="5" t="s">
        <v>19</v>
      </c>
      <c r="F2" s="5">
        <f>_xll.PTreeEvaluate5(B3,$L$11:$L$17,$J$11:$J$17,$K$11:$K$17,$N$11:$N$17,$G$11:$G$17,,L1)</f>
        <v>2752897</v>
      </c>
    </row>
    <row r="3" spans="1:16" x14ac:dyDescent="0.35">
      <c r="A3" s="5" t="s">
        <v>11</v>
      </c>
      <c r="B3" s="5" t="s">
        <v>53</v>
      </c>
      <c r="E3" s="5" t="s">
        <v>20</v>
      </c>
      <c r="F3" s="4" t="s">
        <v>46</v>
      </c>
      <c r="H3" s="5" t="s">
        <v>25</v>
      </c>
      <c r="I3" s="5" t="s">
        <v>48</v>
      </c>
    </row>
    <row r="4" spans="1:16" x14ac:dyDescent="0.35">
      <c r="A4" s="5" t="s">
        <v>12</v>
      </c>
      <c r="B4" s="5" t="s">
        <v>45</v>
      </c>
      <c r="E4" s="5" t="s">
        <v>21</v>
      </c>
      <c r="F4" s="4" t="s">
        <v>47</v>
      </c>
      <c r="H4" s="5" t="s">
        <v>26</v>
      </c>
      <c r="I4" s="4" t="s">
        <v>49</v>
      </c>
    </row>
    <row r="5" spans="1:16" x14ac:dyDescent="0.35">
      <c r="A5" s="5" t="s">
        <v>13</v>
      </c>
      <c r="B5" s="5">
        <v>0</v>
      </c>
      <c r="E5" s="5" t="s">
        <v>22</v>
      </c>
      <c r="F5" s="4" t="s">
        <v>47</v>
      </c>
      <c r="H5" s="5" t="s">
        <v>27</v>
      </c>
      <c r="I5" s="5" t="s">
        <v>48</v>
      </c>
    </row>
    <row r="6" spans="1:16" x14ac:dyDescent="0.35">
      <c r="A6" s="5" t="s">
        <v>14</v>
      </c>
      <c r="E6" s="5" t="s">
        <v>23</v>
      </c>
      <c r="F6" s="4" t="s">
        <v>46</v>
      </c>
      <c r="H6" s="5" t="s">
        <v>28</v>
      </c>
      <c r="I6" s="4" t="s">
        <v>49</v>
      </c>
    </row>
    <row r="7" spans="1:16" x14ac:dyDescent="0.35">
      <c r="A7" s="5" t="s">
        <v>15</v>
      </c>
      <c r="E7" s="5" t="s">
        <v>18</v>
      </c>
      <c r="F7" s="4" t="s">
        <v>8</v>
      </c>
    </row>
    <row r="8" spans="1:16" x14ac:dyDescent="0.35">
      <c r="A8" s="5" t="s">
        <v>16</v>
      </c>
      <c r="B8" s="5">
        <v>7</v>
      </c>
    </row>
    <row r="10" spans="1:16" x14ac:dyDescent="0.35">
      <c r="A10" s="5" t="s">
        <v>30</v>
      </c>
      <c r="B10" s="5" t="s">
        <v>31</v>
      </c>
      <c r="C10" s="5" t="s">
        <v>32</v>
      </c>
      <c r="D10" s="5" t="s">
        <v>33</v>
      </c>
      <c r="E10" s="5" t="s">
        <v>34</v>
      </c>
      <c r="F10" s="5" t="s">
        <v>35</v>
      </c>
      <c r="G10" s="5" t="s">
        <v>36</v>
      </c>
      <c r="H10" s="5" t="s">
        <v>37</v>
      </c>
      <c r="I10" s="5" t="s">
        <v>38</v>
      </c>
      <c r="J10" s="5" t="s">
        <v>39</v>
      </c>
      <c r="K10" s="5" t="s">
        <v>40</v>
      </c>
      <c r="L10" s="5" t="s">
        <v>11</v>
      </c>
      <c r="M10" s="5" t="s">
        <v>41</v>
      </c>
      <c r="N10" s="5" t="s">
        <v>42</v>
      </c>
      <c r="O10" s="5" t="s">
        <v>43</v>
      </c>
      <c r="P10" s="5" t="s">
        <v>44</v>
      </c>
    </row>
    <row r="11" spans="1:16" x14ac:dyDescent="0.35">
      <c r="A11" s="5" t="e">
        <f>#REF!</f>
        <v>#REF!</v>
      </c>
      <c r="B11" s="5" t="str">
        <f>B1</f>
        <v>Ship as usual or Postpone</v>
      </c>
      <c r="C11" s="5">
        <v>0</v>
      </c>
      <c r="I11" s="5" t="s">
        <v>51</v>
      </c>
      <c r="J11" s="5" t="e">
        <f>#REF!</f>
        <v>#REF!</v>
      </c>
      <c r="K11" s="5" t="e">
        <f>#REF!</f>
        <v>#REF!</v>
      </c>
      <c r="L11" s="5" t="s">
        <v>56</v>
      </c>
      <c r="M11" s="4" t="s">
        <v>52</v>
      </c>
      <c r="O11" s="5" t="e">
        <f>#REF!</f>
        <v>#REF!</v>
      </c>
      <c r="P11" s="5" t="b">
        <v>0</v>
      </c>
    </row>
    <row r="12" spans="1:16" x14ac:dyDescent="0.35">
      <c r="A12" s="5" t="e">
        <f>#REF!</f>
        <v>#REF!</v>
      </c>
      <c r="B12" s="4" t="s">
        <v>57</v>
      </c>
      <c r="C12" s="5">
        <v>0</v>
      </c>
      <c r="I12" s="5" t="s">
        <v>51</v>
      </c>
      <c r="J12" s="5" t="e">
        <f>#REF!</f>
        <v>#REF!</v>
      </c>
      <c r="L12" s="5" t="s">
        <v>61</v>
      </c>
      <c r="M12" s="4" t="s">
        <v>52</v>
      </c>
      <c r="O12" s="5" t="e">
        <f>#REF!</f>
        <v>#REF!</v>
      </c>
      <c r="P12" s="5" t="b">
        <v>0</v>
      </c>
    </row>
    <row r="13" spans="1:16" x14ac:dyDescent="0.35">
      <c r="A13" s="5" t="e">
        <f>#REF!</f>
        <v>#REF!</v>
      </c>
      <c r="B13" s="4" t="s">
        <v>58</v>
      </c>
      <c r="C13" s="5">
        <v>0</v>
      </c>
      <c r="I13" s="5" t="s">
        <v>51</v>
      </c>
      <c r="J13" s="5" t="e">
        <f>#REF!</f>
        <v>#REF!</v>
      </c>
      <c r="L13" s="5" t="s">
        <v>65</v>
      </c>
      <c r="M13" s="4" t="s">
        <v>52</v>
      </c>
      <c r="O13" s="5" t="e">
        <f>#REF!</f>
        <v>#REF!</v>
      </c>
      <c r="P13" s="5" t="b">
        <v>0</v>
      </c>
    </row>
    <row r="14" spans="1:16" x14ac:dyDescent="0.35">
      <c r="A14" s="5" t="e">
        <f>#REF!</f>
        <v>#REF!</v>
      </c>
      <c r="B14" s="4" t="s">
        <v>62</v>
      </c>
      <c r="C14" s="5">
        <v>0</v>
      </c>
      <c r="H14" s="5" t="s">
        <v>51</v>
      </c>
      <c r="I14" s="5" t="s">
        <v>51</v>
      </c>
      <c r="J14" s="5" t="e">
        <f>#REF!</f>
        <v>#REF!</v>
      </c>
      <c r="K14" s="5" t="e">
        <f>#REF!</f>
        <v>#REF!</v>
      </c>
      <c r="L14" s="5" t="s">
        <v>60</v>
      </c>
      <c r="M14" s="4" t="s">
        <v>52</v>
      </c>
      <c r="P14" s="5" t="b">
        <v>0</v>
      </c>
    </row>
    <row r="15" spans="1:16" x14ac:dyDescent="0.35">
      <c r="A15" s="5" t="e">
        <f>#REF!</f>
        <v>#REF!</v>
      </c>
      <c r="B15" s="4" t="s">
        <v>63</v>
      </c>
      <c r="C15" s="5">
        <v>0</v>
      </c>
      <c r="H15" s="5" t="s">
        <v>51</v>
      </c>
      <c r="I15" s="5" t="s">
        <v>51</v>
      </c>
      <c r="J15" s="5" t="e">
        <f>#REF!</f>
        <v>#REF!</v>
      </c>
      <c r="K15" s="5" t="e">
        <f>#REF!</f>
        <v>#REF!</v>
      </c>
      <c r="L15" s="5" t="s">
        <v>60</v>
      </c>
      <c r="M15" s="4" t="s">
        <v>52</v>
      </c>
      <c r="P15" s="5" t="b">
        <v>0</v>
      </c>
    </row>
    <row r="16" spans="1:16" x14ac:dyDescent="0.35">
      <c r="A16" s="5" t="e">
        <f>#REF!</f>
        <v>#REF!</v>
      </c>
      <c r="B16" s="4" t="s">
        <v>62</v>
      </c>
      <c r="C16" s="5">
        <v>0</v>
      </c>
      <c r="H16" s="5" t="s">
        <v>51</v>
      </c>
      <c r="I16" s="5" t="s">
        <v>51</v>
      </c>
      <c r="J16" s="5" t="e">
        <f>#REF!</f>
        <v>#REF!</v>
      </c>
      <c r="K16" s="5" t="e">
        <f>#REF!</f>
        <v>#REF!</v>
      </c>
      <c r="L16" s="5" t="s">
        <v>64</v>
      </c>
      <c r="M16" s="4" t="s">
        <v>52</v>
      </c>
      <c r="P16" s="5" t="b">
        <v>0</v>
      </c>
    </row>
    <row r="17" spans="1:16" x14ac:dyDescent="0.35">
      <c r="A17" s="5" t="e">
        <f>#REF!</f>
        <v>#REF!</v>
      </c>
      <c r="B17" s="4" t="s">
        <v>63</v>
      </c>
      <c r="C17" s="5">
        <v>0</v>
      </c>
      <c r="H17" s="5" t="s">
        <v>51</v>
      </c>
      <c r="I17" s="5" t="s">
        <v>51</v>
      </c>
      <c r="J17" s="5" t="e">
        <f>#REF!</f>
        <v>#REF!</v>
      </c>
      <c r="K17" s="5" t="e">
        <f>#REF!</f>
        <v>#REF!</v>
      </c>
      <c r="L17" s="5" t="s">
        <v>64</v>
      </c>
      <c r="M17" s="4" t="s">
        <v>52</v>
      </c>
      <c r="P17" s="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part(a)</vt:lpstr>
      <vt:lpstr>part(b.)</vt:lpstr>
      <vt:lpstr>part(c)</vt:lpstr>
      <vt:lpstr>treeCalc_2</vt:lpstr>
      <vt:lpstr>_PalUtilTempWorksheet</vt:lpstr>
      <vt:lpstr>treeCalc_1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Dilpreet Singh</dc:creator>
  <cp:lastModifiedBy>Dilpreet Singh</cp:lastModifiedBy>
  <dcterms:created xsi:type="dcterms:W3CDTF">2024-04-12T11:37:13Z</dcterms:created>
  <dcterms:modified xsi:type="dcterms:W3CDTF">2024-06-11T21:21:25Z</dcterms:modified>
</cp:coreProperties>
</file>